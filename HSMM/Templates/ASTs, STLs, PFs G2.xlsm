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"/>
    </mc:Choice>
  </mc:AlternateContent>
  <xr:revisionPtr revIDLastSave="0" documentId="13_ncr:1_{DFCF2095-12E7-344C-BA50-A4369B83018C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6" i="1" s="1"/>
  <c r="G4" i="2" s="1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I4" i="2"/>
  <c r="J4" i="2"/>
  <c r="K4" i="2"/>
  <c r="I5" i="2"/>
  <c r="J5" i="2"/>
  <c r="K5" i="2"/>
  <c r="I6" i="2"/>
  <c r="J6" i="2"/>
  <c r="J18" i="2" s="1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I37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C29" i="1" l="1"/>
  <c r="H28" i="2" s="1"/>
  <c r="C32" i="1"/>
  <c r="H31" i="2" s="1"/>
  <c r="B33" i="1"/>
  <c r="G32" i="2" s="1"/>
  <c r="C25" i="1"/>
  <c r="H24" i="2" s="1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J37" i="2"/>
  <c r="K18" i="2"/>
  <c r="D3" i="2"/>
</calcChain>
</file>

<file path=xl/sharedStrings.xml><?xml version="1.0" encoding="utf-8"?>
<sst xmlns="http://schemas.openxmlformats.org/spreadsheetml/2006/main" count="482" uniqueCount="267">
  <si>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</si>
  <si>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</si>
  <si>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</si>
  <si>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</si>
  <si>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</si>
  <si>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</si>
  <si>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</si>
  <si>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</si>
  <si>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</si>
  <si>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</si>
  <si>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</si>
  <si>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</si>
  <si>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</si>
  <si>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</si>
  <si>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</si>
  <si>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</si>
  <si>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</si>
  <si>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</si>
  <si>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</si>
  <si>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</si>
  <si>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</si>
  <si>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</si>
  <si>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</si>
  <si>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</si>
  <si>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</si>
  <si>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</si>
  <si>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</si>
  <si>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</si>
  <si>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</si>
  <si>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</si>
  <si>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</si>
  <si>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</si>
  <si>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</si>
  <si>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</si>
  <si>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</si>
  <si>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</si>
  <si>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</si>
  <si>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</si>
  <si>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</si>
  <si>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</si>
  <si>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</si>
  <si>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</si>
  <si>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</si>
  <si>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</si>
  <si>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</si>
  <si>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</si>
  <si>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</si>
  <si>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</si>
  <si>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</si>
  <si>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</si>
  <si>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</si>
  <si>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</si>
  <si>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</si>
  <si>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</si>
  <si>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</si>
  <si>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</si>
  <si>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</si>
  <si>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</si>
  <si>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</si>
  <si>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</si>
  <si>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</si>
  <si>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</si>
  <si>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</si>
  <si>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</si>
  <si>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</si>
  <si>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</si>
  <si>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</si>
  <si>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</si>
  <si>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</si>
  <si>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</si>
  <si>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</si>
  <si>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</si>
  <si>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</si>
  <si>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</si>
  <si>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</si>
  <si>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</si>
  <si>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</si>
  <si>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</si>
  <si>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</si>
  <si>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</si>
  <si>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</si>
  <si>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</si>
  <si>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</si>
  <si>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</si>
  <si>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</si>
  <si>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</si>
  <si>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</si>
  <si>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</si>
  <si>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</si>
  <si>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</si>
  <si>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</si>
  <si>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</si>
  <si>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</si>
  <si>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</si>
  <si>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</si>
  <si>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</si>
  <si>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</si>
  <si>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</si>
  <si>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</si>
  <si>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</si>
  <si>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</si>
  <si>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</si>
  <si>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</si>
  <si>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</si>
  <si>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</si>
  <si>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</si>
  <si>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</si>
  <si>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</si>
  <si>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</si>
  <si>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</si>
  <si>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</si>
  <si>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</si>
  <si>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</si>
  <si>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</si>
  <si>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</si>
  <si>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</si>
  <si>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</si>
  <si>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</si>
  <si>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</si>
  <si>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</si>
  <si>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</si>
  <si>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</si>
  <si>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</si>
  <si>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</si>
  <si>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</si>
  <si>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</si>
  <si>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</si>
  <si>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</si>
  <si>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</si>
  <si>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</si>
  <si>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</si>
  <si>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</si>
  <si>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</si>
  <si>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</si>
  <si>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</si>
  <si>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</si>
  <si>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</si>
  <si>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</si>
  <si>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</si>
  <si>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</si>
  <si>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</si>
  <si>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</si>
  <si>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</si>
  <si>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</si>
  <si>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</si>
  <si>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</si>
  <si>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</si>
  <si>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</si>
  <si>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</si>
  <si>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</si>
  <si>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</si>
  <si>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</si>
  <si>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</si>
  <si>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</si>
  <si>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</si>
  <si>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</si>
  <si>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</si>
  <si>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</si>
  <si>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</si>
  <si>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</si>
  <si>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</si>
  <si>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</si>
  <si>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</si>
  <si>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</si>
  <si>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</si>
  <si>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</si>
  <si>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</si>
  <si>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</si>
  <si>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</si>
  <si>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</si>
  <si>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</si>
  <si>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</si>
  <si>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</si>
  <si>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</si>
  <si>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</si>
  <si>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</si>
  <si>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</si>
  <si>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</si>
  <si>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</si>
  <si>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</si>
  <si>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</si>
  <si>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</si>
  <si>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</si>
  <si>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</si>
  <si>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</si>
  <si>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</si>
  <si>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</si>
  <si>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</si>
  <si>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</si>
  <si>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</si>
  <si>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</si>
  <si>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</si>
  <si>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</si>
  <si>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</si>
  <si>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</si>
  <si>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</si>
  <si>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</si>
  <si>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</si>
  <si>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</si>
  <si>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</si>
  <si>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</si>
  <si>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</si>
  <si>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</si>
  <si>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</si>
  <si>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</si>
  <si>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</si>
  <si>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</si>
  <si>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</si>
  <si>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</si>
  <si>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</si>
  <si>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</si>
  <si>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</si>
  <si>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</si>
  <si>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</si>
  <si>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</si>
  <si>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</si>
  <si>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</si>
  <si>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</si>
  <si>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</si>
  <si>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</si>
  <si>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</si>
  <si>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</si>
  <si>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</si>
  <si>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</si>
  <si>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</si>
  <si>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</si>
  <si>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</si>
  <si>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</si>
  <si>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</si>
  <si>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</si>
  <si>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</si>
  <si>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</si>
  <si>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</si>
  <si>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</si>
  <si>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</si>
  <si>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</si>
  <si>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</si>
  <si>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</si>
  <si>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</si>
  <si>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</si>
  <si>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</si>
  <si>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</si>
  <si>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</si>
  <si>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AST</t>
  </si>
  <si>
    <t>STL</t>
  </si>
  <si>
    <t>PF</t>
  </si>
  <si>
    <t>GAME 2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</si>
  <si>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</si>
  <si>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</si>
  <si>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</si>
  <si>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</si>
  <si>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</si>
  <si>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</si>
  <si>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</si>
  <si>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</si>
  <si>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</si>
  <si>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</si>
  <si>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</si>
  <si>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</si>
  <si>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</si>
  <si>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</si>
  <si>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</si>
  <si>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</si>
  <si>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</si>
  <si>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</si>
  <si>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Dwayne</t>
  </si>
  <si>
    <t>Brekkott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</si>
</sst>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23" sqref="D2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246</v>
      </c>
      <c r="F1" t="s">
        <v>3</v>
      </c>
      <c r="G1" t="str">
        <f>'Stats G2'!B3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243</v>
      </c>
      <c r="J2" t="s">
        <v>244</v>
      </c>
      <c r="K2" t="s">
        <v>245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  <c r="K3">
        <f>'Stats G2'!K5</f>
        <v>0</v>
      </c>
    </row>
    <row r="4" spans="2:11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  <c r="K4">
        <f>'Stats G2'!K6</f>
        <v>0</v>
      </c>
    </row>
    <row r="5" spans="2:11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  <c r="K5">
        <f>'Stats G2'!K7</f>
        <v>0</v>
      </c>
    </row>
    <row r="6" spans="2:11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  <c r="K6">
        <f>'Stats G2'!K8</f>
        <v>0</v>
      </c>
    </row>
    <row r="7" spans="2:11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  <c r="K7">
        <f>'Stats G2'!K9</f>
        <v>0</v>
      </c>
    </row>
    <row r="8" spans="2:11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  <c r="K8">
        <f>'Stats G2'!K10</f>
        <v>0</v>
      </c>
    </row>
    <row r="9" spans="2:11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  <c r="K9">
        <f>'Stats G2'!K11</f>
        <v>0</v>
      </c>
    </row>
    <row r="10" spans="2:11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  <c r="K10">
        <f>'Stats G2'!K12</f>
        <v>0</v>
      </c>
    </row>
    <row r="11" spans="2:11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  <c r="K11">
        <f>'Stats G2'!K13</f>
        <v>0</v>
      </c>
    </row>
    <row r="12" spans="2:11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>'Stats G2'!K14</f>
        <v>0</v>
      </c>
    </row>
    <row r="13" spans="2:11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>'Stats G2'!K15</f>
        <v>0</v>
      </c>
    </row>
    <row r="14" spans="2:11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>'Stats G2'!K16</f>
        <v>0</v>
      </c>
    </row>
    <row r="15" spans="2:11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>'Stats G2'!K17</f>
        <v>0</v>
      </c>
    </row>
    <row r="16" spans="2:11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</row>
    <row r="17" spans="6:11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</row>
    <row r="20" spans="6:11" x14ac:dyDescent="0.2">
      <c r="F20" t="s">
        <v>4</v>
      </c>
      <c r="G20" t="str">
        <f>'Stats G2'!B21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243</v>
      </c>
      <c r="J21" t="s">
        <v>244</v>
      </c>
      <c r="K21" t="s">
        <v>245</v>
      </c>
    </row>
    <row r="22" spans="6:11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  <c r="K22">
        <f>'Stats G2'!K23</f>
        <v>0</v>
      </c>
    </row>
    <row r="23" spans="6:11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  <c r="K23">
        <f>'Stats G2'!K24</f>
        <v>0</v>
      </c>
    </row>
    <row r="24" spans="6:11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  <c r="K24">
        <f>'Stats G2'!K25</f>
        <v>0</v>
      </c>
    </row>
    <row r="25" spans="6:11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  <c r="K25">
        <f>'Stats G2'!K26</f>
        <v>0</v>
      </c>
    </row>
    <row r="26" spans="6:11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  <c r="K26">
        <f>'Stats G2'!K27</f>
        <v>0</v>
      </c>
    </row>
    <row r="27" spans="6:11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  <c r="K27">
        <f>'Stats G2'!K28</f>
        <v>0</v>
      </c>
    </row>
    <row r="28" spans="6:11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  <c r="K28">
        <f>'Stats G2'!K29</f>
        <v>0</v>
      </c>
    </row>
    <row r="29" spans="6:11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  <c r="K29">
        <f>'Stats G2'!K30</f>
        <v>0</v>
      </c>
    </row>
    <row r="30" spans="6:11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  <c r="K30">
        <f>'Stats G2'!K31</f>
        <v>0</v>
      </c>
    </row>
    <row r="31" spans="6:11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>'Stats G2'!K32</f>
        <v>0</v>
      </c>
    </row>
    <row r="32" spans="6:11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>'Stats G2'!K33</f>
        <v>0</v>
      </c>
    </row>
    <row r="33" spans="6:11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>'Stats G2'!K34</f>
        <v>0</v>
      </c>
    </row>
    <row r="34" spans="6:11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</row>
    <row r="35" spans="6:11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B20" sqref="B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9</v>
      </c>
    </row>
    <row r="4" spans="1:21" x14ac:dyDescent="0.2">
      <c r="A4" t="s">
        <v>1</v>
      </c>
      <c r="B4" t="s">
        <v>2</v>
      </c>
      <c r="C4" t="s">
        <v>0</v>
      </c>
      <c r="E4" t="s">
        <v>243</v>
      </c>
      <c r="H4" t="s">
        <v>244</v>
      </c>
      <c r="K4" t="s">
        <v>245</v>
      </c>
    </row>
    <row r="5" spans="1:21" s="6" customFormat="1" x14ac:dyDescent="0.2">
      <c r="A5" s="5" t="str">
        <f>_xlfn.IFNA(VLOOKUP($B$3&amp;ROWS($A$5:A5),Rosters!$B$2:$C$162,2,0),"?")</f>
        <v>?</v>
      </c>
      <c r="B5" s="5" t="str">
        <f>_xlfn.IFNA(VLOOKUP($B$3&amp;ROWS($B$5:B5),Rosters!$B$2:$D$162,3,0),"?")</f>
        <v>?</v>
      </c>
      <c r="C5" s="5" t="str">
        <f>_xlfn.IFNA(VLOOKUP($B$3&amp;ROWS($C$5:C5),Rosters!$B$2:$E$162,4,0),"")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?</v>
      </c>
      <c r="B6" s="6" t="str">
        <f>_xlfn.IFNA(VLOOKUP($B$3&amp;ROWS($B$5:B6),Rosters!$B$2:$D$162,3,0),"?")</f>
        <v>?</v>
      </c>
      <c r="C6" s="6" t="str">
        <f>_xlfn.IFNA(VLOOKUP($B$3&amp;ROWS($C$5:C6),Rosters!$B$2:$E$162,4,0),"")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?</v>
      </c>
      <c r="B7" s="5" t="str">
        <f>_xlfn.IFNA(VLOOKUP($B$3&amp;ROWS($B$5:B7),Rosters!$B$2:$D$162,3,0),"?")</f>
        <v>?</v>
      </c>
      <c r="C7" s="5" t="str">
        <f>_xlfn.IFNA(VLOOKUP($B$3&amp;ROWS($C$5:C7),Rosters!$B$2:$E$162,4,0),"")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?</v>
      </c>
      <c r="B8" s="6" t="str">
        <f>_xlfn.IFNA(VLOOKUP($B$3&amp;ROWS($B$5:B8),Rosters!$B$2:$D$162,3,0),"?")</f>
        <v>?</v>
      </c>
      <c r="C8" s="6" t="str">
        <f>_xlfn.IFNA(VLOOKUP($B$3&amp;ROWS($C$5:C8),Rosters!$B$2:$E$162,4,0),"")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?</v>
      </c>
      <c r="B9" s="5" t="str">
        <f>_xlfn.IFNA(VLOOKUP($B$3&amp;ROWS($B$5:B9),Rosters!$B$2:$D$162,3,0),"?")</f>
        <v>?</v>
      </c>
      <c r="C9" s="5" t="str">
        <f>_xlfn.IFNA(VLOOKUP($B$3&amp;ROWS($C$5:C9),Rosters!$B$2:$E$162,4,0),"")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?</v>
      </c>
      <c r="B10" s="6" t="str">
        <f>_xlfn.IFNA(VLOOKUP($B$3&amp;ROWS($B$5:B10),Rosters!$B$2:$D$162,3,0),"?")</f>
        <v>?</v>
      </c>
      <c r="C10" s="6" t="str">
        <f>_xlfn.IFNA(VLOOKUP($B$3&amp;ROWS($C$5:C10),Rosters!$B$2:$E$162,4,0),"")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?</v>
      </c>
      <c r="B11" s="5" t="str">
        <f>_xlfn.IFNA(VLOOKUP($B$3&amp;ROWS($B$5:B11),Rosters!$B$2:$D$162,3,0),"?")</f>
        <v>?</v>
      </c>
      <c r="C11" s="5" t="str">
        <f>_xlfn.IFNA(VLOOKUP($B$3&amp;ROWS($C$5:C11),Rosters!$B$2:$E$162,4,0),"")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?</v>
      </c>
      <c r="B12" s="6" t="str">
        <f>_xlfn.IFNA(VLOOKUP($B$3&amp;ROWS($B$5:B12),Rosters!$B$2:$D$162,3,0),"?")</f>
        <v>?</v>
      </c>
      <c r="C12" s="6" t="str">
        <f>_xlfn.IFNA(VLOOKUP($B$3&amp;ROWS($C$5:C12),Rosters!$B$2:$E$162,4,0),"")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?</v>
      </c>
      <c r="B13" s="5" t="str">
        <f>_xlfn.IFNA(VLOOKUP($B$3&amp;ROWS($B$5:B13),Rosters!$B$2:$D$162,3,0),"?")</f>
        <v>?</v>
      </c>
      <c r="C13" s="5" t="str">
        <f>_xlfn.IFNA(VLOOKUP($B$3&amp;ROWS($C$5:C13),Rosters!$B$2:$E$162,4,0),"")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0</v>
      </c>
      <c r="H20">
        <f>SUM(H5:H19)</f>
        <v>0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9</v>
      </c>
    </row>
    <row r="22" spans="1:21" x14ac:dyDescent="0.2">
      <c r="A22" t="s">
        <v>1</v>
      </c>
      <c r="B22" t="s">
        <v>2</v>
      </c>
      <c r="C22" t="s">
        <v>0</v>
      </c>
      <c r="E22" s="8" t="s">
        <v>243</v>
      </c>
      <c r="F22" s="8"/>
      <c r="G22" s="8"/>
      <c r="H22" s="8" t="s">
        <v>244</v>
      </c>
      <c r="I22" s="8"/>
      <c r="J22" s="8"/>
      <c r="K22" s="8" t="s">
        <v>245</v>
      </c>
    </row>
    <row r="23" spans="1:21" s="6" customFormat="1" x14ac:dyDescent="0.2">
      <c r="A23" s="5" t="str">
        <f>_xlfn.IFNA(VLOOKUP($B$21&amp;ROWS($A$23:A23),Rosters!$B$2:$C$162,2,0),"?")</f>
        <v>?</v>
      </c>
      <c r="B23" s="5" t="str">
        <f>_xlfn.IFNA(VLOOKUP($B$21&amp;ROWS($B$23:B23),Rosters!$B$2:$D$162,3,0),"?")</f>
        <v>?</v>
      </c>
      <c r="C23" s="5" t="str">
        <f>_xlfn.IFNA(VLOOKUP($B$21&amp;ROWS($C$23:C23),Rosters!$B$2:$E$162,4,0),"")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?</v>
      </c>
      <c r="B24" s="6" t="str">
        <f>_xlfn.IFNA(VLOOKUP($B$21&amp;ROWS($B$23:B24),Rosters!$B$2:$D$162,3,0),"?")</f>
        <v>?</v>
      </c>
      <c r="C24" s="6" t="str">
        <f>_xlfn.IFNA(VLOOKUP($B$21&amp;ROWS($C$23:C24),Rosters!$B$2:$E$162,4,0),"")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?</v>
      </c>
      <c r="B25" s="5" t="str">
        <f>_xlfn.IFNA(VLOOKUP($B$21&amp;ROWS($B$23:B25),Rosters!$B$2:$D$162,3,0),"?")</f>
        <v>?</v>
      </c>
      <c r="C25" s="5" t="str">
        <f>_xlfn.IFNA(VLOOKUP($B$21&amp;ROWS($C$23:C25),Rosters!$B$2:$E$162,4,0),"")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?</v>
      </c>
      <c r="B26" s="6" t="str">
        <f>_xlfn.IFNA(VLOOKUP($B$21&amp;ROWS($B$23:B26),Rosters!$B$2:$D$162,3,0),"?")</f>
        <v>?</v>
      </c>
      <c r="C26" s="6" t="str">
        <f>_xlfn.IFNA(VLOOKUP($B$21&amp;ROWS($C$23:C26),Rosters!$B$2:$E$162,4,0),"")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?</v>
      </c>
      <c r="B27" s="5" t="str">
        <f>_xlfn.IFNA(VLOOKUP($B$21&amp;ROWS($B$23:B27),Rosters!$B$2:$D$162,3,0),"?")</f>
        <v>?</v>
      </c>
      <c r="C27" s="5" t="str">
        <f>_xlfn.IFNA(VLOOKUP($B$21&amp;ROWS($C$23:C27),Rosters!$B$2:$E$162,4,0),"")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?</v>
      </c>
      <c r="B28" s="6" t="str">
        <f>_xlfn.IFNA(VLOOKUP($B$21&amp;ROWS($B$23:B28),Rosters!$B$2:$D$162,3,0),"?")</f>
        <v>?</v>
      </c>
      <c r="C28" s="6" t="str">
        <f>_xlfn.IFNA(VLOOKUP($B$21&amp;ROWS($C$23:C28),Rosters!$B$2:$E$162,4,0),"")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?</v>
      </c>
      <c r="B29" s="5" t="str">
        <f>_xlfn.IFNA(VLOOKUP($B$21&amp;ROWS($B$23:B29),Rosters!$B$2:$D$162,3,0),"?")</f>
        <v>?</v>
      </c>
      <c r="C29" s="5" t="str">
        <f>_xlfn.IFNA(VLOOKUP($B$21&amp;ROWS($C$23:C29),Rosters!$B$2:$E$162,4,0),"")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?</v>
      </c>
      <c r="B30" s="6" t="str">
        <f>_xlfn.IFNA(VLOOKUP($B$21&amp;ROWS($B$23:B30),Rosters!$B$2:$D$162,3,0),"?")</f>
        <v>?</v>
      </c>
      <c r="C30" s="6" t="str">
        <f>_xlfn.IFNA(VLOOKUP($B$21&amp;ROWS($C$23:C30),Rosters!$B$2:$E$162,4,0),"")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?</v>
      </c>
      <c r="B31" s="5" t="str">
        <f>_xlfn.IFNA(VLOOKUP($B$21&amp;ROWS($B$23:B31),Rosters!$B$2:$D$162,3,0),"?")</f>
        <v>?</v>
      </c>
      <c r="C31" s="5" t="str">
        <f>_xlfn.IFNA(VLOOKUP($B$21&amp;ROWS($C$23:C31),Rosters!$B$2:$E$162,4,0),"")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abSelected="1"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265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249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266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250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251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248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252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253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254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255</v>
      </c>
      <c r="D50" t="s">
        <v>256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257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258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259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247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260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261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262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262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262</v>
      </c>
      <c r="B143" t="str">
        <f>A143&amp;COUNTIF($A$2:$A143,A143)</f>
        <v>Guest3</v>
      </c>
      <c r="C143" t="s">
        <v>263</v>
      </c>
      <c r="D143" t="s">
        <v>239</v>
      </c>
      <c r="E143">
        <v>19</v>
      </c>
    </row>
    <row r="144" spans="1:5" x14ac:dyDescent="0.2">
      <c r="A144" t="s">
        <v>262</v>
      </c>
      <c r="B144" t="str">
        <f>A144&amp;COUNTIF($A$2:$A144,A144)</f>
        <v>Guest4</v>
      </c>
      <c r="C144" t="s">
        <v>241</v>
      </c>
      <c r="D144" t="s">
        <v>264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2021-07-29T18:21:45Z</dcterms:modified>
</cp:coreProperties>
</file>