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24T180925Z-001/"/>
    </mc:Choice>
  </mc:AlternateContent>
  <xr:revisionPtr revIDLastSave="0" documentId="13_ncr:1_{3F857386-289A-F644-AD6C-0FC5B989FF5D}" xr6:coauthVersionLast="47" xr6:coauthVersionMax="47" xr10:uidLastSave="{00000000-0000-0000-0000-000000000000}"/>
  <bookViews>
    <workbookView xWindow="13840" yWindow="500" windowWidth="14960" windowHeight="1594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1" l="1"/>
  <c r="Y13" i="1"/>
  <c r="Y6" i="1"/>
  <c r="Y7" i="1"/>
  <c r="Y8" i="1"/>
  <c r="Y9" i="1"/>
  <c r="Y10" i="1"/>
  <c r="Y11" i="1"/>
  <c r="Y12" i="1"/>
  <c r="Y14" i="1"/>
  <c r="Y15" i="1"/>
  <c r="Y16" i="1"/>
  <c r="Y17" i="1"/>
  <c r="Y18" i="1"/>
  <c r="Y19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5" i="1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M37" i="2" l="1"/>
  <c r="M18" i="2"/>
  <c r="I37" i="2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37" i="2" l="1"/>
  <c r="L18" i="2"/>
  <c r="K37" i="2"/>
  <c r="Y38" i="1"/>
  <c r="J37" i="2"/>
  <c r="Y20" i="1"/>
  <c r="K18" i="2"/>
  <c r="J18" i="2"/>
  <c r="G20" i="2"/>
  <c r="D2" i="2" s="1"/>
  <c r="G1" i="2"/>
  <c r="B2" i="2" s="1"/>
  <c r="C19" i="1" l="1"/>
  <c r="H17" i="2" s="1"/>
  <c r="F15" i="2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F36" i="2"/>
  <c r="B26" i="1"/>
  <c r="G25" i="2" s="1"/>
  <c r="B19" i="1"/>
  <c r="G17" i="2" s="1"/>
  <c r="H14" i="2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G14" i="2"/>
  <c r="C35" i="1"/>
  <c r="H34" i="2" s="1"/>
  <c r="A33" i="1"/>
  <c r="F32" i="2" s="1"/>
  <c r="B30" i="1"/>
  <c r="G29" i="2" s="1"/>
  <c r="C27" i="1"/>
  <c r="H26" i="2" s="1"/>
  <c r="A25" i="1"/>
  <c r="F24" i="2" s="1"/>
  <c r="F14" i="2"/>
  <c r="A30" i="1"/>
  <c r="F29" i="2" s="1"/>
  <c r="C29" i="1"/>
  <c r="H28" i="2" s="1"/>
  <c r="G36" i="2"/>
  <c r="C26" i="1"/>
  <c r="H25" i="2" s="1"/>
  <c r="C31" i="1"/>
  <c r="H30" i="2" s="1"/>
  <c r="C18" i="1"/>
  <c r="H16" i="2" s="1"/>
  <c r="B18" i="1"/>
  <c r="G16" i="2" s="1"/>
  <c r="A18" i="1"/>
  <c r="F16" i="2" s="1"/>
  <c r="H15" i="2"/>
  <c r="G15" i="2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H36" i="2"/>
  <c r="C34" i="1"/>
  <c r="H33" i="2" s="1"/>
  <c r="B24" i="1"/>
  <c r="G23" i="2" s="1"/>
  <c r="A29" i="1"/>
  <c r="F28" i="2" s="1"/>
  <c r="H13" i="2"/>
  <c r="F11" i="2"/>
  <c r="G8" i="2"/>
  <c r="C7" i="1"/>
  <c r="H5" i="2" s="1"/>
  <c r="G13" i="2"/>
  <c r="C12" i="1"/>
  <c r="H10" i="2" s="1"/>
  <c r="F8" i="2"/>
  <c r="B7" i="1"/>
  <c r="G5" i="2" s="1"/>
  <c r="F13" i="2"/>
  <c r="B12" i="1"/>
  <c r="G10" i="2" s="1"/>
  <c r="C9" i="1"/>
  <c r="H7" i="2" s="1"/>
  <c r="A7" i="1"/>
  <c r="F5" i="2" s="1"/>
  <c r="H12" i="2"/>
  <c r="A12" i="1"/>
  <c r="F10" i="2" s="1"/>
  <c r="B9" i="1"/>
  <c r="G7" i="2" s="1"/>
  <c r="G12" i="2"/>
  <c r="C11" i="1"/>
  <c r="H9" i="2" s="1"/>
  <c r="A9" i="1"/>
  <c r="F7" i="2" s="1"/>
  <c r="F12" i="2"/>
  <c r="B11" i="1"/>
  <c r="G9" i="2" s="1"/>
  <c r="C8" i="1"/>
  <c r="H6" i="2" s="1"/>
  <c r="H11" i="2"/>
  <c r="A11" i="1"/>
  <c r="F9" i="2" s="1"/>
  <c r="B8" i="1"/>
  <c r="G6" i="2" s="1"/>
  <c r="G11" i="2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<sst xmlns="http://schemas.openxmlformats.org/spreadsheetml/2006/main" count="376" uniqueCount="235">
  <si>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</si>
  <si>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</si>
  <si>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</si>
  <si>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</si>
  <si>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</si>
  <si>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</si>
  <si>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</si>
  <si>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</si>
  <si>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</si>
  <si>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</si>
  <si>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</si>
  <si>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</si>
  <si>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</si>
  <si>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</si>
  <si>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</si>
  <si>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</si>
  <si>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</si>
  <si>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</si>
  <si>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</si>
  <si>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</si>
  <si>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</si>
  <si>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</si>
  <si>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</si>
  <si>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</si>
  <si>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</si>
  <si>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</si>
  <si>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</si>
  <si>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</si>
  <si>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</si>
  <si>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</si>
  <si>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</si>
  <si>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</si>
  <si>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</si>
  <si>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</si>
  <si>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</si>
  <si>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</si>
  <si>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</si>
  <si>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</si>
  <si>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</si>
  <si>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</si>
  <si>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</si>
  <si>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</si>
  <si>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</si>
  <si>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</si>
  <si>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</si>
  <si>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</si>
  <si>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</si>
  <si>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</si>
  <si>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</si>
  <si>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</si>
  <si>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</si>
  <si>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</si>
  <si>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</si>
  <si>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</si>
  <si>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</si>
  <si>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</si>
  <si>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</si>
  <si>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</si>
  <si>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</si>
  <si>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</si>
  <si>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</si>
  <si>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</si>
  <si>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</si>
  <si>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</si>
  <si>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</si>
  <si>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</si>
  <si>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</si>
  <si>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</si>
  <si>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</si>
  <si>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</si>
  <si>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</si>
  <si>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</si>
  <si>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</si>
  <si>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</si>
  <si>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</si>
  <si>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</si>
  <si>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</si>
  <si>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</si>
  <si>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</si>
  <si>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</si>
  <si>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</si>
  <si>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</si>
  <si>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</si>
  <si>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</si>
  <si>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</si>
  <si>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</si>
  <si>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</si>
  <si>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</si>
  <si>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</si>
  <si>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</si>
  <si>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</si>
  <si>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</si>
  <si>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</si>
  <si>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</si>
  <si>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</si>
  <si>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</si>
  <si>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</si>
  <si>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</si>
  <si>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</si>
  <si>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</si>
  <si>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</si>
  <si>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</si>
  <si>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</si>
  <si>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</si>
  <si>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</si>
  <si>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</si>
  <si>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</si>
  <si>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</si>
  <si>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</si>
  <si>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</si>
  <si>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</si>
  <si>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</si>
  <si>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</si>
  <si>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</si>
  <si>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</si>
  <si>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</si>
  <si>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</si>
  <si>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</si>
  <si>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</si>
  <si>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</si>
  <si>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</si>
  <si>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</si>
  <si>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</si>
  <si>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</si>
  <si>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</si>
  <si>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</si>
  <si>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</si>
  <si>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</si>
  <si>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</si>
  <si>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</si>
  <si>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</si>
  <si>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</si>
  <si>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</si>
  <si>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</si>
  <si>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</si>
  <si>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</si>
  <si>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</si>
  <si>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</si>
  <si>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</si>
  <si>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</si>
  <si>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</si>
  <si>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</si>
  <si>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</si>
  <si>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</si>
  <si>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</si>
  <si>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</si>
  <si>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</si>
  <si>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</si>
  <si>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</si>
  <si>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</si>
  <si>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</si>
  <si>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</si>
  <si>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</si>
  <si>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</si>
  <si>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</si>
  <si>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</si>
  <si>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</si>
  <si>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</si>
  <si>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</si>
  <si>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</si>
  <si>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</si>
  <si>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</si>
  <si>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</si>
  <si>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</si>
  <si>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</si>
  <si>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</si>
  <si>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</si>
  <si>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</si>
  <si>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</si>
  <si>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</si>
  <si>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</si>
  <si>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</si>
  <si>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</si>
  <si>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</si>
  <si>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</si>
  <si>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</si>
  <si>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</si>
  <si>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</si>
  <si>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</si>
  <si>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</si>
  <si>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</si>
  <si>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</si>
  <si>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</si>
  <si>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</si>
  <si>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</si>
  <si>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</si>
  <si>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</si>
  <si>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</si>
  <si>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</si>
  <si>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</si>
  <si>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</si>
  <si>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</si>
  <si>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</si>
  <si>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</si>
  <si>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</si>
  <si>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</si>
  <si>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</si>
  <si>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</si>
  <si>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</si>
  <si>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</si>
  <si>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</si>
  <si>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</si>
  <si>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</si>
  <si>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</si>
  <si>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</si>
  <si>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</si>
  <si>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</si>
  <si>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</si>
  <si>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</si>
  <si>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</si>
  <si>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</si>
  <si>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</si>
  <si>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</si>
  <si>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</si>
  <si>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</si>
  <si>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</si>
  <si>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</si>
  <si>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</si>
  <si>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</si>
  <si>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</si>
  <si>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</si>
  <si>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</si>
  <si>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PF</t>
  </si>
  <si>
    <t>TOTAL PTS</t>
  </si>
  <si>
    <t>Levi</t>
  </si>
  <si>
    <t>Wilson</t>
  </si>
  <si>
    <t>JJ</t>
  </si>
  <si>
    <t>Epson</t>
  </si>
  <si>
    <t>Lewis</t>
  </si>
  <si>
    <t>Majok</t>
  </si>
  <si>
    <t>McKay</t>
  </si>
  <si>
    <t>TEAM FOULS</t>
  </si>
  <si>
    <t>?</t>
  </si>
  <si>
    <t>00</t>
  </si>
  <si>
    <t>Stewart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</si>
</sst>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1" fillId="2" borderId="0" xfId="0" applyFont="1" applyFill="1"/>
    <xf numFmtId="0" fontId="1" fillId="0" borderId="0" xfId="0" applyFont="1" applyFill="1"/>
    <xf numFmtId="0" fontId="1" fillId="0" borderId="0" xfId="0" quotePrefix="1" applyFon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G13" sqref="G13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14</v>
      </c>
      <c r="F1" t="s">
        <v>7</v>
      </c>
      <c r="G1" t="str">
        <f>'Stats G1'!B3</f>
        <v>Team Erickson</v>
      </c>
    </row>
    <row r="2" spans="2:13" x14ac:dyDescent="0.2">
      <c r="B2" t="str">
        <f>G1</f>
        <v>Team Erickson</v>
      </c>
      <c r="D2" t="str">
        <f>G20</f>
        <v>Team Humpherys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  <c r="M2" t="s">
        <v>222</v>
      </c>
    </row>
    <row r="3" spans="2:13" x14ac:dyDescent="0.2">
      <c r="B3">
        <f>I18</f>
        <v>127</v>
      </c>
      <c r="C3" s="3" t="s">
        <v>13</v>
      </c>
      <c r="D3" s="4">
        <f>I37</f>
        <v>120</v>
      </c>
      <c r="F3" t="str">
        <f>'Stats G1'!A5</f>
        <v>Taylor</v>
      </c>
      <c r="G3" t="str">
        <f>'Stats G1'!B5</f>
        <v>Miller</v>
      </c>
      <c r="H3">
        <f>'Stats G1'!C5</f>
        <v>20</v>
      </c>
      <c r="I3">
        <f>'Stats G1'!H5*2+'Stats G1'!N5*3+'Stats G1'!T5</f>
        <v>0</v>
      </c>
      <c r="J3" t="str">
        <f>SUM('Stats G1'!H5+'Stats G1'!N5)&amp;"-"&amp;SUM('Stats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  <c r="M3">
        <f>'Stats G1'!W5</f>
        <v>0</v>
      </c>
    </row>
    <row r="4" spans="2:13" x14ac:dyDescent="0.2">
      <c r="F4" t="str">
        <f>'Stats G1'!A6</f>
        <v>Alrek</v>
      </c>
      <c r="G4" t="str">
        <f>'Stats G1'!B6</f>
        <v>Greenhalgh</v>
      </c>
      <c r="H4">
        <f>'Stats G1'!C6</f>
        <v>3</v>
      </c>
      <c r="I4">
        <f>'Stats G1'!H6*2+'Stats G1'!N6*3+'Stats G1'!T6</f>
        <v>23</v>
      </c>
      <c r="J4" t="str">
        <f>SUM('Stats G1'!H6+'Stats G1'!N6)&amp;"-"&amp;SUM('Stats G1'!E6+'Stats G1'!K6)</f>
        <v>9-18</v>
      </c>
      <c r="K4" t="str">
        <f>SUM('Stats G1'!N6)&amp;"-"&amp;SUM('Stats G1'!K6)</f>
        <v>3-8</v>
      </c>
      <c r="L4" t="str">
        <f>SUM('Stats G1'!T6)&amp;"-"&amp;SUM('Stats G1'!Q6)</f>
        <v>2-2</v>
      </c>
      <c r="M4">
        <f>'Stats G1'!W6</f>
        <v>2</v>
      </c>
    </row>
    <row r="5" spans="2:13" x14ac:dyDescent="0.2">
      <c r="F5" t="str">
        <f>'Stats G1'!A7</f>
        <v>Gideon</v>
      </c>
      <c r="G5" t="str">
        <f>'Stats G1'!B7</f>
        <v>George</v>
      </c>
      <c r="H5">
        <f>'Stats G1'!C7</f>
        <v>5</v>
      </c>
      <c r="I5">
        <f>'Stats G1'!H7*2+'Stats G1'!N7*3+'Stats G1'!T7</f>
        <v>0</v>
      </c>
      <c r="J5" t="str">
        <f>SUM('Stats G1'!H7+'Stats G1'!N7)&amp;"-"&amp;SUM('Stats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  <c r="M5">
        <f>'Stats G1'!W7</f>
        <v>0</v>
      </c>
    </row>
    <row r="6" spans="2:13" x14ac:dyDescent="0.2">
      <c r="F6" t="str">
        <f>'Stats G1'!A8</f>
        <v>Brock</v>
      </c>
      <c r="G6" t="str">
        <f>'Stats G1'!B8</f>
        <v>Anderson</v>
      </c>
      <c r="H6">
        <f>'Stats G1'!C8</f>
        <v>30</v>
      </c>
      <c r="I6">
        <f>'Stats G1'!H8*2+'Stats G1'!N8*3+'Stats G1'!T8</f>
        <v>0</v>
      </c>
      <c r="J6" t="str">
        <f>SUM('Stats G1'!H8+'Stats G1'!N8)&amp;"-"&amp;SUM('Stats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  <c r="M6">
        <f>'Stats G1'!W8</f>
        <v>0</v>
      </c>
    </row>
    <row r="7" spans="2:13" x14ac:dyDescent="0.2">
      <c r="F7" t="str">
        <f>'Stats G1'!A9</f>
        <v>Dalton</v>
      </c>
      <c r="G7" t="str">
        <f>'Stats G1'!B9</f>
        <v>Nixon</v>
      </c>
      <c r="H7">
        <f>'Stats G1'!C9</f>
        <v>4</v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  <c r="M7">
        <f>'Stats G1'!W9</f>
        <v>0</v>
      </c>
    </row>
    <row r="8" spans="2:13" x14ac:dyDescent="0.2">
      <c r="F8" t="str">
        <f>'Stats G1'!A10</f>
        <v>Levi</v>
      </c>
      <c r="G8" t="str">
        <f>'Stats G1'!B10</f>
        <v>Wilson</v>
      </c>
      <c r="H8">
        <f>'Stats G1'!C10</f>
        <v>13</v>
      </c>
      <c r="I8">
        <f>'Stats G1'!H10*2+'Stats G1'!N10*3+'Stats G1'!T10</f>
        <v>15</v>
      </c>
      <c r="J8" t="str">
        <f>SUM('Stats G1'!H10+'Stats G1'!N10)&amp;"-"&amp;SUM('Stats G1'!E10+'Stats G1'!K10)</f>
        <v>6-8</v>
      </c>
      <c r="K8" t="str">
        <f>SUM('Stats G1'!N10)&amp;"-"&amp;SUM('Stats G1'!K10)</f>
        <v>0-0</v>
      </c>
      <c r="L8" t="str">
        <f>SUM('Stats G1'!T10)&amp;"-"&amp;SUM('Stats G1'!Q10)</f>
        <v>3-4</v>
      </c>
      <c r="M8">
        <f>'Stats G1'!W10</f>
        <v>2</v>
      </c>
    </row>
    <row r="9" spans="2:13" x14ac:dyDescent="0.2">
      <c r="F9" t="str">
        <f>'Stats G1'!A11</f>
        <v>Hunter</v>
      </c>
      <c r="G9" t="str">
        <f>'Stats G1'!B11</f>
        <v>Erickson</v>
      </c>
      <c r="H9">
        <f>'Stats G1'!C11</f>
        <v>0</v>
      </c>
      <c r="I9">
        <f>'Stats G1'!H11*2+'Stats G1'!N11*3+'Stats G1'!T11</f>
        <v>19</v>
      </c>
      <c r="J9" t="str">
        <f>SUM('Stats G1'!H11+'Stats G1'!N11)&amp;"-"&amp;SUM('Stats G1'!E11+'Stats G1'!K11)</f>
        <v>7-17</v>
      </c>
      <c r="K9" t="str">
        <f>SUM('Stats G1'!N11)&amp;"-"&amp;SUM('Stats G1'!K11)</f>
        <v>2-8</v>
      </c>
      <c r="L9" t="str">
        <f>SUM('Stats G1'!T11)&amp;"-"&amp;SUM('Stats G1'!Q11)</f>
        <v>3-6</v>
      </c>
      <c r="M9">
        <f>'Stats G1'!W11</f>
        <v>4</v>
      </c>
    </row>
    <row r="10" spans="2:13" x14ac:dyDescent="0.2">
      <c r="F10" t="str">
        <f>'Stats G1'!A12</f>
        <v>Dayon</v>
      </c>
      <c r="G10" t="str">
        <f>'Stats G1'!B12</f>
        <v>Goodman</v>
      </c>
      <c r="H10">
        <f>'Stats G1'!C12</f>
        <v>35</v>
      </c>
      <c r="I10">
        <f>'Stats G1'!H12*2+'Stats G1'!N12*3+'Stats G1'!T12</f>
        <v>0</v>
      </c>
      <c r="J10" t="str">
        <f>SUM('Stats G1'!H12+'Stats G1'!N12)&amp;"-"&amp;SUM('Stats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  <c r="M10">
        <f>'Stats G1'!W12</f>
        <v>0</v>
      </c>
    </row>
    <row r="11" spans="2:13" x14ac:dyDescent="0.2">
      <c r="F11" t="str">
        <f>'Stats G1'!A13</f>
        <v>?</v>
      </c>
      <c r="G11" t="str">
        <f>'Stats G1'!B13</f>
        <v>?</v>
      </c>
      <c r="H11" t="str">
        <f>'Stats G1'!C13</f>
        <v/>
      </c>
      <c r="I11">
        <f>'Stats G1'!H13*2+'Stats G1'!N13*3+'Stats G1'!T13</f>
        <v>0</v>
      </c>
      <c r="J11" t="str">
        <f>SUM('Stats G1'!H13+'Stats G1'!N13)&amp;"-"&amp;SUM('Stats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  <c r="M11">
        <f>'Stats G1'!W13</f>
        <v>0</v>
      </c>
    </row>
    <row r="12" spans="2:13" x14ac:dyDescent="0.2">
      <c r="F12" t="str">
        <f>'Stats G1'!A14</f>
        <v>JJ</v>
      </c>
      <c r="G12" t="str">
        <f>'Stats G1'!B14</f>
        <v>Epson</v>
      </c>
      <c r="H12" t="str">
        <f>'Stats G1'!C14</f>
        <v>00</v>
      </c>
      <c r="I12">
        <f>'Stats G1'!H14*2+'Stats G1'!N14*3+'Stats G1'!T14</f>
        <v>0</v>
      </c>
      <c r="J12" t="str">
        <f>SUM('Stats G1'!H14+'Stats G1'!N14)&amp;"-"&amp;SUM('Stats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  <c r="M12">
        <f>'Stats G1'!W14</f>
        <v>0</v>
      </c>
    </row>
    <row r="13" spans="2:13" x14ac:dyDescent="0.2">
      <c r="F13" t="str">
        <f>'Stats G1'!A15</f>
        <v>Lewis</v>
      </c>
      <c r="G13" t="str">
        <f>'Stats G1'!B15</f>
        <v>Johnson</v>
      </c>
      <c r="H13">
        <f>'Stats G1'!C15</f>
        <v>10</v>
      </c>
      <c r="I13">
        <f>'Stats G1'!H15*2+'Stats G1'!N15*3+'Stats G1'!T15</f>
        <v>26</v>
      </c>
      <c r="J13" t="str">
        <f>SUM('Stats G1'!H15+'Stats G1'!N15)&amp;"-"&amp;SUM('Stats G1'!E15+'Stats G1'!K15)</f>
        <v>11-20</v>
      </c>
      <c r="K13" t="str">
        <f>SUM('Stats G1'!N15)&amp;"-"&amp;SUM('Stats G1'!K15)</f>
        <v>4-12</v>
      </c>
      <c r="L13" t="str">
        <f>SUM('Stats G1'!T15)&amp;"-"&amp;SUM('Stats G1'!Q15)</f>
        <v>0-2</v>
      </c>
      <c r="M13">
        <f>'Stats G1'!W15</f>
        <v>5</v>
      </c>
    </row>
    <row r="14" spans="2:13" x14ac:dyDescent="0.2">
      <c r="F14" t="str">
        <f>'Stats G1'!A16</f>
        <v>McKay</v>
      </c>
      <c r="G14" t="str">
        <f>'Stats G1'!B16</f>
        <v>Johnson</v>
      </c>
      <c r="H14">
        <f>'Stats G1'!C16</f>
        <v>23</v>
      </c>
      <c r="I14">
        <f>'Stats G1'!H16*2+'Stats G1'!N16*3+'Stats G1'!T16</f>
        <v>10</v>
      </c>
      <c r="J14" t="str">
        <f>SUM('Stats G1'!H16+'Stats G1'!N16)&amp;"-"&amp;SUM('Stats G1'!E16+'Stats G1'!K16)</f>
        <v>2-8</v>
      </c>
      <c r="K14" t="str">
        <f>SUM('Stats G1'!N16)&amp;"-"&amp;SUM('Stats G1'!K16)</f>
        <v>0-4</v>
      </c>
      <c r="L14" t="str">
        <f>SUM('Stats G1'!T16)&amp;"-"&amp;SUM('Stats G1'!Q16)</f>
        <v>6-6</v>
      </c>
      <c r="M14">
        <f>'Stats G1'!W16</f>
        <v>1</v>
      </c>
    </row>
    <row r="15" spans="2:13" x14ac:dyDescent="0.2">
      <c r="F15" t="str">
        <f>'Stats G1'!A17</f>
        <v>Tre</v>
      </c>
      <c r="G15" t="str">
        <f>'Stats G1'!B17</f>
        <v>Stewart</v>
      </c>
      <c r="H15">
        <f>'Stats G1'!C17</f>
        <v>1</v>
      </c>
      <c r="I15">
        <f>'Stats G1'!H17*2+'Stats G1'!N17*3+'Stats G1'!T17</f>
        <v>34</v>
      </c>
      <c r="J15" t="str">
        <f>SUM('Stats G1'!H17+'Stats G1'!N17)&amp;"-"&amp;SUM('Stats G1'!E17+'Stats G1'!K17)</f>
        <v>13-29</v>
      </c>
      <c r="K15" t="str">
        <f>SUM('Stats G1'!N17)&amp;"-"&amp;SUM('Stats G1'!K17)</f>
        <v>7-17</v>
      </c>
      <c r="L15" t="str">
        <f>SUM('Stats G1'!T17)&amp;"-"&amp;SUM('Stats G1'!Q17)</f>
        <v>1-2</v>
      </c>
      <c r="M15">
        <f>'Stats G1'!W17</f>
        <v>3</v>
      </c>
    </row>
    <row r="16" spans="2:13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  <c r="M16">
        <f>'Stats G1'!W18</f>
        <v>0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  <c r="M17">
        <f>'Stats G1'!W19</f>
        <v>0</v>
      </c>
    </row>
    <row r="18" spans="6:13" x14ac:dyDescent="0.2">
      <c r="H18" s="2" t="s">
        <v>12</v>
      </c>
      <c r="I18">
        <f>SUM(I3:I17)</f>
        <v>127</v>
      </c>
      <c r="J18" t="str">
        <f>SUM('Stats G1'!H20+'Stats G1'!N20)&amp;"-"&amp;SUM('Stats G1'!E20+'Stats G1'!K20)</f>
        <v>48-100</v>
      </c>
      <c r="K18" t="str">
        <f>SUM('Stats G1'!N20)&amp;"-"&amp;SUM('Stats G1'!K20)</f>
        <v>16-49</v>
      </c>
      <c r="L18" t="str">
        <f>SUM('Stats G1'!T20)&amp;"-"&amp;SUM('Stats G1'!Q20)</f>
        <v>15-22</v>
      </c>
      <c r="M18">
        <f>SUM(M3:M17)</f>
        <v>17</v>
      </c>
    </row>
    <row r="20" spans="6:13" x14ac:dyDescent="0.2">
      <c r="F20" t="s">
        <v>11</v>
      </c>
      <c r="G20" t="str">
        <f>'Stats G1'!B21</f>
        <v>Team Humpherys</v>
      </c>
    </row>
    <row r="21" spans="6:13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  <c r="M21" t="s">
        <v>222</v>
      </c>
    </row>
    <row r="22" spans="6:13" x14ac:dyDescent="0.2">
      <c r="F22" t="str">
        <f>'Stats G1'!A23</f>
        <v>John</v>
      </c>
      <c r="G22" t="str">
        <f>'Stats G1'!B23</f>
        <v>Knight III</v>
      </c>
      <c r="H22">
        <f>'Stats G1'!C23</f>
        <v>23</v>
      </c>
      <c r="I22">
        <f>'Stats G1'!H23*2+'Stats G1'!N23*3+'Stats G1'!T23</f>
        <v>0</v>
      </c>
      <c r="J22" t="str">
        <f>SUM('Stats G1'!H23+'Stats G1'!N23)&amp;"-"&amp;SUM('Stats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  <c r="M22">
        <f>'Stats G1'!W23</f>
        <v>0</v>
      </c>
    </row>
    <row r="23" spans="6:13" x14ac:dyDescent="0.2">
      <c r="F23" t="str">
        <f>'Stats G1'!A24</f>
        <v>Isaac</v>
      </c>
      <c r="G23" t="str">
        <f>'Stats G1'!B24</f>
        <v>Johnson</v>
      </c>
      <c r="H23">
        <f>'Stats G1'!C24</f>
        <v>20</v>
      </c>
      <c r="I23">
        <f>'Stats G1'!H24*2+'Stats G1'!N24*3+'Stats G1'!T24</f>
        <v>16</v>
      </c>
      <c r="J23" t="str">
        <f>SUM('Stats G1'!H24+'Stats G1'!N24)&amp;"-"&amp;SUM('Stats G1'!E24+'Stats G1'!K24)</f>
        <v>7-9</v>
      </c>
      <c r="K23" t="str">
        <f>SUM('Stats G1'!N24)&amp;"-"&amp;SUM('Stats G1'!K24)</f>
        <v>2-3</v>
      </c>
      <c r="L23" t="str">
        <f>SUM('Stats G1'!T24)&amp;"-"&amp;SUM('Stats G1'!Q24)</f>
        <v>0-1</v>
      </c>
      <c r="M23">
        <f>'Stats G1'!W24</f>
        <v>4</v>
      </c>
    </row>
    <row r="24" spans="6:13" x14ac:dyDescent="0.2">
      <c r="F24" t="str">
        <f>'Stats G1'!A25</f>
        <v>Seena</v>
      </c>
      <c r="G24" t="str">
        <f>'Stats G1'!B25</f>
        <v>Namdar</v>
      </c>
      <c r="H24">
        <f>'Stats G1'!C25</f>
        <v>13</v>
      </c>
      <c r="I24">
        <f>'Stats G1'!H25*2+'Stats G1'!N25*3+'Stats G1'!T25</f>
        <v>2</v>
      </c>
      <c r="J24" t="str">
        <f>SUM('Stats G1'!H25+'Stats G1'!N25)&amp;"-"&amp;SUM('Stats G1'!E25+'Stats G1'!K25)</f>
        <v>1-3</v>
      </c>
      <c r="K24" t="str">
        <f>SUM('Stats G1'!N25)&amp;"-"&amp;SUM('Stats G1'!K25)</f>
        <v>0-2</v>
      </c>
      <c r="L24" t="str">
        <f>SUM('Stats G1'!T25)&amp;"-"&amp;SUM('Stats G1'!Q25)</f>
        <v>0-0</v>
      </c>
      <c r="M24">
        <f>'Stats G1'!W25</f>
        <v>2</v>
      </c>
    </row>
    <row r="25" spans="6:13" x14ac:dyDescent="0.2">
      <c r="F25" t="str">
        <f>'Stats G1'!A26</f>
        <v>Hunter</v>
      </c>
      <c r="G25" t="str">
        <f>'Stats G1'!B26</f>
        <v>Humpherys</v>
      </c>
      <c r="H25">
        <f>'Stats G1'!C26</f>
        <v>11</v>
      </c>
      <c r="I25">
        <f>'Stats G1'!H26*2+'Stats G1'!N26*3+'Stats G1'!T26</f>
        <v>2</v>
      </c>
      <c r="J25" t="str">
        <f>SUM('Stats G1'!H26+'Stats G1'!N26)&amp;"-"&amp;SUM('Stats G1'!E26+'Stats G1'!K26)</f>
        <v>1-2</v>
      </c>
      <c r="K25" t="str">
        <f>SUM('Stats G1'!N26)&amp;"-"&amp;SUM('Stats G1'!K26)</f>
        <v>0-0</v>
      </c>
      <c r="L25" t="str">
        <f>SUM('Stats G1'!T26)&amp;"-"&amp;SUM('Stats G1'!Q26)</f>
        <v>0-0</v>
      </c>
      <c r="M25">
        <f>'Stats G1'!W26</f>
        <v>3</v>
      </c>
    </row>
    <row r="26" spans="6:13" x14ac:dyDescent="0.2">
      <c r="F26" t="str">
        <f>'Stats G1'!A27</f>
        <v>Mark</v>
      </c>
      <c r="G26" t="str">
        <f>'Stats G1'!B27</f>
        <v>Burton</v>
      </c>
      <c r="H26">
        <f>'Stats G1'!C27</f>
        <v>3</v>
      </c>
      <c r="I26">
        <f>'Stats G1'!H27*2+'Stats G1'!N27*3+'Stats G1'!T27</f>
        <v>43</v>
      </c>
      <c r="J26" t="str">
        <f>SUM('Stats G1'!H27+'Stats G1'!N27)&amp;"-"&amp;SUM('Stats G1'!E27+'Stats G1'!K27)</f>
        <v>15-29</v>
      </c>
      <c r="K26" t="str">
        <f>SUM('Stats G1'!N27)&amp;"-"&amp;SUM('Stats G1'!K27)</f>
        <v>9-18</v>
      </c>
      <c r="L26" t="str">
        <f>SUM('Stats G1'!T27)&amp;"-"&amp;SUM('Stats G1'!Q27)</f>
        <v>4-6</v>
      </c>
      <c r="M26">
        <f>'Stats G1'!W27</f>
        <v>1</v>
      </c>
    </row>
    <row r="27" spans="6:13" x14ac:dyDescent="0.2">
      <c r="F27" t="str">
        <f>'Stats G1'!A28</f>
        <v>Gabe</v>
      </c>
      <c r="G27" t="str">
        <f>'Stats G1'!B28</f>
        <v>Madsen</v>
      </c>
      <c r="H27">
        <f>'Stats G1'!C28</f>
        <v>55</v>
      </c>
      <c r="I27">
        <f>'Stats G1'!H28*2+'Stats G1'!N28*3+'Stats G1'!T28</f>
        <v>0</v>
      </c>
      <c r="J27" t="str">
        <f>SUM('Stats G1'!H28+'Stats G1'!N28)&amp;"-"&amp;SUM('Stats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  <c r="M27">
        <f>'Stats G1'!W28</f>
        <v>0</v>
      </c>
    </row>
    <row r="28" spans="6:13" x14ac:dyDescent="0.2">
      <c r="F28" t="str">
        <f>'Stats G1'!A29</f>
        <v>Marco</v>
      </c>
      <c r="G28" t="str">
        <f>'Stats G1'!B29</f>
        <v>Anthony</v>
      </c>
      <c r="H28">
        <f>'Stats G1'!C29</f>
        <v>99</v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  <c r="M28">
        <f>'Stats G1'!W29</f>
        <v>0</v>
      </c>
    </row>
    <row r="29" spans="6:13" x14ac:dyDescent="0.2">
      <c r="F29" t="str">
        <f>'Stats G1'!A30</f>
        <v>Dee</v>
      </c>
      <c r="G29" t="str">
        <f>'Stats G1'!B30</f>
        <v>Barnes</v>
      </c>
      <c r="H29">
        <f>'Stats G1'!C30</f>
        <v>22</v>
      </c>
      <c r="I29">
        <f>'Stats G1'!H30*2+'Stats G1'!N30*3+'Stats G1'!T30</f>
        <v>0</v>
      </c>
      <c r="J29" t="str">
        <f>SUM('Stats G1'!H30+'Stats G1'!N30)&amp;"-"&amp;SUM('Stats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  <c r="M29">
        <f>'Stats G1'!W30</f>
        <v>0</v>
      </c>
    </row>
    <row r="30" spans="6:13" x14ac:dyDescent="0.2">
      <c r="F30" t="str">
        <f>'Stats G1'!A31</f>
        <v>Zack</v>
      </c>
      <c r="G30" t="str">
        <f>'Stats G1'!B31</f>
        <v>Visentin</v>
      </c>
      <c r="H30">
        <f>'Stats G1'!C31</f>
        <v>32</v>
      </c>
      <c r="I30">
        <f>'Stats G1'!H31*2+'Stats G1'!N31*3+'Stats G1'!T31</f>
        <v>15</v>
      </c>
      <c r="J30" t="str">
        <f>SUM('Stats G1'!H31+'Stats G1'!N31)&amp;"-"&amp;SUM('Stats G1'!E31+'Stats G1'!K31)</f>
        <v>4-7</v>
      </c>
      <c r="K30" t="str">
        <f>SUM('Stats G1'!N31)&amp;"-"&amp;SUM('Stats G1'!K31)</f>
        <v>0-0</v>
      </c>
      <c r="L30" t="str">
        <f>SUM('Stats G1'!T31)&amp;"-"&amp;SUM('Stats G1'!Q31)</f>
        <v>7-8</v>
      </c>
      <c r="M30">
        <f>'Stats G1'!W31</f>
        <v>0</v>
      </c>
    </row>
    <row r="31" spans="6:13" x14ac:dyDescent="0.2">
      <c r="F31" t="str">
        <f>'Stats G1'!A32</f>
        <v>Demarcus</v>
      </c>
      <c r="G31" t="str">
        <f>'Stats G1'!B32</f>
        <v>Harrison</v>
      </c>
      <c r="H31">
        <f>'Stats G1'!C32</f>
        <v>31</v>
      </c>
      <c r="I31">
        <f>'Stats G1'!H32*2+'Stats G1'!N32*3+'Stats G1'!T32</f>
        <v>15</v>
      </c>
      <c r="J31" t="str">
        <f>SUM('Stats G1'!H32+'Stats G1'!N32)&amp;"-"&amp;SUM('Stats G1'!E32+'Stats G1'!K32)</f>
        <v>7-15</v>
      </c>
      <c r="K31" t="str">
        <f>SUM('Stats G1'!N32)&amp;"-"&amp;SUM('Stats G1'!K32)</f>
        <v>1-5</v>
      </c>
      <c r="L31" t="str">
        <f>SUM('Stats G1'!T32)&amp;"-"&amp;SUM('Stats G1'!Q32)</f>
        <v>0-0</v>
      </c>
      <c r="M31">
        <f>'Stats G1'!W32</f>
        <v>1</v>
      </c>
    </row>
    <row r="32" spans="6:13" x14ac:dyDescent="0.2">
      <c r="F32" t="str">
        <f>'Stats G1'!A33</f>
        <v>Trey</v>
      </c>
      <c r="G32" t="str">
        <f>'Stats G1'!B33</f>
        <v>Anderson</v>
      </c>
      <c r="H32">
        <f>'Stats G1'!C33</f>
        <v>5</v>
      </c>
      <c r="I32">
        <f>'Stats G1'!H33*2+'Stats G1'!N33*3+'Stats G1'!T33</f>
        <v>7</v>
      </c>
      <c r="J32" t="str">
        <f>SUM('Stats G1'!H33+'Stats G1'!N33)&amp;"-"&amp;SUM('Stats G1'!E33+'Stats G1'!K33)</f>
        <v>2-9</v>
      </c>
      <c r="K32" t="str">
        <f>SUM('Stats G1'!N33)&amp;"-"&amp;SUM('Stats G1'!K33)</f>
        <v>0-2</v>
      </c>
      <c r="L32" t="str">
        <f>SUM('Stats G1'!T33)&amp;"-"&amp;SUM('Stats G1'!Q33)</f>
        <v>3-6</v>
      </c>
      <c r="M32">
        <f>'Stats G1'!W33</f>
        <v>0</v>
      </c>
    </row>
    <row r="33" spans="6:13" x14ac:dyDescent="0.2">
      <c r="F33" t="str">
        <f>'Stats G1'!A34</f>
        <v>Lual</v>
      </c>
      <c r="G33" t="str">
        <f>'Stats G1'!B34</f>
        <v>Arok</v>
      </c>
      <c r="H33">
        <f>'Stats G1'!C34</f>
        <v>9</v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  <c r="M33">
        <f>'Stats G1'!W34</f>
        <v>0</v>
      </c>
    </row>
    <row r="34" spans="6:13" x14ac:dyDescent="0.2">
      <c r="F34" t="str">
        <f>'Stats G1'!A35</f>
        <v>Zach</v>
      </c>
      <c r="G34" t="str">
        <f>'Stats G1'!B35</f>
        <v>Mogbo</v>
      </c>
      <c r="H34">
        <f>'Stats G1'!C35</f>
        <v>4</v>
      </c>
      <c r="I34">
        <f>'Stats G1'!H35*2+'Stats G1'!N35*3+'Stats G1'!T35</f>
        <v>20</v>
      </c>
      <c r="J34" t="str">
        <f>SUM('Stats G1'!H35+'Stats G1'!N35)&amp;"-"&amp;SUM('Stats G1'!E35+'Stats G1'!K35)</f>
        <v>9-18</v>
      </c>
      <c r="K34" t="str">
        <f>SUM('Stats G1'!N35)&amp;"-"&amp;SUM('Stats G1'!K35)</f>
        <v>0-2</v>
      </c>
      <c r="L34" t="str">
        <f>SUM('Stats G1'!T35)&amp;"-"&amp;SUM('Stats G1'!Q35)</f>
        <v>2-4</v>
      </c>
      <c r="M34">
        <f>'Stats G1'!W35</f>
        <v>4</v>
      </c>
    </row>
    <row r="35" spans="6:13" x14ac:dyDescent="0.2">
      <c r="F35" t="str">
        <f>'Stats G1'!A36</f>
        <v>Kyle</v>
      </c>
      <c r="G35" t="str">
        <f>'Stats G1'!B36</f>
        <v>Nielsen</v>
      </c>
      <c r="H35">
        <f>'Stats G1'!C36</f>
        <v>1</v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  <c r="M35">
        <f>'Stats G1'!W36</f>
        <v>0</v>
      </c>
    </row>
    <row r="36" spans="6:13" x14ac:dyDescent="0.2">
      <c r="F36" t="str">
        <f>'Stats G1'!A37</f>
        <v>Majok</v>
      </c>
      <c r="G36" t="str">
        <f>'Stats G1'!B37</f>
        <v>Kuath</v>
      </c>
      <c r="H36">
        <f>'Stats G1'!C37</f>
        <v>10</v>
      </c>
      <c r="I36">
        <f>'Stats G1'!H37*2+'Stats G1'!N37*3+'Stats G1'!T37</f>
        <v>0</v>
      </c>
      <c r="J36" t="str">
        <f>SUM('Stats G1'!H37+'Stats G1'!N37)&amp;"-"&amp;SUM('Stats G1'!E37+'Stats G1'!K37)</f>
        <v>0-2</v>
      </c>
      <c r="K36" t="str">
        <f>SUM('Stats G1'!N37)&amp;"-"&amp;SUM('Stats G1'!K37)</f>
        <v>0-1</v>
      </c>
      <c r="L36" t="str">
        <f>SUM('Stats G1'!T37)&amp;"-"&amp;SUM('Stats G1'!Q37)</f>
        <v>0-0</v>
      </c>
      <c r="M36">
        <f>'Stats G1'!W37</f>
        <v>0</v>
      </c>
    </row>
    <row r="37" spans="6:13" x14ac:dyDescent="0.2">
      <c r="H37" s="2" t="s">
        <v>12</v>
      </c>
      <c r="I37">
        <f>SUM(I22:I36)</f>
        <v>120</v>
      </c>
      <c r="J37" t="str">
        <f>SUM('Stats G1'!H38+'Stats G1'!N38)&amp;"-"&amp;SUM('Stats G1'!E38+'Stats G1'!K38)</f>
        <v>46-94</v>
      </c>
      <c r="K37" t="str">
        <f>SUM('Stats G1'!N38)&amp;"-"&amp;SUM('Stats G1'!K38)</f>
        <v>12-33</v>
      </c>
      <c r="L37" t="str">
        <f>SUM('Stats G1'!T38)&amp;"-"&amp;SUM('Stats G1'!Q38)</f>
        <v>16-25</v>
      </c>
      <c r="M37">
        <f>SUM(M22:M36)</f>
        <v>15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AA38"/>
  <sheetViews>
    <sheetView topLeftCell="A3" zoomScale="140" zoomScaleNormal="140" workbookViewId="0">
      <selection activeCell="B18" sqref="B18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6" max="26" width="4" customWidth="1"/>
  </cols>
  <sheetData>
    <row r="1" spans="1:27" hidden="1" x14ac:dyDescent="0.2">
      <c r="A1" s="1" t="s">
        <v>17</v>
      </c>
      <c r="B1" t="s">
        <v>19</v>
      </c>
      <c r="C1" t="s">
        <v>18</v>
      </c>
    </row>
    <row r="2" spans="1:27" hidden="1" x14ac:dyDescent="0.2"/>
    <row r="3" spans="1:27" x14ac:dyDescent="0.2">
      <c r="A3" s="2" t="s">
        <v>15</v>
      </c>
      <c r="B3" s="1" t="s">
        <v>113</v>
      </c>
    </row>
    <row r="4" spans="1:27" x14ac:dyDescent="0.2">
      <c r="A4" t="s">
        <v>1</v>
      </c>
      <c r="B4" t="s">
        <v>2</v>
      </c>
      <c r="C4" s="2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  <c r="W4" t="s">
        <v>222</v>
      </c>
      <c r="Y4" t="s">
        <v>223</v>
      </c>
      <c r="Z4" s="2" t="s">
        <v>0</v>
      </c>
      <c r="AA4" t="s">
        <v>231</v>
      </c>
    </row>
    <row r="5" spans="1:27" s="6" customFormat="1" x14ac:dyDescent="0.2">
      <c r="A5" s="5" t="str">
        <f>_xlfn.IFNA(VLOOKUP($B$3&amp;ROWS($A$5:A5),Rosters!$B$2:$C$163,2,0),"?")</f>
        <v>Taylor</v>
      </c>
      <c r="B5" s="5" t="str">
        <f>_xlfn.IFNA(VLOOKUP($B$3&amp;ROWS($B$5:B5),Rosters!$B$2:$D$163,3,0),"?")</f>
        <v>Miller</v>
      </c>
      <c r="C5" s="9">
        <f>_xlfn.IFNA(VLOOKUP($B$3&amp;ROWS($C$5:C5),Rosters!$B$2:$E$163,4,0),"")</f>
        <v>20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>
        <f>SUM(H5*2,N5*3,T5)</f>
        <v>0</v>
      </c>
      <c r="Z5" s="10">
        <v>20</v>
      </c>
    </row>
    <row r="6" spans="1:27" s="6" customFormat="1" x14ac:dyDescent="0.2">
      <c r="A6" s="6" t="str">
        <f>_xlfn.IFNA(VLOOKUP($B$3&amp;ROWS($A$5:A6),Rosters!$B$2:$C$163,2,0),"?")</f>
        <v>Alrek</v>
      </c>
      <c r="B6" s="6" t="str">
        <f>_xlfn.IFNA(VLOOKUP($B$3&amp;ROWS($B$5:B6),Rosters!$B$2:$D$163,3,0),"?")</f>
        <v>Greenhalgh</v>
      </c>
      <c r="C6" s="10">
        <f>_xlfn.IFNA(VLOOKUP($B$3&amp;ROWS($C$5:C6),Rosters!$B$2:$E$163,4,0),"")</f>
        <v>3</v>
      </c>
      <c r="E6" s="6">
        <v>10</v>
      </c>
      <c r="H6" s="6">
        <v>6</v>
      </c>
      <c r="K6" s="6">
        <v>8</v>
      </c>
      <c r="N6" s="6">
        <v>3</v>
      </c>
      <c r="Q6" s="6">
        <v>2</v>
      </c>
      <c r="T6" s="6">
        <v>2</v>
      </c>
      <c r="W6" s="6">
        <v>2</v>
      </c>
      <c r="Y6" s="6">
        <f t="shared" ref="Y6:Y38" si="0">SUM(H6*2,N6*3,T6)</f>
        <v>23</v>
      </c>
      <c r="Z6" s="10">
        <v>3</v>
      </c>
    </row>
    <row r="7" spans="1:27" s="6" customFormat="1" x14ac:dyDescent="0.2">
      <c r="A7" s="5" t="str">
        <f>_xlfn.IFNA(VLOOKUP($B$3&amp;ROWS($A$5:A7),Rosters!$B$2:$C$163,2,0),"?")</f>
        <v>Gideon</v>
      </c>
      <c r="B7" s="5" t="str">
        <f>_xlfn.IFNA(VLOOKUP($B$3&amp;ROWS($B$5:B7),Rosters!$B$2:$D$163,3,0),"?")</f>
        <v>George</v>
      </c>
      <c r="C7" s="9">
        <f>_xlfn.IFNA(VLOOKUP($B$3&amp;ROWS($C$5:C7),Rosters!$B$2:$E$163,4,0),"")</f>
        <v>5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  <c r="Y7" s="6">
        <f t="shared" si="0"/>
        <v>0</v>
      </c>
      <c r="Z7" s="10">
        <v>5</v>
      </c>
    </row>
    <row r="8" spans="1:27" s="6" customFormat="1" x14ac:dyDescent="0.2">
      <c r="A8" s="6" t="str">
        <f>_xlfn.IFNA(VLOOKUP($B$3&amp;ROWS($A$5:A8),Rosters!$B$2:$C$163,2,0),"?")</f>
        <v>Brock</v>
      </c>
      <c r="B8" s="6" t="str">
        <f>_xlfn.IFNA(VLOOKUP($B$3&amp;ROWS($B$5:B8),Rosters!$B$2:$D$163,3,0),"?")</f>
        <v>Anderson</v>
      </c>
      <c r="C8" s="10">
        <f>_xlfn.IFNA(VLOOKUP($B$3&amp;ROWS($C$5:C8),Rosters!$B$2:$E$163,4,0),"")</f>
        <v>30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  <c r="Y8" s="6">
        <f t="shared" si="0"/>
        <v>0</v>
      </c>
      <c r="Z8" s="10">
        <v>30</v>
      </c>
    </row>
    <row r="9" spans="1:27" s="6" customFormat="1" x14ac:dyDescent="0.2">
      <c r="A9" s="5" t="str">
        <f>_xlfn.IFNA(VLOOKUP($B$3&amp;ROWS($A$5:A9),Rosters!$B$2:$C$163,2,0),"?")</f>
        <v>Dalton</v>
      </c>
      <c r="B9" s="5" t="str">
        <f>_xlfn.IFNA(VLOOKUP($B$3&amp;ROWS($B$5:B9),Rosters!$B$2:$D$163,3,0),"?")</f>
        <v>Nixon</v>
      </c>
      <c r="C9" s="9">
        <f>_xlfn.IFNA(VLOOKUP($B$3&amp;ROWS($C$5:C9),Rosters!$B$2:$E$163,4,0),"")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  <c r="Y9" s="6">
        <f t="shared" si="0"/>
        <v>0</v>
      </c>
      <c r="Z9" s="10">
        <v>4</v>
      </c>
    </row>
    <row r="10" spans="1:27" s="6" customFormat="1" x14ac:dyDescent="0.2">
      <c r="A10" s="6" t="s">
        <v>224</v>
      </c>
      <c r="B10" s="6" t="s">
        <v>225</v>
      </c>
      <c r="C10" s="10">
        <f>_xlfn.IFNA(VLOOKUP($B$3&amp;ROWS($C$5:C10),Rosters!$B$2:$E$163,4,0),"")</f>
        <v>13</v>
      </c>
      <c r="E10" s="6">
        <v>8</v>
      </c>
      <c r="H10" s="6">
        <v>6</v>
      </c>
      <c r="K10" s="6">
        <v>0</v>
      </c>
      <c r="N10" s="6">
        <v>0</v>
      </c>
      <c r="Q10" s="6">
        <v>4</v>
      </c>
      <c r="T10" s="6">
        <v>3</v>
      </c>
      <c r="W10" s="6">
        <v>2</v>
      </c>
      <c r="Y10" s="6">
        <f t="shared" si="0"/>
        <v>15</v>
      </c>
      <c r="Z10" s="10">
        <v>13</v>
      </c>
    </row>
    <row r="11" spans="1:27" s="6" customFormat="1" x14ac:dyDescent="0.2">
      <c r="A11" s="5" t="str">
        <f>_xlfn.IFNA(VLOOKUP($B$3&amp;ROWS($A$5:A11),Rosters!$B$2:$C$163,2,0),"?")</f>
        <v>Hunter</v>
      </c>
      <c r="B11" s="5" t="str">
        <f>_xlfn.IFNA(VLOOKUP($B$3&amp;ROWS($B$5:B11),Rosters!$B$2:$D$163,3,0),"?")</f>
        <v>Erickson</v>
      </c>
      <c r="C11" s="9">
        <f>_xlfn.IFNA(VLOOKUP($B$3&amp;ROWS($C$5:C11),Rosters!$B$2:$E$163,4,0),"")</f>
        <v>0</v>
      </c>
      <c r="D11" s="5"/>
      <c r="E11" s="5">
        <v>9</v>
      </c>
      <c r="F11" s="5"/>
      <c r="G11" s="5"/>
      <c r="H11" s="5">
        <v>5</v>
      </c>
      <c r="I11" s="5"/>
      <c r="J11" s="5"/>
      <c r="K11" s="5">
        <v>8</v>
      </c>
      <c r="L11" s="5"/>
      <c r="M11" s="5"/>
      <c r="N11" s="5">
        <v>2</v>
      </c>
      <c r="O11" s="5"/>
      <c r="P11" s="5"/>
      <c r="Q11" s="5">
        <v>6</v>
      </c>
      <c r="R11" s="5"/>
      <c r="S11" s="5"/>
      <c r="T11" s="5">
        <v>3</v>
      </c>
      <c r="U11" s="5"/>
      <c r="V11" s="5"/>
      <c r="W11" s="5">
        <v>4</v>
      </c>
      <c r="X11" s="5"/>
      <c r="Y11" s="6">
        <f t="shared" si="0"/>
        <v>19</v>
      </c>
      <c r="Z11" s="10">
        <v>0</v>
      </c>
    </row>
    <row r="12" spans="1:27" s="6" customFormat="1" x14ac:dyDescent="0.2">
      <c r="A12" s="6" t="str">
        <f>_xlfn.IFNA(VLOOKUP($B$3&amp;ROWS($A$5:A12),Rosters!$B$2:$C$163,2,0),"?")</f>
        <v>Dayon</v>
      </c>
      <c r="B12" s="6" t="str">
        <f>_xlfn.IFNA(VLOOKUP($B$3&amp;ROWS($B$5:B12),Rosters!$B$2:$D$163,3,0),"?")</f>
        <v>Goodman</v>
      </c>
      <c r="C12" s="10">
        <f>_xlfn.IFNA(VLOOKUP($B$3&amp;ROWS($C$5:C12),Rosters!$B$2:$E$163,4,0),"")</f>
        <v>35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  <c r="Y12" s="6">
        <f t="shared" si="0"/>
        <v>0</v>
      </c>
      <c r="Z12" s="10">
        <v>35</v>
      </c>
    </row>
    <row r="13" spans="1:27" s="6" customFormat="1" x14ac:dyDescent="0.2">
      <c r="A13" s="5" t="s">
        <v>232</v>
      </c>
      <c r="B13" s="5" t="s">
        <v>232</v>
      </c>
      <c r="C13" s="10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  <c r="Y13" s="6">
        <f t="shared" si="0"/>
        <v>0</v>
      </c>
      <c r="Z13" s="10">
        <v>13</v>
      </c>
    </row>
    <row r="14" spans="1:27" s="6" customFormat="1" x14ac:dyDescent="0.2">
      <c r="A14" s="6" t="s">
        <v>226</v>
      </c>
      <c r="B14" s="6" t="s">
        <v>227</v>
      </c>
      <c r="C14" s="11" t="s">
        <v>233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  <c r="Y14" s="6">
        <f t="shared" si="0"/>
        <v>0</v>
      </c>
      <c r="Z14" s="10">
        <v>0</v>
      </c>
    </row>
    <row r="15" spans="1:27" s="6" customFormat="1" x14ac:dyDescent="0.2">
      <c r="A15" s="5" t="s">
        <v>228</v>
      </c>
      <c r="B15" s="5" t="s">
        <v>203</v>
      </c>
      <c r="C15" s="9">
        <v>10</v>
      </c>
      <c r="D15" s="5"/>
      <c r="E15" s="5">
        <v>8</v>
      </c>
      <c r="F15" s="5"/>
      <c r="G15" s="5"/>
      <c r="H15" s="5">
        <v>7</v>
      </c>
      <c r="I15" s="5"/>
      <c r="J15" s="5"/>
      <c r="K15" s="5">
        <v>12</v>
      </c>
      <c r="L15" s="5"/>
      <c r="M15" s="5"/>
      <c r="N15" s="5">
        <v>4</v>
      </c>
      <c r="O15" s="5"/>
      <c r="P15" s="5"/>
      <c r="Q15" s="5">
        <v>2</v>
      </c>
      <c r="R15" s="5"/>
      <c r="S15" s="5"/>
      <c r="T15" s="5">
        <v>0</v>
      </c>
      <c r="U15" s="5"/>
      <c r="V15" s="5"/>
      <c r="W15" s="5">
        <v>5</v>
      </c>
      <c r="X15" s="5"/>
      <c r="Y15" s="6">
        <f t="shared" si="0"/>
        <v>26</v>
      </c>
      <c r="Z15" s="10">
        <v>10</v>
      </c>
    </row>
    <row r="16" spans="1:27" s="6" customFormat="1" x14ac:dyDescent="0.2">
      <c r="A16" s="6" t="s">
        <v>230</v>
      </c>
      <c r="B16" s="6" t="s">
        <v>203</v>
      </c>
      <c r="C16" s="10">
        <v>23</v>
      </c>
      <c r="E16" s="6">
        <v>4</v>
      </c>
      <c r="H16" s="6">
        <v>2</v>
      </c>
      <c r="K16" s="6">
        <v>4</v>
      </c>
      <c r="N16" s="6">
        <v>0</v>
      </c>
      <c r="Q16" s="6">
        <v>6</v>
      </c>
      <c r="T16" s="6">
        <v>6</v>
      </c>
      <c r="W16" s="6">
        <v>1</v>
      </c>
      <c r="Y16" s="6">
        <f t="shared" si="0"/>
        <v>10</v>
      </c>
      <c r="Z16" s="10">
        <v>23</v>
      </c>
    </row>
    <row r="17" spans="1:27" s="6" customFormat="1" x14ac:dyDescent="0.2">
      <c r="A17" s="5" t="s">
        <v>74</v>
      </c>
      <c r="B17" s="5" t="s">
        <v>234</v>
      </c>
      <c r="C17" s="9">
        <v>1</v>
      </c>
      <c r="D17" s="5"/>
      <c r="E17" s="5">
        <v>12</v>
      </c>
      <c r="F17" s="5"/>
      <c r="G17" s="5"/>
      <c r="H17" s="5">
        <v>6</v>
      </c>
      <c r="I17" s="5"/>
      <c r="J17" s="5"/>
      <c r="K17" s="5">
        <v>17</v>
      </c>
      <c r="L17" s="5"/>
      <c r="M17" s="5"/>
      <c r="N17" s="5">
        <v>7</v>
      </c>
      <c r="O17" s="5"/>
      <c r="P17" s="5"/>
      <c r="Q17" s="5">
        <v>2</v>
      </c>
      <c r="R17" s="5"/>
      <c r="S17" s="5"/>
      <c r="T17" s="5">
        <v>1</v>
      </c>
      <c r="U17" s="5"/>
      <c r="V17" s="5"/>
      <c r="W17" s="5">
        <v>3</v>
      </c>
      <c r="X17" s="5"/>
      <c r="Y17" s="6">
        <f t="shared" si="0"/>
        <v>34</v>
      </c>
      <c r="Z17" s="10">
        <v>1</v>
      </c>
    </row>
    <row r="18" spans="1:27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10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  <c r="Y18" s="6">
        <f t="shared" si="0"/>
        <v>0</v>
      </c>
      <c r="Z18" s="10"/>
    </row>
    <row r="19" spans="1:27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9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  <c r="Y19" s="6">
        <f t="shared" si="0"/>
        <v>0</v>
      </c>
      <c r="Z19" s="10"/>
    </row>
    <row r="20" spans="1:27" s="6" customFormat="1" x14ac:dyDescent="0.2">
      <c r="C20" s="10"/>
      <c r="E20" s="6">
        <f>SUM(E5:E19)</f>
        <v>51</v>
      </c>
      <c r="H20" s="6">
        <f>SUM(H5:H19)</f>
        <v>32</v>
      </c>
      <c r="K20" s="6">
        <f>SUM(K5:K19)</f>
        <v>49</v>
      </c>
      <c r="N20" s="6">
        <f>SUM(N5:N19)</f>
        <v>16</v>
      </c>
      <c r="Q20" s="6">
        <f>SUM(Q5:Q19)</f>
        <v>22</v>
      </c>
      <c r="T20" s="6">
        <f>SUM(T5:T19)</f>
        <v>15</v>
      </c>
      <c r="W20" s="6">
        <f>SUM(W5:W19)</f>
        <v>17</v>
      </c>
      <c r="Y20" s="6">
        <f t="shared" si="0"/>
        <v>127</v>
      </c>
      <c r="Z20" s="10"/>
      <c r="AA20" s="6">
        <v>3</v>
      </c>
    </row>
    <row r="21" spans="1:27" x14ac:dyDescent="0.2">
      <c r="A21" s="2" t="s">
        <v>16</v>
      </c>
      <c r="B21" s="1" t="s">
        <v>199</v>
      </c>
      <c r="C21" s="2"/>
      <c r="Y21" s="6"/>
      <c r="Z21" s="2"/>
    </row>
    <row r="22" spans="1:27" x14ac:dyDescent="0.2">
      <c r="A22" t="s">
        <v>1</v>
      </c>
      <c r="B22" t="s">
        <v>2</v>
      </c>
      <c r="C22" s="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  <c r="W22" t="s">
        <v>222</v>
      </c>
      <c r="Y22" s="6"/>
      <c r="Z22" s="2"/>
    </row>
    <row r="23" spans="1:27" s="6" customFormat="1" x14ac:dyDescent="0.2">
      <c r="A23" s="5" t="str">
        <f>_xlfn.IFNA(VLOOKUP($B$21&amp;ROWS($A$23:A23),Rosters!$B$2:$C$163,2,0),"?")</f>
        <v>John</v>
      </c>
      <c r="B23" s="5" t="str">
        <f>_xlfn.IFNA(VLOOKUP($B$21&amp;ROWS($B$23:B23),Rosters!$B$2:$D$163,3,0),"?")</f>
        <v>Knight III</v>
      </c>
      <c r="C23" s="9">
        <f>_xlfn.IFNA(VLOOKUP($B$21&amp;ROWS($C$23:C23),Rosters!$B$2:$E$163,4,0),"")</f>
        <v>23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>
        <f t="shared" si="0"/>
        <v>0</v>
      </c>
      <c r="Z23" s="10">
        <v>23</v>
      </c>
    </row>
    <row r="24" spans="1:27" x14ac:dyDescent="0.2">
      <c r="A24" t="str">
        <f>_xlfn.IFNA(VLOOKUP($B$21&amp;ROWS($A$23:A24),Rosters!$B$2:$C$163,2,0),"?")</f>
        <v>Isaac</v>
      </c>
      <c r="B24" t="str">
        <f>_xlfn.IFNA(VLOOKUP($B$21&amp;ROWS($B$23:B24),Rosters!$B$2:$D$163,3,0),"?")</f>
        <v>Johnson</v>
      </c>
      <c r="C24" s="2">
        <f>_xlfn.IFNA(VLOOKUP($B$21&amp;ROWS($C$23:C24),Rosters!$B$2:$E$163,4,0),"")</f>
        <v>20</v>
      </c>
      <c r="D24" s="6"/>
      <c r="E24" s="6">
        <v>6</v>
      </c>
      <c r="F24" s="6"/>
      <c r="G24" s="6"/>
      <c r="H24" s="6">
        <v>5</v>
      </c>
      <c r="I24" s="6"/>
      <c r="J24" s="6"/>
      <c r="K24" s="6">
        <v>3</v>
      </c>
      <c r="L24" s="6"/>
      <c r="M24" s="6"/>
      <c r="N24" s="6">
        <v>2</v>
      </c>
      <c r="O24" s="6"/>
      <c r="P24" s="6"/>
      <c r="Q24" s="6">
        <v>1</v>
      </c>
      <c r="R24" s="6"/>
      <c r="S24" s="6"/>
      <c r="T24" s="6">
        <v>0</v>
      </c>
      <c r="U24" s="6"/>
      <c r="V24" s="6"/>
      <c r="W24" s="6">
        <v>4</v>
      </c>
      <c r="X24" s="6"/>
      <c r="Y24" s="6">
        <f t="shared" si="0"/>
        <v>16</v>
      </c>
      <c r="Z24" s="2">
        <v>20</v>
      </c>
    </row>
    <row r="25" spans="1:27" s="6" customFormat="1" x14ac:dyDescent="0.2">
      <c r="A25" s="5" t="str">
        <f>_xlfn.IFNA(VLOOKUP($B$21&amp;ROWS($A$23:A25),Rosters!$B$2:$C$163,2,0),"?")</f>
        <v>Seena</v>
      </c>
      <c r="B25" s="5" t="str">
        <f>_xlfn.IFNA(VLOOKUP($B$21&amp;ROWS($B$23:B25),Rosters!$B$2:$D$163,3,0),"?")</f>
        <v>Namdar</v>
      </c>
      <c r="C25" s="9">
        <f>_xlfn.IFNA(VLOOKUP($B$21&amp;ROWS($C$23:C25),Rosters!$B$2:$E$163,4,0),"")</f>
        <v>13</v>
      </c>
      <c r="D25" s="5"/>
      <c r="E25" s="5">
        <v>1</v>
      </c>
      <c r="F25" s="5"/>
      <c r="G25" s="5"/>
      <c r="H25" s="5">
        <v>1</v>
      </c>
      <c r="I25" s="5"/>
      <c r="J25" s="5"/>
      <c r="K25" s="5">
        <v>2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2</v>
      </c>
      <c r="X25" s="5"/>
      <c r="Y25" s="6">
        <f t="shared" si="0"/>
        <v>2</v>
      </c>
      <c r="Z25" s="10">
        <v>13</v>
      </c>
    </row>
    <row r="26" spans="1:27" x14ac:dyDescent="0.2">
      <c r="A26" t="str">
        <f>_xlfn.IFNA(VLOOKUP($B$21&amp;ROWS($A$23:A26),Rosters!$B$2:$C$163,2,0),"?")</f>
        <v>Hunter</v>
      </c>
      <c r="B26" t="str">
        <f>_xlfn.IFNA(VLOOKUP($B$21&amp;ROWS($B$23:B26),Rosters!$B$2:$D$163,3,0),"?")</f>
        <v>Humpherys</v>
      </c>
      <c r="C26" s="2">
        <f>_xlfn.IFNA(VLOOKUP($B$21&amp;ROWS($C$23:C26),Rosters!$B$2:$E$163,4,0),"")</f>
        <v>11</v>
      </c>
      <c r="D26" s="6"/>
      <c r="E26" s="6">
        <v>2</v>
      </c>
      <c r="F26" s="6"/>
      <c r="G26" s="6"/>
      <c r="H26" s="6">
        <v>1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3</v>
      </c>
      <c r="X26" s="6"/>
      <c r="Y26" s="6">
        <f t="shared" si="0"/>
        <v>2</v>
      </c>
      <c r="Z26" s="10">
        <v>11</v>
      </c>
    </row>
    <row r="27" spans="1:27" s="6" customFormat="1" x14ac:dyDescent="0.2">
      <c r="A27" s="5" t="str">
        <f>_xlfn.IFNA(VLOOKUP($B$21&amp;ROWS($A$23:A27),Rosters!$B$2:$C$163,2,0),"?")</f>
        <v>Mark</v>
      </c>
      <c r="B27" s="5" t="str">
        <f>_xlfn.IFNA(VLOOKUP($B$21&amp;ROWS($B$23:B27),Rosters!$B$2:$D$163,3,0),"?")</f>
        <v>Burton</v>
      </c>
      <c r="C27" s="9">
        <f>_xlfn.IFNA(VLOOKUP($B$21&amp;ROWS($C$23:C27),Rosters!$B$2:$E$163,4,0),"")</f>
        <v>3</v>
      </c>
      <c r="D27" s="5"/>
      <c r="E27" s="5">
        <v>11</v>
      </c>
      <c r="F27" s="5"/>
      <c r="G27" s="5"/>
      <c r="H27" s="5">
        <v>6</v>
      </c>
      <c r="I27" s="5"/>
      <c r="J27" s="5"/>
      <c r="K27" s="5">
        <v>18</v>
      </c>
      <c r="L27" s="5"/>
      <c r="M27" s="5"/>
      <c r="N27" s="5">
        <v>9</v>
      </c>
      <c r="O27" s="5"/>
      <c r="P27" s="5"/>
      <c r="Q27" s="5">
        <v>6</v>
      </c>
      <c r="R27" s="5"/>
      <c r="S27" s="5"/>
      <c r="T27" s="5">
        <v>4</v>
      </c>
      <c r="U27" s="5"/>
      <c r="V27" s="5"/>
      <c r="W27" s="5">
        <v>1</v>
      </c>
      <c r="X27" s="5"/>
      <c r="Y27" s="6">
        <f t="shared" si="0"/>
        <v>43</v>
      </c>
      <c r="Z27" s="10">
        <v>3</v>
      </c>
    </row>
    <row r="28" spans="1:27" x14ac:dyDescent="0.2">
      <c r="A28" t="str">
        <f>_xlfn.IFNA(VLOOKUP($B$21&amp;ROWS($A$23:A28),Rosters!$B$2:$C$163,2,0),"?")</f>
        <v>Gabe</v>
      </c>
      <c r="B28" t="str">
        <f>_xlfn.IFNA(VLOOKUP($B$21&amp;ROWS($B$23:B28),Rosters!$B$2:$D$163,3,0),"?")</f>
        <v>Madsen</v>
      </c>
      <c r="C28" s="2">
        <f>_xlfn.IFNA(VLOOKUP($B$21&amp;ROWS($C$23:C28),Rosters!$B$2:$E$163,4,0),"")</f>
        <v>55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  <c r="Y28" s="6">
        <f t="shared" si="0"/>
        <v>0</v>
      </c>
      <c r="Z28" s="10">
        <v>55</v>
      </c>
    </row>
    <row r="29" spans="1:27" s="6" customFormat="1" x14ac:dyDescent="0.2">
      <c r="A29" s="5" t="str">
        <f>_xlfn.IFNA(VLOOKUP($B$21&amp;ROWS($A$23:A29),Rosters!$B$2:$C$163,2,0),"?")</f>
        <v>Marco</v>
      </c>
      <c r="B29" s="5" t="str">
        <f>_xlfn.IFNA(VLOOKUP($B$21&amp;ROWS($B$23:B29),Rosters!$B$2:$D$163,3,0),"?")</f>
        <v>Anthony</v>
      </c>
      <c r="C29" s="9">
        <f>_xlfn.IFNA(VLOOKUP($B$21&amp;ROWS($C$23:C29),Rosters!$B$2:$E$163,4,0),"")</f>
        <v>99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  <c r="Y29" s="6">
        <f t="shared" si="0"/>
        <v>0</v>
      </c>
      <c r="Z29" s="10">
        <v>99</v>
      </c>
    </row>
    <row r="30" spans="1:27" x14ac:dyDescent="0.2">
      <c r="A30" t="str">
        <f>_xlfn.IFNA(VLOOKUP($B$21&amp;ROWS($A$23:A30),Rosters!$B$2:$C$163,2,0),"?")</f>
        <v>Dee</v>
      </c>
      <c r="B30" t="str">
        <f>_xlfn.IFNA(VLOOKUP($B$21&amp;ROWS($B$23:B30),Rosters!$B$2:$D$163,3,0),"?")</f>
        <v>Barnes</v>
      </c>
      <c r="C30" s="2">
        <f>_xlfn.IFNA(VLOOKUP($B$21&amp;ROWS($C$23:C30),Rosters!$B$2:$E$163,4,0),"")</f>
        <v>22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  <c r="Y30" s="6">
        <f t="shared" si="0"/>
        <v>0</v>
      </c>
      <c r="Z30" s="10">
        <v>22</v>
      </c>
    </row>
    <row r="31" spans="1:27" s="6" customFormat="1" x14ac:dyDescent="0.2">
      <c r="A31" s="5" t="str">
        <f>_xlfn.IFNA(VLOOKUP($B$21&amp;ROWS($A$23:A31),Rosters!$B$2:$C$163,2,0),"?")</f>
        <v>Zack</v>
      </c>
      <c r="B31" s="5" t="str">
        <f>_xlfn.IFNA(VLOOKUP($B$21&amp;ROWS($B$23:B31),Rosters!$B$2:$D$163,3,0),"?")</f>
        <v>Visentin</v>
      </c>
      <c r="C31" s="9">
        <f>_xlfn.IFNA(VLOOKUP($B$21&amp;ROWS($C$23:C31),Rosters!$B$2:$E$163,4,0),"")</f>
        <v>32</v>
      </c>
      <c r="D31" s="5"/>
      <c r="E31" s="5">
        <v>7</v>
      </c>
      <c r="F31" s="5"/>
      <c r="G31" s="5"/>
      <c r="H31" s="5">
        <v>4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8</v>
      </c>
      <c r="R31" s="5"/>
      <c r="S31" s="5"/>
      <c r="T31" s="5">
        <v>7</v>
      </c>
      <c r="U31" s="5"/>
      <c r="V31" s="5"/>
      <c r="W31" s="5">
        <v>0</v>
      </c>
      <c r="X31" s="5"/>
      <c r="Y31" s="6">
        <f t="shared" si="0"/>
        <v>15</v>
      </c>
      <c r="Z31" s="10">
        <v>32</v>
      </c>
    </row>
    <row r="32" spans="1:27" x14ac:dyDescent="0.2">
      <c r="A32" t="str">
        <f>_xlfn.IFNA(VLOOKUP($B$21&amp;ROWS($A$23:A32),Rosters!$B$2:$C$163,2,0),"?")</f>
        <v>Demarcus</v>
      </c>
      <c r="B32" t="str">
        <f>_xlfn.IFNA(VLOOKUP($B$21&amp;ROWS($B$23:B32),Rosters!$B$2:$D$163,3,0),"?")</f>
        <v>Harrison</v>
      </c>
      <c r="C32" s="2">
        <f>_xlfn.IFNA(VLOOKUP($B$21&amp;ROWS($C$23:C32),Rosters!$B$2:$E$163,4,0),"")</f>
        <v>31</v>
      </c>
      <c r="D32" s="6"/>
      <c r="E32" s="6">
        <v>10</v>
      </c>
      <c r="F32" s="6"/>
      <c r="G32" s="6"/>
      <c r="H32" s="6">
        <v>6</v>
      </c>
      <c r="I32" s="6"/>
      <c r="J32" s="6"/>
      <c r="K32" s="6">
        <v>5</v>
      </c>
      <c r="L32" s="6"/>
      <c r="M32" s="6"/>
      <c r="N32" s="6">
        <v>1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1</v>
      </c>
      <c r="X32" s="6"/>
      <c r="Y32" s="6">
        <f t="shared" si="0"/>
        <v>15</v>
      </c>
      <c r="Z32" s="10">
        <v>31</v>
      </c>
    </row>
    <row r="33" spans="1:27" s="6" customFormat="1" x14ac:dyDescent="0.2">
      <c r="A33" s="5" t="str">
        <f>_xlfn.IFNA(VLOOKUP($B$21&amp;ROWS($A$23:A33),Rosters!$B$2:$C$163,2,0),"?")</f>
        <v>Trey</v>
      </c>
      <c r="B33" s="5" t="str">
        <f>_xlfn.IFNA(VLOOKUP($B$21&amp;ROWS($B$23:B33),Rosters!$B$2:$D$163,3,0),"?")</f>
        <v>Anderson</v>
      </c>
      <c r="C33" s="9">
        <f>_xlfn.IFNA(VLOOKUP($B$21&amp;ROWS($C$23:C33),Rosters!$B$2:$E$163,4,0),"")</f>
        <v>5</v>
      </c>
      <c r="D33" s="5"/>
      <c r="E33" s="5">
        <v>7</v>
      </c>
      <c r="F33" s="5"/>
      <c r="G33" s="5"/>
      <c r="H33" s="5">
        <v>2</v>
      </c>
      <c r="I33" s="5"/>
      <c r="J33" s="5"/>
      <c r="K33" s="5">
        <v>2</v>
      </c>
      <c r="L33" s="5"/>
      <c r="M33" s="5"/>
      <c r="N33" s="5">
        <v>0</v>
      </c>
      <c r="O33" s="5"/>
      <c r="P33" s="5"/>
      <c r="Q33" s="5">
        <v>6</v>
      </c>
      <c r="R33" s="5"/>
      <c r="S33" s="5"/>
      <c r="T33" s="5">
        <v>3</v>
      </c>
      <c r="U33" s="5"/>
      <c r="V33" s="5"/>
      <c r="W33" s="5">
        <v>0</v>
      </c>
      <c r="X33" s="5"/>
      <c r="Y33" s="6">
        <f t="shared" si="0"/>
        <v>7</v>
      </c>
      <c r="Z33" s="10">
        <v>5</v>
      </c>
    </row>
    <row r="34" spans="1:27" x14ac:dyDescent="0.2">
      <c r="A34" t="str">
        <f>_xlfn.IFNA(VLOOKUP($B$21&amp;ROWS($A$23:A34),Rosters!$B$2:$C$163,2,0),"?")</f>
        <v>Lual</v>
      </c>
      <c r="B34" t="str">
        <f>_xlfn.IFNA(VLOOKUP($B$21&amp;ROWS($B$23:B34),Rosters!$B$2:$D$163,3,0),"?")</f>
        <v>Arok</v>
      </c>
      <c r="C34" s="2">
        <f>_xlfn.IFNA(VLOOKUP($B$21&amp;ROWS($C$23:C34),Rosters!$B$2:$E$163,4,0),"")</f>
        <v>9</v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  <c r="Y34" s="6">
        <f t="shared" si="0"/>
        <v>0</v>
      </c>
      <c r="Z34" s="10">
        <v>9</v>
      </c>
    </row>
    <row r="35" spans="1:27" s="6" customFormat="1" x14ac:dyDescent="0.2">
      <c r="A35" s="5" t="str">
        <f>_xlfn.IFNA(VLOOKUP($B$21&amp;ROWS($A$23:A35),Rosters!$B$2:$C$163,2,0),"?")</f>
        <v>Zach</v>
      </c>
      <c r="B35" s="5" t="str">
        <f>_xlfn.IFNA(VLOOKUP($B$21&amp;ROWS($B$23:B35),Rosters!$B$2:$D$163,3,0),"?")</f>
        <v>Mogbo</v>
      </c>
      <c r="C35" s="9">
        <f>_xlfn.IFNA(VLOOKUP($B$21&amp;ROWS($C$23:C35),Rosters!$B$2:$E$163,4,0),"")</f>
        <v>4</v>
      </c>
      <c r="D35" s="5"/>
      <c r="E35" s="5">
        <v>16</v>
      </c>
      <c r="F35" s="5"/>
      <c r="G35" s="5"/>
      <c r="H35" s="5">
        <v>9</v>
      </c>
      <c r="I35" s="5"/>
      <c r="J35" s="5"/>
      <c r="K35" s="5">
        <v>2</v>
      </c>
      <c r="L35" s="5"/>
      <c r="M35" s="5"/>
      <c r="N35" s="5">
        <v>0</v>
      </c>
      <c r="O35" s="5"/>
      <c r="P35" s="5"/>
      <c r="Q35" s="5">
        <v>4</v>
      </c>
      <c r="R35" s="5"/>
      <c r="S35" s="5"/>
      <c r="T35" s="5">
        <v>2</v>
      </c>
      <c r="U35" s="5"/>
      <c r="V35" s="5"/>
      <c r="W35" s="5">
        <v>4</v>
      </c>
      <c r="X35" s="5"/>
      <c r="Y35" s="6">
        <f t="shared" si="0"/>
        <v>20</v>
      </c>
      <c r="Z35" s="10">
        <v>4</v>
      </c>
    </row>
    <row r="36" spans="1:27" x14ac:dyDescent="0.2">
      <c r="A36" t="str">
        <f>_xlfn.IFNA(VLOOKUP($B$21&amp;ROWS($A$23:A36),Rosters!$B$2:$C$163,2,0),"?")</f>
        <v>Kyle</v>
      </c>
      <c r="B36" t="str">
        <f>_xlfn.IFNA(VLOOKUP($B$21&amp;ROWS($B$23:B36),Rosters!$B$2:$D$163,3,0),"?")</f>
        <v>Nielsen</v>
      </c>
      <c r="C36" s="2">
        <f>_xlfn.IFNA(VLOOKUP($B$21&amp;ROWS($C$23:C36),Rosters!$B$2:$E$163,4,0),"")</f>
        <v>1</v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  <c r="Y36" s="6">
        <f t="shared" si="0"/>
        <v>0</v>
      </c>
      <c r="Z36" s="10">
        <v>1</v>
      </c>
    </row>
    <row r="37" spans="1:27" s="6" customFormat="1" x14ac:dyDescent="0.2">
      <c r="A37" s="5" t="s">
        <v>229</v>
      </c>
      <c r="B37" s="5" t="s">
        <v>131</v>
      </c>
      <c r="C37" s="9">
        <v>10</v>
      </c>
      <c r="D37" s="5"/>
      <c r="E37" s="5">
        <v>1</v>
      </c>
      <c r="F37" s="5"/>
      <c r="G37" s="5"/>
      <c r="H37" s="5">
        <v>0</v>
      </c>
      <c r="I37" s="5"/>
      <c r="J37" s="5"/>
      <c r="K37" s="5">
        <v>1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  <c r="Y37" s="6">
        <f t="shared" si="0"/>
        <v>0</v>
      </c>
      <c r="Z37" s="10">
        <v>10</v>
      </c>
    </row>
    <row r="38" spans="1:27" x14ac:dyDescent="0.2">
      <c r="E38">
        <f>SUM(E23:E37)</f>
        <v>61</v>
      </c>
      <c r="H38">
        <f>SUM(H23:H37)</f>
        <v>34</v>
      </c>
      <c r="K38">
        <f>SUM(K23:K37)</f>
        <v>33</v>
      </c>
      <c r="N38">
        <f>SUM(N23:N37)</f>
        <v>12</v>
      </c>
      <c r="Q38">
        <f>SUM(Q23:Q37)</f>
        <v>25</v>
      </c>
      <c r="T38">
        <f>SUM(T23:T37)</f>
        <v>16</v>
      </c>
      <c r="W38">
        <f>SUM(W23:W37)</f>
        <v>15</v>
      </c>
      <c r="Y38" s="6">
        <f t="shared" si="0"/>
        <v>120</v>
      </c>
      <c r="Z38" s="2"/>
      <c r="AA38">
        <v>5</v>
      </c>
    </row>
  </sheetData>
  <conditionalFormatting sqref="W5:W19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23:W37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D74" t="s">
        <v>198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199</v>
      </c>
      <c r="B89" s="8" t="str">
        <f>A89&amp;COUNTIF($A$2:$A89,A89)</f>
        <v>Team Humpherys1</v>
      </c>
      <c r="C89" t="s">
        <v>200</v>
      </c>
      <c r="D89" t="s">
        <v>201</v>
      </c>
      <c r="E89">
        <v>23</v>
      </c>
    </row>
    <row r="90" spans="1:5" x14ac:dyDescent="0.2">
      <c r="A90" t="s">
        <v>199</v>
      </c>
      <c r="B90" s="8" t="str">
        <f>A90&amp;COUNTIF($A$2:$A90,A90)</f>
        <v>Team Humpherys2</v>
      </c>
      <c r="C90" t="s">
        <v>202</v>
      </c>
      <c r="D90" t="s">
        <v>203</v>
      </c>
      <c r="E90">
        <v>20</v>
      </c>
    </row>
    <row r="91" spans="1:5" x14ac:dyDescent="0.2">
      <c r="A91" t="s">
        <v>199</v>
      </c>
      <c r="B91" s="8" t="str">
        <f>A91&amp;COUNTIF($A$2:$A91,A91)</f>
        <v>Team Humpherys3</v>
      </c>
      <c r="C91" t="s">
        <v>204</v>
      </c>
      <c r="D91" t="s">
        <v>133</v>
      </c>
      <c r="E91">
        <v>13</v>
      </c>
    </row>
    <row r="92" spans="1:5" x14ac:dyDescent="0.2">
      <c r="A92" t="s">
        <v>199</v>
      </c>
      <c r="B92" s="8" t="str">
        <f>A92&amp;COUNTIF($A$2:$A92,A92)</f>
        <v>Team Humpherys4</v>
      </c>
      <c r="C92" t="s">
        <v>125</v>
      </c>
      <c r="D92" t="s">
        <v>205</v>
      </c>
      <c r="E92">
        <v>11</v>
      </c>
    </row>
    <row r="93" spans="1:5" x14ac:dyDescent="0.2">
      <c r="A93" t="s">
        <v>199</v>
      </c>
      <c r="B93" s="8" t="str">
        <f>A93&amp;COUNTIF($A$2:$A93,A93)</f>
        <v>Team Humpherys5</v>
      </c>
      <c r="C93" t="s">
        <v>206</v>
      </c>
      <c r="D93" t="s">
        <v>207</v>
      </c>
      <c r="E93">
        <v>3</v>
      </c>
    </row>
    <row r="94" spans="1:5" x14ac:dyDescent="0.2">
      <c r="A94" t="s">
        <v>199</v>
      </c>
      <c r="B94" s="8" t="str">
        <f>A94&amp;COUNTIF($A$2:$A94,A94)</f>
        <v>Team Humpherys6</v>
      </c>
      <c r="C94" t="s">
        <v>208</v>
      </c>
      <c r="D94" t="s">
        <v>209</v>
      </c>
      <c r="E94">
        <v>55</v>
      </c>
    </row>
    <row r="95" spans="1:5" x14ac:dyDescent="0.2">
      <c r="A95" t="s">
        <v>199</v>
      </c>
      <c r="B95" s="8" t="str">
        <f>A95&amp;COUNTIF($A$2:$A95,A95)</f>
        <v>Team Humpherys7</v>
      </c>
      <c r="C95" t="s">
        <v>210</v>
      </c>
      <c r="D95" t="s">
        <v>182</v>
      </c>
      <c r="E95">
        <v>99</v>
      </c>
    </row>
    <row r="96" spans="1:5" x14ac:dyDescent="0.2">
      <c r="A96" t="s">
        <v>199</v>
      </c>
      <c r="B96" s="8" t="str">
        <f>A96&amp;COUNTIF($A$2:$A96,A96)</f>
        <v>Team Humpherys8</v>
      </c>
      <c r="C96" t="s">
        <v>211</v>
      </c>
      <c r="D96" t="s">
        <v>212</v>
      </c>
      <c r="E96">
        <v>22</v>
      </c>
    </row>
    <row r="97" spans="1:5" x14ac:dyDescent="0.2">
      <c r="A97" t="s">
        <v>199</v>
      </c>
      <c r="B97" s="8" t="str">
        <f>A97&amp;COUNTIF($A$2:$A97,A97)</f>
        <v>Team Humpherys9</v>
      </c>
      <c r="C97" t="s">
        <v>213</v>
      </c>
      <c r="D97" t="s">
        <v>214</v>
      </c>
      <c r="E97">
        <v>32</v>
      </c>
    </row>
    <row r="98" spans="1:5" x14ac:dyDescent="0.2">
      <c r="A98" t="s">
        <v>199</v>
      </c>
      <c r="B98" s="8" t="str">
        <f>A98&amp;COUNTIF($A$2:$A98,A98)</f>
        <v>Team Humpherys10</v>
      </c>
      <c r="C98" t="s">
        <v>215</v>
      </c>
      <c r="D98" t="s">
        <v>216</v>
      </c>
      <c r="E98">
        <v>31</v>
      </c>
    </row>
    <row r="99" spans="1:5" x14ac:dyDescent="0.2">
      <c r="A99" t="s">
        <v>199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199</v>
      </c>
      <c r="B100" s="8" t="str">
        <f>A100&amp;COUNTIF($A$2:$A100,A100)</f>
        <v>Team Humpherys12</v>
      </c>
      <c r="C100" t="s">
        <v>217</v>
      </c>
      <c r="D100" t="s">
        <v>19</v>
      </c>
      <c r="E100">
        <v>9</v>
      </c>
    </row>
    <row r="101" spans="1:5" x14ac:dyDescent="0.2">
      <c r="A101" t="s">
        <v>199</v>
      </c>
      <c r="B101" s="8" t="str">
        <f>A101&amp;COUNTIF($A$2:$A101,A101)</f>
        <v>Team Humpherys13</v>
      </c>
      <c r="C101" t="s">
        <v>218</v>
      </c>
      <c r="D101" t="s">
        <v>219</v>
      </c>
      <c r="E101">
        <v>4</v>
      </c>
    </row>
    <row r="102" spans="1:5" x14ac:dyDescent="0.2">
      <c r="A102" t="s">
        <v>199</v>
      </c>
      <c r="B102" s="8" t="str">
        <f>A102&amp;COUNTIF($A$2:$A102,A102)</f>
        <v>Team Humpherys14</v>
      </c>
      <c r="C102" t="s">
        <v>220</v>
      </c>
      <c r="D102" t="s">
        <v>221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2022-07-24T18:14:28Z</dcterms:modified>
</cp:coreProperties>
</file>