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6/"/>
    </mc:Choice>
  </mc:AlternateContent>
  <xr:revisionPtr revIDLastSave="0" documentId="13_ncr:1_{71258A47-C0AF-4C4B-8CFC-685C3E6EE41D}" xr6:coauthVersionLast="47" xr6:coauthVersionMax="47" xr10:uidLastSave="{00000000-0000-0000-0000-000000000000}"/>
  <bookViews>
    <workbookView xWindow="14380" yWindow="500" windowWidth="14420" windowHeight="158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3" l="1" a="1"/>
  <c r="G11" i="3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1" i="2"/>
  <c r="I23" i="2"/>
  <c r="J23" i="2"/>
  <c r="I24" i="2"/>
  <c r="J24" i="2"/>
  <c r="I25" i="2"/>
  <c r="J25" i="2"/>
  <c r="K25" i="2" s="1"/>
  <c r="I26" i="2"/>
  <c r="J26" i="2"/>
  <c r="I27" i="2"/>
  <c r="J27" i="2"/>
  <c r="I28" i="2"/>
  <c r="J28" i="2"/>
  <c r="K28" i="2" s="1"/>
  <c r="I29" i="2"/>
  <c r="J29" i="2"/>
  <c r="K29" i="2" s="1"/>
  <c r="I30" i="2"/>
  <c r="J30" i="2"/>
  <c r="I31" i="2"/>
  <c r="J31" i="2"/>
  <c r="I32" i="2"/>
  <c r="J32" i="2"/>
  <c r="K32" i="2" s="1"/>
  <c r="I33" i="2"/>
  <c r="J33" i="2"/>
  <c r="I34" i="2"/>
  <c r="J34" i="2"/>
  <c r="K34" i="2" s="1"/>
  <c r="I35" i="2"/>
  <c r="J35" i="2"/>
  <c r="I36" i="2"/>
  <c r="J36" i="2"/>
  <c r="K36" i="2" s="1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K10" i="2" s="1"/>
  <c r="I11" i="2"/>
  <c r="J11" i="2"/>
  <c r="I12" i="2"/>
  <c r="J12" i="2"/>
  <c r="I13" i="2"/>
  <c r="J13" i="2"/>
  <c r="I14" i="2"/>
  <c r="J14" i="2"/>
  <c r="K14" i="2" s="1"/>
  <c r="I15" i="2"/>
  <c r="J15" i="2"/>
  <c r="K15" i="2" s="1"/>
  <c r="I16" i="2"/>
  <c r="K16" i="2" s="1"/>
  <c r="J16" i="2"/>
  <c r="I17" i="2"/>
  <c r="J17" i="2"/>
  <c r="J3" i="2"/>
  <c r="I3" i="2"/>
  <c r="K30" i="2" l="1"/>
  <c r="K33" i="2"/>
  <c r="K11" i="2"/>
  <c r="K17" i="2"/>
  <c r="K13" i="2"/>
  <c r="K9" i="2"/>
  <c r="K35" i="2"/>
  <c r="K27" i="2"/>
  <c r="K8" i="2"/>
  <c r="K4" i="2"/>
  <c r="K12" i="2"/>
  <c r="K23" i="2"/>
  <c r="K7" i="2"/>
  <c r="L18" i="2"/>
  <c r="K5" i="2"/>
  <c r="K22" i="2"/>
  <c r="L37" i="2"/>
  <c r="K24" i="2"/>
  <c r="K3" i="2"/>
  <c r="A12" i="1"/>
  <c r="B30" i="1"/>
  <c r="C30" i="1"/>
  <c r="A30" i="1"/>
  <c r="C29" i="1"/>
  <c r="B29" i="1"/>
  <c r="A29" i="1"/>
  <c r="B12" i="1"/>
  <c r="K26" i="2"/>
  <c r="K6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K37" i="2"/>
  <c r="D2" i="2"/>
  <c r="B2" i="2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H12" i="2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<sst xmlns="http://schemas.openxmlformats.org/spreadsheetml/2006/main" count="431" uniqueCount="245">
  <si>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</si>
  <si>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</si>
  <si>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</si>
  <si>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</si>
  <si>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</si>
  <si>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</si>
  <si>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</si>
  <si>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</si>
  <si>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</si>
  <si>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</si>
  <si>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</si>
  <si>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</si>
  <si>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</si>
  <si>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</si>
  <si>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</si>
  <si>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</si>
  <si>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</si>
  <si>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</si>
  <si>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</si>
  <si>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</si>
  <si>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</si>
  <si>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</si>
  <si>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</si>
  <si>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</si>
  <si>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</si>
  <si>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</si>
  <si>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</si>
  <si>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</si>
  <si>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</si>
  <si>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</si>
  <si>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</si>
  <si>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</si>
  <si>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</si>
  <si>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</si>
  <si>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</si>
  <si>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</si>
  <si>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</si>
  <si>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</si>
  <si>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</si>
  <si>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</si>
  <si>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</si>
  <si>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</si>
  <si>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</si>
  <si>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</si>
  <si>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</si>
  <si>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</si>
  <si>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</si>
  <si>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</si>
  <si>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</si>
  <si>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</si>
  <si>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</si>
  <si>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</si>
  <si>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</si>
  <si>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</si>
  <si>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</si>
  <si>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</si>
  <si>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</si>
  <si>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</si>
  <si>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</si>
  <si>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</si>
  <si>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</si>
  <si>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</si>
  <si>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</si>
  <si>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</si>
  <si>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</si>
  <si>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</si>
  <si>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</si>
  <si>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</si>
  <si>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</si>
  <si>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</si>
  <si>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</si>
  <si>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</si>
  <si>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</si>
  <si>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</si>
  <si>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</si>
  <si>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</si>
  <si>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</si>
  <si>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</si>
  <si>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</si>
  <si>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</si>
  <si>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</si>
  <si>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</si>
  <si>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</si>
  <si>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</si>
  <si>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</si>
  <si>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</si>
  <si>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</si>
  <si>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</si>
  <si>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</si>
  <si>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</si>
  <si>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</si>
  <si>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</si>
  <si>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</si>
  <si>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</si>
  <si>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</si>
  <si>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</si>
  <si>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</si>
  <si>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</si>
  <si>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</si>
  <si>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</si>
  <si>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</si>
  <si>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</si>
  <si>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</si>
  <si>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</si>
  <si>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</si>
  <si>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</si>
  <si>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</si>
  <si>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</si>
  <si>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</si>
  <si>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</si>
  <si>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</si>
  <si>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</si>
  <si>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</si>
  <si>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</si>
  <si>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</si>
  <si>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</si>
  <si>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</si>
  <si>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</si>
  <si>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</si>
  <si>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</si>
  <si>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</si>
  <si>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</si>
  <si>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</si>
  <si>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</si>
  <si>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</si>
  <si>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</si>
  <si>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</si>
  <si>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</si>
  <si>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</si>
  <si>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</si>
  <si>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</si>
  <si>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</si>
  <si>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</si>
  <si>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</si>
  <si>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</si>
  <si>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</si>
  <si>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</si>
  <si>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</si>
  <si>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</si>
  <si>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</si>
  <si>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</si>
  <si>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</si>
  <si>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</si>
  <si>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</si>
  <si>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</si>
  <si>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</si>
  <si>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</si>
  <si>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</si>
  <si>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</si>
  <si>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</si>
  <si>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</si>
  <si>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</si>
  <si>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</si>
  <si>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</si>
  <si>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</si>
  <si>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</si>
  <si>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</si>
  <si>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</si>
  <si>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</si>
  <si>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</si>
  <si>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</si>
  <si>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</si>
  <si>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</si>
  <si>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</si>
  <si>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</si>
  <si>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</si>
  <si>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</si>
  <si>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</si>
  <si>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</si>
  <si>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</si>
  <si>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</si>
  <si>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</si>
  <si>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</si>
  <si>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</si>
  <si>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</si>
  <si>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</si>
  <si>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</si>
  <si>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</si>
  <si>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</si>
  <si>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</si>
  <si>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</si>
  <si>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</si>
  <si>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</si>
  <si>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</si>
  <si>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</si>
  <si>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</si>
  <si>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</si>
  <si>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</si>
  <si>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</si>
  <si>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</si>
  <si>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</si>
  <si>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</si>
  <si>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</si>
  <si>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</si>
  <si>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</si>
  <si>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</si>
  <si>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</si>
  <si>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</si>
  <si>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</si>
  <si>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</si>
  <si>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</si>
  <si>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</si>
  <si>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</si>
  <si>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</si>
  <si>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</si>
  <si>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</si>
  <si>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</si>
  <si>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</si>
  <si>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</si>
  <si>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</si>
  <si>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</si>
  <si>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</si>
  <si>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</si>
  <si>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</si>
  <si>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</si>
  <si>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TimeOuts</t>
  </si>
  <si>
    <t xml:space="preserve">1st half: </t>
  </si>
  <si>
    <t>Team Barkley</t>
  </si>
  <si>
    <t>Team Seljaas</t>
  </si>
  <si>
    <t>Team Seljaas1</t>
  </si>
  <si>
    <t>Team Seljaas2</t>
  </si>
  <si>
    <t>Team Seljaas3</t>
  </si>
  <si>
    <t>Team Seljaas4</t>
  </si>
  <si>
    <t>Team Seljaas5</t>
  </si>
  <si>
    <t>Team Seljaas6</t>
  </si>
  <si>
    <t>Team Seljaas7</t>
  </si>
  <si>
    <t>Team Seljaas8</t>
  </si>
  <si>
    <t>Team Seljaas9</t>
  </si>
  <si>
    <t>Team Barkley1</t>
  </si>
  <si>
    <t>Team Barkley2</t>
  </si>
  <si>
    <t>Team Barkley3</t>
  </si>
  <si>
    <t>Team Barkley4</t>
  </si>
  <si>
    <t>Team Barkley5</t>
  </si>
  <si>
    <t>Team Barkley6</t>
  </si>
  <si>
    <t>Team Barkley7</t>
  </si>
  <si>
    <t>Team Barkley8</t>
  </si>
  <si>
    <t>Team Barkley9</t>
  </si>
  <si>
    <t>Team Barkley10</t>
  </si>
  <si>
    <t>0-0</t>
  </si>
  <si>
    <t>1st half: 1</t>
  </si>
  <si>
    <t>2nd half: 1</t>
  </si>
  <si>
    <t>2nd half: 2</t>
  </si>
  <si>
    <t>00</t>
  </si>
  <si>
    <t>Team Barkley (All Star)</t>
  </si>
  <si>
    <t>Team Seljaas (All Star)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</si>
</sst>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57070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0" fillId="0" borderId="1" xfId="0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0" xfId="0" quotePrefix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G21" sqref="G21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">
        <v>243</v>
      </c>
    </row>
    <row r="2" spans="2:12" x14ac:dyDescent="0.2">
      <c r="B2" t="str">
        <f>G1</f>
        <v>Team Barkley (All Star)</v>
      </c>
      <c r="D2" t="str">
        <f>G20</f>
        <v>Team Seljaas (All Star)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16</v>
      </c>
      <c r="L2" t="s">
        <v>214</v>
      </c>
    </row>
    <row r="3" spans="2:12" x14ac:dyDescent="0.2">
      <c r="B3">
        <f>I18</f>
        <v>13</v>
      </c>
      <c r="C3" s="3" t="s">
        <v>6</v>
      </c>
      <c r="D3" s="4">
        <f>I37</f>
        <v>5</v>
      </c>
      <c r="F3" t="str">
        <f>'Stats G1'!A3</f>
        <v>Kentrell</v>
      </c>
      <c r="G3" t="str">
        <f>'Stats G1'!B3</f>
        <v>Barkley</v>
      </c>
      <c r="H3">
        <f>'Stats G1'!C3</f>
        <v>12</v>
      </c>
      <c r="I3">
        <f>'Stats G1'!E3</f>
        <v>2</v>
      </c>
      <c r="J3">
        <f>'Stats G1'!H3</f>
        <v>5</v>
      </c>
      <c r="K3">
        <f>J3+I3</f>
        <v>7</v>
      </c>
      <c r="L3">
        <f>'Stats G1'!K3</f>
        <v>3</v>
      </c>
    </row>
    <row r="4" spans="2:12" x14ac:dyDescent="0.2">
      <c r="F4" t="str">
        <f>'Stats G1'!A4</f>
        <v>Dwayne</v>
      </c>
      <c r="G4" t="str">
        <f>'Stats G1'!B4</f>
        <v>Brown</v>
      </c>
      <c r="H4">
        <f>'Stats G1'!C4</f>
        <v>2</v>
      </c>
      <c r="I4">
        <f>'Stats G1'!E4</f>
        <v>1</v>
      </c>
      <c r="J4">
        <f>'Stats G1'!H4</f>
        <v>9</v>
      </c>
      <c r="K4">
        <f t="shared" ref="K4:K17" si="0">J4+I4</f>
        <v>10</v>
      </c>
      <c r="L4">
        <f>'Stats G1'!K4</f>
        <v>2</v>
      </c>
    </row>
    <row r="5" spans="2:12" x14ac:dyDescent="0.2">
      <c r="F5" t="str">
        <f>'Stats G1'!A5</f>
        <v>Wil</v>
      </c>
      <c r="G5" t="str">
        <f>'Stats G1'!B5</f>
        <v>Carter</v>
      </c>
      <c r="H5">
        <f>'Stats G1'!C5</f>
        <v>15</v>
      </c>
      <c r="I5">
        <f>'Stats G1'!E5</f>
        <v>2</v>
      </c>
      <c r="J5">
        <f>'Stats G1'!H5</f>
        <v>11</v>
      </c>
      <c r="K5">
        <f t="shared" si="0"/>
        <v>13</v>
      </c>
      <c r="L5">
        <f>'Stats G1'!K5</f>
        <v>1</v>
      </c>
    </row>
    <row r="6" spans="2:12" x14ac:dyDescent="0.2">
      <c r="F6" t="str">
        <f>'Stats G1'!A6</f>
        <v>Mark</v>
      </c>
      <c r="G6" t="str">
        <f>'Stats G1'!B6</f>
        <v>Burton</v>
      </c>
      <c r="H6">
        <f>'Stats G1'!C6</f>
        <v>3</v>
      </c>
      <c r="I6">
        <f>'Stats G1'!E6</f>
        <v>1</v>
      </c>
      <c r="J6">
        <f>'Stats G1'!H6</f>
        <v>0</v>
      </c>
      <c r="K6">
        <f t="shared" si="0"/>
        <v>1</v>
      </c>
      <c r="L6">
        <f>'Stats G1'!K6</f>
        <v>1</v>
      </c>
    </row>
    <row r="7" spans="2:12" x14ac:dyDescent="0.2">
      <c r="F7" t="str">
        <f>'Stats G1'!A7</f>
        <v>Zach</v>
      </c>
      <c r="G7" t="str">
        <f>'Stats G1'!B7</f>
        <v>Mogbo</v>
      </c>
      <c r="H7">
        <f>'Stats G1'!C7</f>
        <v>4</v>
      </c>
      <c r="I7">
        <f>'Stats G1'!E7</f>
        <v>2</v>
      </c>
      <c r="J7">
        <f>'Stats G1'!H7</f>
        <v>2</v>
      </c>
      <c r="K7">
        <f t="shared" si="0"/>
        <v>4</v>
      </c>
      <c r="L7">
        <f>'Stats G1'!K7</f>
        <v>0</v>
      </c>
    </row>
    <row r="8" spans="2:12" x14ac:dyDescent="0.2">
      <c r="F8" t="str">
        <f>'Stats G1'!A8</f>
        <v>Brandon</v>
      </c>
      <c r="G8" t="str">
        <f>'Stats G1'!B8</f>
        <v>Sly</v>
      </c>
      <c r="H8">
        <f>'Stats G1'!C8</f>
        <v>2</v>
      </c>
      <c r="I8">
        <f>'Stats G1'!E8</f>
        <v>1</v>
      </c>
      <c r="J8">
        <f>'Stats G1'!H8</f>
        <v>1</v>
      </c>
      <c r="K8">
        <f t="shared" si="0"/>
        <v>2</v>
      </c>
      <c r="L8">
        <f>'Stats G1'!K8</f>
        <v>4</v>
      </c>
    </row>
    <row r="9" spans="2:12" x14ac:dyDescent="0.2">
      <c r="F9" t="str">
        <f>'Stats G1'!A9</f>
        <v>Zahir</v>
      </c>
      <c r="G9" t="str">
        <f>'Stats G1'!B9</f>
        <v>Porter</v>
      </c>
      <c r="H9">
        <f>'Stats G1'!C9</f>
        <v>5</v>
      </c>
      <c r="I9">
        <f>'Stats G1'!E9</f>
        <v>0</v>
      </c>
      <c r="J9">
        <f>'Stats G1'!H9</f>
        <v>0</v>
      </c>
      <c r="K9">
        <f t="shared" si="0"/>
        <v>0</v>
      </c>
      <c r="L9">
        <f>'Stats G1'!K9</f>
        <v>3</v>
      </c>
    </row>
    <row r="10" spans="2:12" x14ac:dyDescent="0.2">
      <c r="F10" t="str">
        <f>'Stats G1'!A10</f>
        <v>Brendan</v>
      </c>
      <c r="G10" t="str">
        <f>'Stats G1'!B10</f>
        <v>Bailey</v>
      </c>
      <c r="H10">
        <f>'Stats G1'!C10</f>
        <v>1</v>
      </c>
      <c r="I10">
        <f>'Stats G1'!E10</f>
        <v>1</v>
      </c>
      <c r="J10">
        <f>'Stats G1'!H10</f>
        <v>6</v>
      </c>
      <c r="K10">
        <f t="shared" si="0"/>
        <v>7</v>
      </c>
      <c r="L10">
        <f>'Stats G1'!K10</f>
        <v>1</v>
      </c>
    </row>
    <row r="11" spans="2:12" x14ac:dyDescent="0.2">
      <c r="F11" t="str">
        <f>'Stats G1'!A11</f>
        <v>Jared</v>
      </c>
      <c r="G11" t="str">
        <f>'Stats G1'!B11</f>
        <v>Garcia</v>
      </c>
      <c r="H11">
        <f>'Stats G1'!C11</f>
        <v>25</v>
      </c>
      <c r="I11">
        <f>'Stats G1'!E11</f>
        <v>0</v>
      </c>
      <c r="J11">
        <f>'Stats G1'!H11</f>
        <v>0</v>
      </c>
      <c r="K11">
        <f t="shared" si="0"/>
        <v>0</v>
      </c>
      <c r="L11">
        <f>'Stats G1'!K11</f>
        <v>0</v>
      </c>
    </row>
    <row r="12" spans="2:12" x14ac:dyDescent="0.2">
      <c r="F12" t="str">
        <f>'Stats G1'!A12</f>
        <v>Taylor</v>
      </c>
      <c r="G12" t="str">
        <f>'Stats G1'!B12</f>
        <v>Miller</v>
      </c>
      <c r="H12" t="str">
        <f>'Stats G1'!C12</f>
        <v>00</v>
      </c>
      <c r="I12">
        <f>'Stats G1'!E12</f>
        <v>3</v>
      </c>
      <c r="J12">
        <f>'Stats G1'!H12</f>
        <v>4</v>
      </c>
      <c r="K12">
        <f t="shared" si="0"/>
        <v>7</v>
      </c>
      <c r="L12">
        <f>'Stats G1'!K12</f>
        <v>5</v>
      </c>
    </row>
    <row r="13" spans="2:12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 t="shared" si="0"/>
        <v>0</v>
      </c>
      <c r="L13">
        <f>'Stats G1'!K13</f>
        <v>0</v>
      </c>
    </row>
    <row r="14" spans="2:12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 t="shared" si="0"/>
        <v>0</v>
      </c>
      <c r="L14">
        <f>'Stats G1'!K14</f>
        <v>0</v>
      </c>
    </row>
    <row r="15" spans="2:12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  <c r="L15">
        <f>'Stats G1'!K15</f>
        <v>0</v>
      </c>
    </row>
    <row r="16" spans="2:12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  <c r="L16">
        <f>'Stats G1'!K16</f>
        <v>0</v>
      </c>
    </row>
    <row r="17" spans="6:12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  <c r="L17">
        <f>'Stats G1'!K17</f>
        <v>0</v>
      </c>
    </row>
    <row r="18" spans="6:12" x14ac:dyDescent="0.2">
      <c r="H18" s="2" t="s">
        <v>5</v>
      </c>
      <c r="I18">
        <f t="shared" ref="I18:L18" si="1">SUM(I3:I17)</f>
        <v>13</v>
      </c>
      <c r="J18">
        <f t="shared" si="1"/>
        <v>38</v>
      </c>
      <c r="K18">
        <f t="shared" si="1"/>
        <v>51</v>
      </c>
      <c r="L18">
        <f t="shared" si="1"/>
        <v>20</v>
      </c>
    </row>
    <row r="20" spans="6:12" x14ac:dyDescent="0.2">
      <c r="F20" t="s">
        <v>4</v>
      </c>
      <c r="G20" t="s">
        <v>244</v>
      </c>
    </row>
    <row r="21" spans="6:12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16</v>
      </c>
      <c r="L21" t="s">
        <v>214</v>
      </c>
    </row>
    <row r="22" spans="6:12" x14ac:dyDescent="0.2">
      <c r="F22" t="str">
        <f>'Stats G1'!A21</f>
        <v>Zac</v>
      </c>
      <c r="G22" t="str">
        <f>'Stats G1'!B21</f>
        <v>Seljaas</v>
      </c>
      <c r="H22">
        <f>'Stats G1'!C21</f>
        <v>99</v>
      </c>
      <c r="I22">
        <f>'Stats G1'!E21</f>
        <v>0</v>
      </c>
      <c r="J22">
        <f>'Stats G1'!H21</f>
        <v>10</v>
      </c>
      <c r="K22">
        <f>J22+I22</f>
        <v>10</v>
      </c>
      <c r="L22">
        <f>'Stats G1'!K21</f>
        <v>6</v>
      </c>
    </row>
    <row r="23" spans="6:12" x14ac:dyDescent="0.2">
      <c r="F23" t="str">
        <f>'Stats G1'!A22</f>
        <v>Parker</v>
      </c>
      <c r="G23" t="str">
        <f>'Stats G1'!B22</f>
        <v>Van Dyke</v>
      </c>
      <c r="H23">
        <f>'Stats G1'!C22</f>
        <v>7</v>
      </c>
      <c r="I23">
        <f>'Stats G1'!E22</f>
        <v>1</v>
      </c>
      <c r="J23">
        <f>'Stats G1'!H22</f>
        <v>6</v>
      </c>
      <c r="K23">
        <f t="shared" ref="K23:K36" si="2">J23+I23</f>
        <v>7</v>
      </c>
      <c r="L23">
        <f>'Stats G1'!K22</f>
        <v>6</v>
      </c>
    </row>
    <row r="24" spans="6:12" x14ac:dyDescent="0.2">
      <c r="F24" t="str">
        <f>'Stats G1'!A23</f>
        <v>Zavon</v>
      </c>
      <c r="G24" t="str">
        <f>'Stats G1'!B23</f>
        <v>Jackson</v>
      </c>
      <c r="H24">
        <f>'Stats G1'!C23</f>
        <v>24</v>
      </c>
      <c r="I24">
        <f>'Stats G1'!E23</f>
        <v>3</v>
      </c>
      <c r="J24">
        <f>'Stats G1'!H23</f>
        <v>7</v>
      </c>
      <c r="K24">
        <f t="shared" si="2"/>
        <v>10</v>
      </c>
      <c r="L24">
        <f>'Stats G1'!K23</f>
        <v>6</v>
      </c>
    </row>
    <row r="25" spans="6:12" x14ac:dyDescent="0.2">
      <c r="F25" t="str">
        <f>'Stats G1'!A24</f>
        <v>Kur</v>
      </c>
      <c r="G25" t="str">
        <f>'Stats G1'!B24</f>
        <v>Kuath</v>
      </c>
      <c r="H25">
        <f>'Stats G1'!C24</f>
        <v>4</v>
      </c>
      <c r="I25">
        <f>'Stats G1'!E24</f>
        <v>0</v>
      </c>
      <c r="J25">
        <f>'Stats G1'!H24</f>
        <v>0</v>
      </c>
      <c r="K25">
        <f t="shared" si="2"/>
        <v>0</v>
      </c>
      <c r="L25">
        <f>'Stats G1'!K24</f>
        <v>0</v>
      </c>
    </row>
    <row r="26" spans="6:12" x14ac:dyDescent="0.2">
      <c r="F26" t="str">
        <f>'Stats G1'!A25</f>
        <v>Neema</v>
      </c>
      <c r="G26" t="str">
        <f>'Stats G1'!B25</f>
        <v>Namdar</v>
      </c>
      <c r="H26">
        <f>'Stats G1'!C25</f>
        <v>0</v>
      </c>
      <c r="I26">
        <f>'Stats G1'!E25</f>
        <v>0</v>
      </c>
      <c r="J26">
        <f>'Stats G1'!H25</f>
        <v>2</v>
      </c>
      <c r="K26">
        <f t="shared" si="2"/>
        <v>2</v>
      </c>
      <c r="L26">
        <f>'Stats G1'!K25</f>
        <v>0</v>
      </c>
    </row>
    <row r="27" spans="6:12" x14ac:dyDescent="0.2">
      <c r="F27" t="str">
        <f>'Stats G1'!A26</f>
        <v>Blaze</v>
      </c>
      <c r="G27" t="str">
        <f>'Stats G1'!B26</f>
        <v>Nield</v>
      </c>
      <c r="H27">
        <f>'Stats G1'!C26</f>
        <v>3</v>
      </c>
      <c r="I27">
        <f>'Stats G1'!E26</f>
        <v>0</v>
      </c>
      <c r="J27">
        <f>'Stats G1'!H26</f>
        <v>2</v>
      </c>
      <c r="K27">
        <f t="shared" si="2"/>
        <v>2</v>
      </c>
      <c r="L27">
        <f>'Stats G1'!K26</f>
        <v>4</v>
      </c>
    </row>
    <row r="28" spans="6:12" x14ac:dyDescent="0.2">
      <c r="F28" t="str">
        <f>'Stats G1'!A27</f>
        <v>Casdon</v>
      </c>
      <c r="G28" t="str">
        <f>'Stats G1'!B27</f>
        <v>Jardine</v>
      </c>
      <c r="H28">
        <f>'Stats G1'!C27</f>
        <v>22</v>
      </c>
      <c r="I28">
        <f>'Stats G1'!E27</f>
        <v>1</v>
      </c>
      <c r="J28">
        <f>'Stats G1'!H27</f>
        <v>1</v>
      </c>
      <c r="K28">
        <f t="shared" si="2"/>
        <v>2</v>
      </c>
      <c r="L28">
        <f>'Stats G1'!K27</f>
        <v>1</v>
      </c>
    </row>
    <row r="29" spans="6:12" x14ac:dyDescent="0.2">
      <c r="F29" t="str">
        <f>'Stats G1'!A28</f>
        <v>Zack</v>
      </c>
      <c r="G29" t="str">
        <f>'Stats G1'!B28</f>
        <v>Visentin</v>
      </c>
      <c r="H29">
        <f>'Stats G1'!C28</f>
        <v>32</v>
      </c>
      <c r="I29">
        <f>'Stats G1'!E28</f>
        <v>0</v>
      </c>
      <c r="J29">
        <f>'Stats G1'!H28</f>
        <v>3</v>
      </c>
      <c r="K29">
        <f t="shared" si="2"/>
        <v>3</v>
      </c>
      <c r="L29">
        <f>'Stats G1'!K28</f>
        <v>1</v>
      </c>
    </row>
    <row r="30" spans="6:12" x14ac:dyDescent="0.2">
      <c r="F30" t="str">
        <f>'Stats G1'!A29</f>
        <v>Hunter</v>
      </c>
      <c r="G30" t="str">
        <f>'Stats G1'!B29</f>
        <v>Erickson</v>
      </c>
      <c r="H30">
        <f>'Stats G1'!C29</f>
        <v>0</v>
      </c>
      <c r="I30">
        <f>'Stats G1'!E29</f>
        <v>0</v>
      </c>
      <c r="J30">
        <f>'Stats G1'!H29</f>
        <v>2</v>
      </c>
      <c r="K30">
        <f t="shared" si="2"/>
        <v>2</v>
      </c>
      <c r="L30">
        <f>'Stats G1'!K29</f>
        <v>7</v>
      </c>
    </row>
    <row r="31" spans="6:12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  <c r="K31">
        <f t="shared" si="2"/>
        <v>0</v>
      </c>
      <c r="L31">
        <f>'Stats G1'!K30</f>
        <v>0</v>
      </c>
    </row>
    <row r="32" spans="6:12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 t="shared" si="2"/>
        <v>0</v>
      </c>
      <c r="L32">
        <f>'Stats G1'!K31</f>
        <v>0</v>
      </c>
    </row>
    <row r="33" spans="6:12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 t="shared" si="2"/>
        <v>0</v>
      </c>
      <c r="L33">
        <f>'Stats G1'!K32</f>
        <v>0</v>
      </c>
    </row>
    <row r="34" spans="6:12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 t="shared" si="2"/>
        <v>0</v>
      </c>
      <c r="L34">
        <f>'Stats G1'!K33</f>
        <v>0</v>
      </c>
    </row>
    <row r="35" spans="6:12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  <c r="L35">
        <f>'Stats G1'!K34</f>
        <v>0</v>
      </c>
    </row>
    <row r="36" spans="6:12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  <c r="L36">
        <f>'Stats G1'!K35</f>
        <v>0</v>
      </c>
    </row>
    <row r="37" spans="6:12" x14ac:dyDescent="0.2">
      <c r="H37" s="2" t="s">
        <v>5</v>
      </c>
      <c r="I37">
        <f t="shared" ref="I37:L37" si="3">SUM(I22:I36)</f>
        <v>5</v>
      </c>
      <c r="J37">
        <f t="shared" si="3"/>
        <v>33</v>
      </c>
      <c r="K37">
        <f t="shared" si="3"/>
        <v>38</v>
      </c>
      <c r="L37">
        <f t="shared" si="3"/>
        <v>31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C30" sqref="C30:C35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217</v>
      </c>
    </row>
    <row r="2" spans="1:25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  <c r="K2" t="s">
        <v>214</v>
      </c>
      <c r="Y2" t="s">
        <v>215</v>
      </c>
    </row>
    <row r="3" spans="1:25" s="6" customFormat="1" x14ac:dyDescent="0.2">
      <c r="A3" s="5" t="str">
        <f>_xlfn.IFNA(VLOOKUP($B$1&amp;ROWS($A$3:A3),Rosters!$B$2:$C$163,2,0),"?")</f>
        <v>Kentrell</v>
      </c>
      <c r="B3" s="5" t="str">
        <f>_xlfn.IFNA(VLOOKUP($B$1&amp;ROWS($B$3:B3),Rosters!$B$2:$D$163,3,0),"?")</f>
        <v>Barkley</v>
      </c>
      <c r="C3" s="5">
        <f>_xlfn.IFNA(VLOOKUP($B$1&amp;ROWS($C$3:C3),Rosters!$B$2:$E$163,4,0),"")</f>
        <v>12</v>
      </c>
      <c r="D3" s="5"/>
      <c r="E3" s="5">
        <v>2</v>
      </c>
      <c r="F3" s="5"/>
      <c r="G3" s="5"/>
      <c r="H3" s="5">
        <v>5</v>
      </c>
      <c r="I3" s="5"/>
      <c r="J3" s="5"/>
      <c r="K3" s="5">
        <v>3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216</v>
      </c>
    </row>
    <row r="4" spans="1:25" s="6" customFormat="1" x14ac:dyDescent="0.2">
      <c r="A4" s="6" t="str">
        <f>_xlfn.IFNA(VLOOKUP($B$1&amp;ROWS($A$3:A4),Rosters!$B$2:$C$163,2,0),"?")</f>
        <v>Dwayne</v>
      </c>
      <c r="B4" s="6" t="str">
        <f>_xlfn.IFNA(VLOOKUP($B$1&amp;ROWS($B$3:B4),Rosters!$B$2:$D$163,3,0),"?")</f>
        <v>Brown</v>
      </c>
      <c r="C4" s="6">
        <f>_xlfn.IFNA(VLOOKUP($B$1&amp;ROWS($C$3:C4),Rosters!$B$2:$E$163,4,0),"")</f>
        <v>2</v>
      </c>
      <c r="E4" s="6">
        <v>1</v>
      </c>
      <c r="H4" s="6">
        <v>9</v>
      </c>
      <c r="K4" s="6">
        <v>2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Wil</v>
      </c>
      <c r="B5" s="5" t="str">
        <f>_xlfn.IFNA(VLOOKUP($B$1&amp;ROWS($B$3:B5),Rosters!$B$2:$D$163,3,0),"?")</f>
        <v>Carter</v>
      </c>
      <c r="C5" s="5">
        <f>_xlfn.IFNA(VLOOKUP($B$1&amp;ROWS($C$3:C5),Rosters!$B$2:$E$163,4,0),"")</f>
        <v>15</v>
      </c>
      <c r="D5" s="5"/>
      <c r="E5" s="5">
        <v>2</v>
      </c>
      <c r="F5" s="5"/>
      <c r="G5" s="5"/>
      <c r="H5" s="5">
        <v>11</v>
      </c>
      <c r="I5" s="5"/>
      <c r="J5" s="5"/>
      <c r="K5" s="5">
        <v>1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241</v>
      </c>
    </row>
    <row r="6" spans="1:25" s="6" customFormat="1" x14ac:dyDescent="0.2">
      <c r="A6" s="6" t="str">
        <f>_xlfn.IFNA(VLOOKUP($B$1&amp;ROWS($A$3:A6),Rosters!$B$2:$C$163,2,0),"?")</f>
        <v>Mark</v>
      </c>
      <c r="B6" s="6" t="str">
        <f>_xlfn.IFNA(VLOOKUP($B$1&amp;ROWS($B$3:B6),Rosters!$B$2:$D$163,3,0),"?")</f>
        <v>Burton</v>
      </c>
      <c r="C6" s="6">
        <f>_xlfn.IFNA(VLOOKUP($B$1&amp;ROWS($C$3:C6),Rosters!$B$2:$E$163,4,0),"")</f>
        <v>3</v>
      </c>
      <c r="E6" s="6">
        <v>1</v>
      </c>
      <c r="H6" s="6">
        <v>0</v>
      </c>
      <c r="K6" s="6">
        <v>1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Zach</v>
      </c>
      <c r="B7" s="5" t="str">
        <f>_xlfn.IFNA(VLOOKUP($B$1&amp;ROWS($B$3:B7),Rosters!$B$2:$D$163,3,0),"?")</f>
        <v>Mogbo</v>
      </c>
      <c r="C7" s="5">
        <f>_xlfn.IFNA(VLOOKUP($B$1&amp;ROWS($C$3:C7),Rosters!$B$2:$E$163,4,0),"")</f>
        <v>4</v>
      </c>
      <c r="D7" s="5"/>
      <c r="E7" s="5">
        <v>2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Brandon</v>
      </c>
      <c r="B8" s="6" t="str">
        <f>_xlfn.IFNA(VLOOKUP($B$1&amp;ROWS($B$3:B8),Rosters!$B$2:$D$163,3,0),"?")</f>
        <v>Sly</v>
      </c>
      <c r="C8" s="6">
        <f>_xlfn.IFNA(VLOOKUP($B$1&amp;ROWS($C$3:C8),Rosters!$B$2:$E$163,4,0),"")</f>
        <v>2</v>
      </c>
      <c r="E8" s="6">
        <v>1</v>
      </c>
      <c r="H8" s="6">
        <v>1</v>
      </c>
      <c r="K8" s="6">
        <v>4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Zahir</v>
      </c>
      <c r="B9" s="5" t="str">
        <f>_xlfn.IFNA(VLOOKUP($B$1&amp;ROWS($B$3:B9),Rosters!$B$2:$D$163,3,0),"?")</f>
        <v>Porter</v>
      </c>
      <c r="C9" s="5">
        <f>_xlfn.IFNA(VLOOKUP($B$1&amp;ROWS($C$3:C9),Rosters!$B$2:$E$163,4,0),"")</f>
        <v>5</v>
      </c>
      <c r="D9" s="5"/>
      <c r="E9" s="5">
        <v>0</v>
      </c>
      <c r="F9" s="5"/>
      <c r="G9" s="5"/>
      <c r="H9" s="5">
        <v>0</v>
      </c>
      <c r="I9" s="5"/>
      <c r="J9" s="5"/>
      <c r="K9" s="5">
        <v>3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Brendan</v>
      </c>
      <c r="B10" s="6" t="str">
        <f>_xlfn.IFNA(VLOOKUP($B$1&amp;ROWS($B$3:B10),Rosters!$B$2:$D$163,3,0),"?")</f>
        <v>Bailey</v>
      </c>
      <c r="C10" s="6">
        <f>_xlfn.IFNA(VLOOKUP($B$1&amp;ROWS($C$3:C10),Rosters!$B$2:$E$163,4,0),"")</f>
        <v>1</v>
      </c>
      <c r="E10" s="6">
        <v>1</v>
      </c>
      <c r="H10" s="6">
        <v>6</v>
      </c>
      <c r="K10" s="6">
        <v>1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Jared</v>
      </c>
      <c r="B11" s="5" t="str">
        <f>_xlfn.IFNA(VLOOKUP($B$1&amp;ROWS($B$3:B11),Rosters!$B$2:$D$163,3,0),"?")</f>
        <v>Garcia</v>
      </c>
      <c r="C11" s="5">
        <f>_xlfn.IFNA(VLOOKUP($B$1&amp;ROWS($C$3:C11),Rosters!$B$2:$E$163,4,0),"")</f>
        <v>25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Taylor</v>
      </c>
      <c r="B12" s="6" t="str">
        <f>_xlfn.IFNA(VLOOKUP($B$1&amp;ROWS($B$3:B12),Rosters!$B$2:$D$163,3,0),"?")</f>
        <v>Miller</v>
      </c>
      <c r="C12" s="11" t="s">
        <v>242</v>
      </c>
      <c r="E12" s="6">
        <v>3</v>
      </c>
      <c r="H12" s="6">
        <v>4</v>
      </c>
      <c r="K12" s="6">
        <v>5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13</v>
      </c>
      <c r="H18" s="6">
        <f>SUM(H3:H17)</f>
        <v>38</v>
      </c>
      <c r="K18" s="6">
        <f>SUM(K3:K17)</f>
        <v>20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9</v>
      </c>
      <c r="B19" s="1" t="s">
        <v>218</v>
      </c>
    </row>
    <row r="20" spans="1:25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  <c r="K20" t="s">
        <v>214</v>
      </c>
      <c r="Y20" t="s">
        <v>215</v>
      </c>
    </row>
    <row r="21" spans="1:25" s="6" customFormat="1" x14ac:dyDescent="0.2">
      <c r="A21" s="5" t="str">
        <f>_xlfn.IFNA(VLOOKUP($B$19&amp;ROWS($A$21:A21),Rosters!$B$2:$C$163,2,0),"?")</f>
        <v>Zac</v>
      </c>
      <c r="B21" s="5" t="str">
        <f>_xlfn.IFNA(VLOOKUP($B$19&amp;ROWS($B$21:B21),Rosters!$B$2:$D$163,3,0),"?")</f>
        <v>Seljaas</v>
      </c>
      <c r="C21" s="5">
        <f>_xlfn.IFNA(VLOOKUP($B$19&amp;ROWS($C$21:C21),Rosters!$B$2:$E$163,4,0),"")</f>
        <v>99</v>
      </c>
      <c r="D21" s="5"/>
      <c r="E21" s="5">
        <v>0</v>
      </c>
      <c r="F21" s="5"/>
      <c r="G21" s="5"/>
      <c r="H21" s="5">
        <v>10</v>
      </c>
      <c r="I21" s="5"/>
      <c r="J21" s="5"/>
      <c r="K21" s="5">
        <v>6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239</v>
      </c>
    </row>
    <row r="22" spans="1:25" x14ac:dyDescent="0.2">
      <c r="A22" t="str">
        <f>_xlfn.IFNA(VLOOKUP($B$19&amp;ROWS($A$21:A22),Rosters!$B$2:$C$163,2,0),"?")</f>
        <v>Parker</v>
      </c>
      <c r="B22" t="str">
        <f>_xlfn.IFNA(VLOOKUP($B$19&amp;ROWS($B$21:B22),Rosters!$B$2:$D$163,3,0),"?")</f>
        <v>Van Dyke</v>
      </c>
      <c r="C22">
        <f>_xlfn.IFNA(VLOOKUP($B$19&amp;ROWS($C$21:C22),Rosters!$B$2:$E$163,4,0),"")</f>
        <v>7</v>
      </c>
      <c r="D22" s="6"/>
      <c r="E22" s="6">
        <v>1</v>
      </c>
      <c r="F22" s="6"/>
      <c r="G22" s="6"/>
      <c r="H22" s="6">
        <v>6</v>
      </c>
      <c r="I22" s="6"/>
      <c r="J22" s="6"/>
      <c r="K22" s="6">
        <v>6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Zavon</v>
      </c>
      <c r="B23" s="5" t="str">
        <f>_xlfn.IFNA(VLOOKUP($B$19&amp;ROWS($B$21:B23),Rosters!$B$2:$D$163,3,0),"?")</f>
        <v>Jackson</v>
      </c>
      <c r="C23" s="5">
        <f>_xlfn.IFNA(VLOOKUP($B$19&amp;ROWS($C$21:C23),Rosters!$B$2:$E$163,4,0),"")</f>
        <v>24</v>
      </c>
      <c r="D23" s="5"/>
      <c r="E23" s="5">
        <v>3</v>
      </c>
      <c r="F23" s="5"/>
      <c r="G23" s="5"/>
      <c r="H23" s="5">
        <v>7</v>
      </c>
      <c r="I23" s="5"/>
      <c r="J23" s="5"/>
      <c r="K23" s="5">
        <v>6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240</v>
      </c>
    </row>
    <row r="24" spans="1:25" x14ac:dyDescent="0.2">
      <c r="A24" t="str">
        <f>_xlfn.IFNA(VLOOKUP($B$19&amp;ROWS($A$21:A24),Rosters!$B$2:$C$163,2,0),"?")</f>
        <v>Kur</v>
      </c>
      <c r="B24" t="str">
        <f>_xlfn.IFNA(VLOOKUP($B$19&amp;ROWS($B$21:B24),Rosters!$B$2:$D$163,3,0),"?")</f>
        <v>Kuath</v>
      </c>
      <c r="C24">
        <f>_xlfn.IFNA(VLOOKUP($B$19&amp;ROWS($C$21:C24),Rosters!$B$2:$E$163,4,0),"")</f>
        <v>4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5" s="6" customFormat="1" x14ac:dyDescent="0.2">
      <c r="A25" s="5" t="str">
        <f>_xlfn.IFNA(VLOOKUP($B$19&amp;ROWS($A$21:A25),Rosters!$B$2:$C$163,2,0),"?")</f>
        <v>Neema</v>
      </c>
      <c r="B25" s="5" t="str">
        <f>_xlfn.IFNA(VLOOKUP($B$19&amp;ROWS($B$21:B25),Rosters!$B$2:$D$163,3,0),"?")</f>
        <v>Namdar</v>
      </c>
      <c r="C25" s="5">
        <f>_xlfn.IFNA(VLOOKUP($B$19&amp;ROWS($C$21:C25),Rosters!$B$2:$E$163,4,0),"")</f>
        <v>0</v>
      </c>
      <c r="D25" s="5"/>
      <c r="E25" s="5">
        <v>0</v>
      </c>
      <c r="F25" s="5"/>
      <c r="G25" s="5"/>
      <c r="H25" s="5">
        <v>2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Blaze</v>
      </c>
      <c r="B26" t="str">
        <f>_xlfn.IFNA(VLOOKUP($B$19&amp;ROWS($B$21:B26),Rosters!$B$2:$D$163,3,0),"?")</f>
        <v>Nield</v>
      </c>
      <c r="C26">
        <f>_xlfn.IFNA(VLOOKUP($B$19&amp;ROWS($C$21:C26),Rosters!$B$2:$E$163,4,0),"")</f>
        <v>3</v>
      </c>
      <c r="D26" s="6"/>
      <c r="E26" s="6">
        <v>0</v>
      </c>
      <c r="F26" s="6"/>
      <c r="G26" s="6"/>
      <c r="H26" s="6">
        <v>2</v>
      </c>
      <c r="I26" s="6"/>
      <c r="J26" s="6"/>
      <c r="K26" s="6">
        <v>4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Casdon</v>
      </c>
      <c r="B27" s="5" t="str">
        <f>_xlfn.IFNA(VLOOKUP($B$19&amp;ROWS($B$21:B27),Rosters!$B$2:$D$163,3,0),"?")</f>
        <v>Jardine</v>
      </c>
      <c r="C27" s="5">
        <f>_xlfn.IFNA(VLOOKUP($B$19&amp;ROWS($C$21:C27),Rosters!$B$2:$E$163,4,0),"")</f>
        <v>22</v>
      </c>
      <c r="D27" s="5"/>
      <c r="E27" s="5">
        <v>1</v>
      </c>
      <c r="F27" s="5"/>
      <c r="G27" s="5"/>
      <c r="H27" s="5">
        <v>1</v>
      </c>
      <c r="I27" s="5"/>
      <c r="J27" s="5"/>
      <c r="K27" s="5">
        <v>1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Zack</v>
      </c>
      <c r="B28" t="str">
        <f>_xlfn.IFNA(VLOOKUP($B$19&amp;ROWS($B$21:B28),Rosters!$B$2:$D$163,3,0),"?")</f>
        <v>Visentin</v>
      </c>
      <c r="C28">
        <f>_xlfn.IFNA(VLOOKUP($B$19&amp;ROWS($C$21:C28),Rosters!$B$2:$E$163,4,0),"")</f>
        <v>32</v>
      </c>
      <c r="D28" s="6"/>
      <c r="E28" s="6">
        <v>0</v>
      </c>
      <c r="F28" s="6"/>
      <c r="G28" s="6"/>
      <c r="H28" s="6">
        <v>3</v>
      </c>
      <c r="I28" s="6"/>
      <c r="J28" s="6"/>
      <c r="K28" s="6">
        <v>1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Hunter</v>
      </c>
      <c r="B29" s="5" t="str">
        <f>_xlfn.IFNA(VLOOKUP($B$19&amp;ROWS($B$21:B29),Rosters!$B$2:$D$163,3,0),"?")</f>
        <v>Erickson</v>
      </c>
      <c r="C29" s="5">
        <f>_xlfn.IFNA(VLOOKUP($B$19&amp;ROWS($C$21:C29),Rosters!$B$2:$E$163,4,0),"")</f>
        <v>0</v>
      </c>
      <c r="D29" s="5"/>
      <c r="E29" s="5">
        <v>0</v>
      </c>
      <c r="F29" s="5"/>
      <c r="G29" s="5"/>
      <c r="H29" s="5">
        <v>2</v>
      </c>
      <c r="I29" s="5"/>
      <c r="J29" s="5"/>
      <c r="K29" s="5">
        <v>7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5</v>
      </c>
      <c r="H36">
        <f>SUM(H21:H35)</f>
        <v>33</v>
      </c>
      <c r="K36">
        <f>SUM(K21:K35)</f>
        <v>31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21"/>
  <sheetViews>
    <sheetView topLeftCell="A100" workbookViewId="0">
      <selection activeCell="C115" sqref="C115"/>
    </sheetView>
  </sheetViews>
  <sheetFormatPr baseColWidth="10" defaultColWidth="11" defaultRowHeight="16" x14ac:dyDescent="0.2"/>
  <cols>
    <col min="1" max="1" width="14.83203125" bestFit="1" customWidth="1"/>
    <col min="2" max="2" width="17.1640625" style="8" bestFit="1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17</v>
      </c>
      <c r="B2" s="8" t="str">
        <f>A2&amp;COUNTIF($A$2:$A2,A2)</f>
        <v>Team Egan1</v>
      </c>
      <c r="C2" t="s">
        <v>21</v>
      </c>
      <c r="D2" t="s">
        <v>22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23</v>
      </c>
      <c r="D3" t="s">
        <v>24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25</v>
      </c>
      <c r="D4" t="s">
        <v>26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27</v>
      </c>
      <c r="D5" t="s">
        <v>28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29</v>
      </c>
      <c r="D6" t="s">
        <v>30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31</v>
      </c>
      <c r="D7" t="s">
        <v>32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33</v>
      </c>
      <c r="D8" t="s">
        <v>34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35</v>
      </c>
      <c r="D9" t="s">
        <v>36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37</v>
      </c>
      <c r="D10" t="s">
        <v>38</v>
      </c>
      <c r="E10">
        <v>21</v>
      </c>
      <c r="G10" s="8" t="str">
        <v>Team Humpherys</v>
      </c>
    </row>
    <row r="11" spans="1:7" x14ac:dyDescent="0.2">
      <c r="A11" t="s">
        <v>18</v>
      </c>
      <c r="B11" s="8" t="str">
        <f>A11&amp;COUNTIF($A$2:$A11,A11)</f>
        <v>Team Covington1</v>
      </c>
      <c r="C11" t="s">
        <v>39</v>
      </c>
      <c r="D11" t="s">
        <v>40</v>
      </c>
      <c r="E11">
        <v>34</v>
      </c>
      <c r="G11" s="8" t="str" cm="1">
        <f t="array" ref="G11:G21">_xlfn.UNIQUE(A2:A121)</f>
        <v>Team Egan</v>
      </c>
    </row>
    <row r="12" spans="1:7" x14ac:dyDescent="0.2">
      <c r="A12" t="s">
        <v>18</v>
      </c>
      <c r="B12" s="8" t="str">
        <f>A12&amp;COUNTIF($A$2:$A12,A12)</f>
        <v>Team Covington2</v>
      </c>
      <c r="C12" t="s">
        <v>41</v>
      </c>
      <c r="D12" t="s">
        <v>42</v>
      </c>
      <c r="E12">
        <v>4</v>
      </c>
      <c r="G12" s="8" t="str">
        <v>Team Covington</v>
      </c>
    </row>
    <row r="13" spans="1:7" x14ac:dyDescent="0.2">
      <c r="A13" t="s">
        <v>18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  <c r="G13" s="8" t="str">
        <v>Team Drisdom</v>
      </c>
    </row>
    <row r="14" spans="1:7" x14ac:dyDescent="0.2">
      <c r="A14" t="s">
        <v>18</v>
      </c>
      <c r="B14" s="8" t="str">
        <f>A14&amp;COUNTIF($A$2:$A14,A14)</f>
        <v>Team Covington4</v>
      </c>
      <c r="C14" t="s">
        <v>45</v>
      </c>
      <c r="D14" t="s">
        <v>46</v>
      </c>
      <c r="E14">
        <v>87</v>
      </c>
      <c r="G14" s="8" t="str">
        <v>Team Bullock</v>
      </c>
    </row>
    <row r="15" spans="1:7" x14ac:dyDescent="0.2">
      <c r="A15" t="s">
        <v>18</v>
      </c>
      <c r="B15" s="8" t="str">
        <f>A15&amp;COUNTIF($A$2:$A15,A15)</f>
        <v>Team Covington5</v>
      </c>
      <c r="C15" t="s">
        <v>47</v>
      </c>
      <c r="D15" t="s">
        <v>48</v>
      </c>
      <c r="E15">
        <v>23</v>
      </c>
      <c r="G15" s="8" t="str">
        <v>Team Erickson</v>
      </c>
    </row>
    <row r="16" spans="1:7" x14ac:dyDescent="0.2">
      <c r="A16" t="s">
        <v>18</v>
      </c>
      <c r="B16" s="8" t="str">
        <f>A16&amp;COUNTIF($A$2:$A16,A16)</f>
        <v>Team Covington6</v>
      </c>
      <c r="C16" t="s">
        <v>49</v>
      </c>
      <c r="D16" t="s">
        <v>50</v>
      </c>
      <c r="E16">
        <v>2</v>
      </c>
      <c r="G16" s="8" t="str">
        <v>Team Joyce</v>
      </c>
    </row>
    <row r="17" spans="1:7" x14ac:dyDescent="0.2">
      <c r="A17" t="s">
        <v>18</v>
      </c>
      <c r="B17" s="8" t="str">
        <f>A17&amp;COUNTIF($A$2:$A17,A17)</f>
        <v>Team Covington7</v>
      </c>
      <c r="C17" t="s">
        <v>51</v>
      </c>
      <c r="D17" t="s">
        <v>52</v>
      </c>
      <c r="E17">
        <v>10</v>
      </c>
      <c r="G17" s="8" t="str">
        <v>Team Berger</v>
      </c>
    </row>
    <row r="18" spans="1:7" x14ac:dyDescent="0.2">
      <c r="A18" t="s">
        <v>18</v>
      </c>
      <c r="B18" s="8" t="str">
        <f>A18&amp;COUNTIF($A$2:$A18,A18)</f>
        <v>Team Covington8</v>
      </c>
      <c r="C18" t="s">
        <v>53</v>
      </c>
      <c r="D18" t="s">
        <v>54</v>
      </c>
      <c r="E18">
        <v>25</v>
      </c>
      <c r="G18" s="8" t="str">
        <v>Team Stan</v>
      </c>
    </row>
    <row r="19" spans="1:7" x14ac:dyDescent="0.2">
      <c r="A19" t="s">
        <v>18</v>
      </c>
      <c r="B19" s="8" t="str">
        <f>A19&amp;COUNTIF($A$2:$A19,A19)</f>
        <v>Team Covington9</v>
      </c>
      <c r="C19" t="s">
        <v>55</v>
      </c>
      <c r="D19" t="s">
        <v>56</v>
      </c>
      <c r="E19">
        <v>3</v>
      </c>
      <c r="G19" s="8" t="str">
        <v>Team Humpherys</v>
      </c>
    </row>
    <row r="20" spans="1:7" x14ac:dyDescent="0.2">
      <c r="A20" t="s">
        <v>18</v>
      </c>
      <c r="B20" s="8" t="str">
        <f>A20&amp;COUNTIF($A$2:$A20,A20)</f>
        <v>Team Covington10</v>
      </c>
      <c r="C20" t="s">
        <v>56</v>
      </c>
      <c r="D20" t="s">
        <v>57</v>
      </c>
      <c r="E20">
        <v>33</v>
      </c>
      <c r="G20" s="8" t="str">
        <v>Team Seljaas</v>
      </c>
    </row>
    <row r="21" spans="1:7" x14ac:dyDescent="0.2">
      <c r="A21" t="s">
        <v>18</v>
      </c>
      <c r="B21" s="8" t="str">
        <f>A21&amp;COUNTIF($A$2:$A21,A21)</f>
        <v>Team Covington11</v>
      </c>
      <c r="C21" t="s">
        <v>58</v>
      </c>
      <c r="D21" t="s">
        <v>59</v>
      </c>
      <c r="E21">
        <v>16</v>
      </c>
      <c r="G21" s="8" t="str">
        <v>Team Barkley</v>
      </c>
    </row>
    <row r="22" spans="1:7" x14ac:dyDescent="0.2">
      <c r="A22" t="s">
        <v>18</v>
      </c>
      <c r="B22" s="8" t="str">
        <f>A22&amp;COUNTIF($A$2:$A22,A22)</f>
        <v>Team Covington12</v>
      </c>
      <c r="C22" t="s">
        <v>41</v>
      </c>
      <c r="D22" t="s">
        <v>60</v>
      </c>
      <c r="E22">
        <v>14</v>
      </c>
    </row>
    <row r="23" spans="1:7" x14ac:dyDescent="0.2">
      <c r="A23" t="s">
        <v>19</v>
      </c>
      <c r="B23" s="8" t="str">
        <f>A23&amp;COUNTIF($A$2:$A23,A23)</f>
        <v>Team Drisdom1</v>
      </c>
      <c r="C23" t="s">
        <v>61</v>
      </c>
      <c r="D23" t="s">
        <v>62</v>
      </c>
      <c r="E23">
        <v>7</v>
      </c>
    </row>
    <row r="24" spans="1:7" x14ac:dyDescent="0.2">
      <c r="A24" t="s">
        <v>19</v>
      </c>
      <c r="B24" s="8" t="str">
        <f>A24&amp;COUNTIF($A$2:$A24,A24)</f>
        <v>Team Drisdom2</v>
      </c>
      <c r="C24" t="s">
        <v>63</v>
      </c>
      <c r="D24" t="s">
        <v>64</v>
      </c>
      <c r="E24">
        <v>5</v>
      </c>
    </row>
    <row r="25" spans="1:7" x14ac:dyDescent="0.2">
      <c r="A25" t="s">
        <v>19</v>
      </c>
      <c r="B25" s="8" t="str">
        <f>A25&amp;COUNTIF($A$2:$A25,A25)</f>
        <v>Team Drisdom3</v>
      </c>
      <c r="C25" t="s">
        <v>78</v>
      </c>
      <c r="D25" t="s">
        <v>48</v>
      </c>
      <c r="E25">
        <v>10</v>
      </c>
    </row>
    <row r="26" spans="1:7" x14ac:dyDescent="0.2">
      <c r="A26" t="s">
        <v>19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7" x14ac:dyDescent="0.2">
      <c r="A27" t="s">
        <v>19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7" x14ac:dyDescent="0.2">
      <c r="A28" t="s">
        <v>19</v>
      </c>
      <c r="B28" s="8" t="str">
        <f>A28&amp;COUNTIF($A$2:$A28,A28)</f>
        <v>Team Drisdom6</v>
      </c>
      <c r="C28" t="s">
        <v>53</v>
      </c>
      <c r="D28" t="s">
        <v>68</v>
      </c>
      <c r="E28">
        <v>0</v>
      </c>
    </row>
    <row r="29" spans="1:7" x14ac:dyDescent="0.2">
      <c r="A29" t="s">
        <v>19</v>
      </c>
      <c r="B29" s="8" t="str">
        <f>A29&amp;COUNTIF($A$2:$A29,A29)</f>
        <v>Team Drisdom7</v>
      </c>
      <c r="C29" t="s">
        <v>69</v>
      </c>
      <c r="D29" t="s">
        <v>62</v>
      </c>
      <c r="E29">
        <v>13</v>
      </c>
    </row>
    <row r="30" spans="1:7" x14ac:dyDescent="0.2">
      <c r="A30" t="s">
        <v>19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7" x14ac:dyDescent="0.2">
      <c r="A31" t="s">
        <v>19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7" x14ac:dyDescent="0.2">
      <c r="A32" t="s">
        <v>19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19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20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20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20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20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20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20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20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20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20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20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20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20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D74" t="s">
        <v>213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  <c r="E88">
        <v>1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123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115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173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132</v>
      </c>
      <c r="D99" t="s">
        <v>111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ht="17" thickBot="1" x14ac:dyDescent="0.25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  <row r="103" spans="1:5" ht="18" thickBot="1" x14ac:dyDescent="0.25">
      <c r="A103" s="9" t="s">
        <v>218</v>
      </c>
      <c r="B103" s="10" t="s">
        <v>219</v>
      </c>
      <c r="C103" s="9" t="s">
        <v>148</v>
      </c>
      <c r="D103" s="9" t="s">
        <v>149</v>
      </c>
      <c r="E103">
        <v>99</v>
      </c>
    </row>
    <row r="104" spans="1:5" ht="18" thickBot="1" x14ac:dyDescent="0.25">
      <c r="A104" s="9" t="s">
        <v>218</v>
      </c>
      <c r="B104" s="10" t="s">
        <v>220</v>
      </c>
      <c r="C104" s="9" t="s">
        <v>144</v>
      </c>
      <c r="D104" s="9" t="s">
        <v>145</v>
      </c>
      <c r="E104">
        <v>7</v>
      </c>
    </row>
    <row r="105" spans="1:5" ht="18" thickBot="1" x14ac:dyDescent="0.25">
      <c r="A105" s="9" t="s">
        <v>218</v>
      </c>
      <c r="B105" s="10" t="s">
        <v>221</v>
      </c>
      <c r="C105" s="9" t="s">
        <v>152</v>
      </c>
      <c r="D105" s="9" t="s">
        <v>153</v>
      </c>
      <c r="E105">
        <v>24</v>
      </c>
    </row>
    <row r="106" spans="1:5" ht="18" thickBot="1" x14ac:dyDescent="0.25">
      <c r="A106" s="9" t="s">
        <v>218</v>
      </c>
      <c r="B106" s="10" t="s">
        <v>222</v>
      </c>
      <c r="C106" s="9" t="s">
        <v>120</v>
      </c>
      <c r="D106" s="9" t="s">
        <v>121</v>
      </c>
      <c r="E106">
        <v>4</v>
      </c>
    </row>
    <row r="107" spans="1:5" ht="18" thickBot="1" x14ac:dyDescent="0.25">
      <c r="A107" s="9" t="s">
        <v>218</v>
      </c>
      <c r="B107" s="10" t="s">
        <v>223</v>
      </c>
      <c r="C107" s="9" t="s">
        <v>122</v>
      </c>
      <c r="D107" s="9" t="s">
        <v>123</v>
      </c>
      <c r="E107">
        <v>0</v>
      </c>
    </row>
    <row r="108" spans="1:5" ht="18" thickBot="1" x14ac:dyDescent="0.25">
      <c r="A108" s="9" t="s">
        <v>218</v>
      </c>
      <c r="B108" s="10" t="s">
        <v>224</v>
      </c>
      <c r="C108" s="9" t="s">
        <v>126</v>
      </c>
      <c r="D108" s="9" t="s">
        <v>127</v>
      </c>
      <c r="E108">
        <v>3</v>
      </c>
    </row>
    <row r="109" spans="1:5" ht="18" thickBot="1" x14ac:dyDescent="0.25">
      <c r="A109" s="9" t="s">
        <v>218</v>
      </c>
      <c r="B109" s="10" t="s">
        <v>225</v>
      </c>
      <c r="C109" s="9" t="s">
        <v>21</v>
      </c>
      <c r="D109" s="9" t="s">
        <v>22</v>
      </c>
      <c r="E109">
        <v>22</v>
      </c>
    </row>
    <row r="110" spans="1:5" ht="18" thickBot="1" x14ac:dyDescent="0.25">
      <c r="A110" s="9" t="s">
        <v>218</v>
      </c>
      <c r="B110" s="10" t="s">
        <v>226</v>
      </c>
      <c r="C110" s="9" t="s">
        <v>203</v>
      </c>
      <c r="D110" s="9" t="s">
        <v>204</v>
      </c>
      <c r="E110">
        <v>32</v>
      </c>
    </row>
    <row r="111" spans="1:5" ht="18" thickBot="1" x14ac:dyDescent="0.25">
      <c r="A111" s="9" t="s">
        <v>218</v>
      </c>
      <c r="B111" s="10" t="s">
        <v>227</v>
      </c>
      <c r="C111" s="9" t="s">
        <v>115</v>
      </c>
      <c r="D111" s="9" t="s">
        <v>116</v>
      </c>
      <c r="E111">
        <v>0</v>
      </c>
    </row>
    <row r="112" spans="1:5" ht="18" thickBot="1" x14ac:dyDescent="0.25">
      <c r="A112" s="9" t="s">
        <v>217</v>
      </c>
      <c r="B112" s="10" t="s">
        <v>228</v>
      </c>
      <c r="C112" s="9" t="s">
        <v>99</v>
      </c>
      <c r="D112" s="9" t="s">
        <v>100</v>
      </c>
      <c r="E112">
        <v>12</v>
      </c>
    </row>
    <row r="113" spans="1:5" ht="18" thickBot="1" x14ac:dyDescent="0.25">
      <c r="A113" s="9" t="s">
        <v>217</v>
      </c>
      <c r="B113" s="10" t="s">
        <v>229</v>
      </c>
      <c r="C113" s="9" t="s">
        <v>58</v>
      </c>
      <c r="D113" s="9" t="s">
        <v>151</v>
      </c>
      <c r="E113">
        <v>2</v>
      </c>
    </row>
    <row r="114" spans="1:5" ht="18" thickBot="1" x14ac:dyDescent="0.25">
      <c r="A114" s="9" t="s">
        <v>217</v>
      </c>
      <c r="B114" s="10" t="s">
        <v>230</v>
      </c>
      <c r="C114" s="9" t="s">
        <v>29</v>
      </c>
      <c r="D114" s="9" t="s">
        <v>30</v>
      </c>
      <c r="E114">
        <v>15</v>
      </c>
    </row>
    <row r="115" spans="1:5" ht="18" thickBot="1" x14ac:dyDescent="0.25">
      <c r="A115" s="9" t="s">
        <v>217</v>
      </c>
      <c r="B115" s="10" t="s">
        <v>231</v>
      </c>
      <c r="C115" s="9" t="s">
        <v>196</v>
      </c>
      <c r="D115" s="9" t="s">
        <v>197</v>
      </c>
      <c r="E115">
        <v>3</v>
      </c>
    </row>
    <row r="116" spans="1:5" ht="18" thickBot="1" x14ac:dyDescent="0.25">
      <c r="A116" s="9" t="s">
        <v>217</v>
      </c>
      <c r="B116" s="10" t="s">
        <v>232</v>
      </c>
      <c r="C116" s="9" t="s">
        <v>209</v>
      </c>
      <c r="D116" s="9" t="s">
        <v>210</v>
      </c>
      <c r="E116">
        <v>4</v>
      </c>
    </row>
    <row r="117" spans="1:5" ht="18" thickBot="1" x14ac:dyDescent="0.25">
      <c r="A117" s="9" t="s">
        <v>217</v>
      </c>
      <c r="B117" s="10" t="s">
        <v>233</v>
      </c>
      <c r="C117" s="9" t="s">
        <v>158</v>
      </c>
      <c r="D117" s="9" t="s">
        <v>159</v>
      </c>
      <c r="E117">
        <v>2</v>
      </c>
    </row>
    <row r="118" spans="1:5" ht="18" thickBot="1" x14ac:dyDescent="0.25">
      <c r="A118" s="9" t="s">
        <v>217</v>
      </c>
      <c r="B118" s="10" t="s">
        <v>234</v>
      </c>
      <c r="C118" s="9" t="s">
        <v>169</v>
      </c>
      <c r="D118" s="9" t="s">
        <v>170</v>
      </c>
      <c r="E118">
        <v>5</v>
      </c>
    </row>
    <row r="119" spans="1:5" ht="18" thickBot="1" x14ac:dyDescent="0.25">
      <c r="A119" s="9" t="s">
        <v>217</v>
      </c>
      <c r="B119" s="10" t="s">
        <v>235</v>
      </c>
      <c r="C119" s="9" t="s">
        <v>167</v>
      </c>
      <c r="D119" s="9" t="s">
        <v>168</v>
      </c>
      <c r="E119">
        <v>1</v>
      </c>
    </row>
    <row r="120" spans="1:5" ht="18" thickBot="1" x14ac:dyDescent="0.25">
      <c r="A120" s="9" t="s">
        <v>217</v>
      </c>
      <c r="B120" s="10" t="s">
        <v>236</v>
      </c>
      <c r="C120" s="9" t="s">
        <v>53</v>
      </c>
      <c r="D120" s="9" t="s">
        <v>54</v>
      </c>
      <c r="E120">
        <v>25</v>
      </c>
    </row>
    <row r="121" spans="1:5" ht="18" thickBot="1" x14ac:dyDescent="0.25">
      <c r="A121" s="9" t="s">
        <v>217</v>
      </c>
      <c r="B121" s="10" t="s">
        <v>237</v>
      </c>
      <c r="C121" s="9" t="s">
        <v>104</v>
      </c>
      <c r="D121" s="9" t="s">
        <v>105</v>
      </c>
      <c r="E121" t="s">
        <v>238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2022-07-24T18:24:37Z</dcterms:modified>
</cp:coreProperties>
</file>