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1T173022Z-001/"/>
    </mc:Choice>
  </mc:AlternateContent>
  <xr:revisionPtr revIDLastSave="0" documentId="13_ncr:1_{B74F76E4-08AD-5847-A960-943AE1A0C1C5}" xr6:coauthVersionLast="47" xr6:coauthVersionMax="47" xr10:uidLastSave="{00000000-0000-0000-0000-000000000000}"/>
  <bookViews>
    <workbookView xWindow="14860" yWindow="500" windowWidth="1394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3" i="1" l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18" i="2" l="1"/>
  <c r="M37" i="2"/>
  <c r="I37" i="2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18" i="2" l="1"/>
  <c r="L37" i="2"/>
  <c r="Y38" i="1"/>
  <c r="J37" i="2"/>
  <c r="K37" i="2"/>
  <c r="Y20" i="1"/>
  <c r="L18" i="2"/>
  <c r="J18" i="2"/>
  <c r="G20" i="2"/>
  <c r="D2" i="2" s="1"/>
  <c r="G1" i="2"/>
  <c r="B2" i="2" s="1"/>
  <c r="C19" i="1" l="1"/>
  <c r="H17" i="2" s="1"/>
  <c r="F15" i="2"/>
  <c r="B36" i="1"/>
  <c r="G35" i="2" s="1"/>
  <c r="H32" i="2"/>
  <c r="F30" i="2"/>
  <c r="B28" i="1"/>
  <c r="G27" i="2" s="1"/>
  <c r="C25" i="1"/>
  <c r="H24" i="2" s="1"/>
  <c r="A23" i="1"/>
  <c r="F22" i="2" s="1"/>
  <c r="C24" i="1"/>
  <c r="H23" i="2" s="1"/>
  <c r="G31" i="2"/>
  <c r="A27" i="1"/>
  <c r="F26" i="2" s="1"/>
  <c r="F31" i="2"/>
  <c r="A37" i="1"/>
  <c r="F36" i="2" s="1"/>
  <c r="B26" i="1"/>
  <c r="G25" i="2" s="1"/>
  <c r="B19" i="1"/>
  <c r="G17" i="2" s="1"/>
  <c r="C16" i="1"/>
  <c r="H14" i="2" s="1"/>
  <c r="A36" i="1"/>
  <c r="F35" i="2" s="1"/>
  <c r="G32" i="2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H22" i="2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F32" i="2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H30" i="2"/>
  <c r="H16" i="2"/>
  <c r="B18" i="1"/>
  <c r="G16" i="2" s="1"/>
  <c r="A18" i="1"/>
  <c r="F16" i="2" s="1"/>
  <c r="H15" i="2"/>
  <c r="G15" i="2"/>
  <c r="C36" i="1"/>
  <c r="H35" i="2" s="1"/>
  <c r="A34" i="1"/>
  <c r="F33" i="2" s="1"/>
  <c r="H27" i="2"/>
  <c r="A26" i="1"/>
  <c r="F25" i="2" s="1"/>
  <c r="B23" i="1"/>
  <c r="G22" i="2" s="1"/>
  <c r="H31" i="2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<sst xmlns="http://schemas.openxmlformats.org/spreadsheetml/2006/main" count="370" uniqueCount="232">
  <si>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</si>
  <si>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</si>
  <si>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</si>
  <si>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</si>
  <si>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</si>
  <si>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</si>
  <si>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</si>
  <si>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</si>
  <si>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</si>
  <si>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</si>
  <si>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</si>
  <si>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</si>
  <si>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</si>
  <si>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</si>
  <si>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</si>
  <si>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</si>
  <si>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</si>
  <si>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</si>
  <si>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</si>
  <si>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</si>
  <si>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</si>
  <si>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</si>
  <si>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</si>
  <si>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</si>
  <si>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</si>
  <si>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</si>
  <si>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</si>
  <si>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</si>
  <si>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</si>
  <si>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</si>
  <si>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</si>
  <si>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</si>
  <si>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</si>
  <si>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</si>
  <si>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</si>
  <si>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</si>
  <si>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</si>
  <si>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</si>
  <si>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</si>
  <si>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</si>
  <si>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</si>
  <si>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</si>
  <si>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</si>
  <si>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</si>
  <si>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</si>
  <si>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</si>
  <si>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</si>
  <si>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</si>
  <si>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</si>
  <si>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</si>
  <si>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</si>
  <si>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</si>
  <si>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</si>
  <si>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</si>
  <si>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</si>
  <si>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</si>
  <si>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</si>
  <si>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</si>
  <si>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</si>
  <si>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</si>
  <si>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</si>
  <si>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</si>
  <si>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</si>
  <si>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</si>
  <si>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</si>
  <si>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</si>
  <si>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</si>
  <si>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</si>
  <si>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</si>
  <si>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</si>
  <si>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</si>
  <si>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</si>
  <si>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</si>
  <si>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</si>
  <si>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</si>
  <si>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</si>
  <si>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</si>
  <si>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</si>
  <si>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</si>
  <si>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</si>
  <si>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</si>
  <si>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</si>
  <si>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</si>
  <si>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</si>
  <si>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</si>
  <si>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</si>
  <si>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</si>
  <si>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</si>
  <si>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</si>
  <si>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</si>
  <si>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</si>
  <si>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</si>
  <si>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</si>
  <si>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</si>
  <si>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</si>
  <si>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</si>
  <si>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</si>
  <si>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</si>
  <si>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</si>
  <si>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</si>
  <si>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</si>
  <si>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</si>
  <si>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</si>
  <si>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</si>
  <si>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</si>
  <si>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</si>
  <si>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</si>
  <si>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</si>
  <si>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</si>
  <si>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</si>
  <si>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</si>
  <si>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</si>
  <si>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</si>
  <si>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</si>
  <si>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</si>
  <si>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</si>
  <si>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</si>
  <si>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</si>
  <si>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</si>
  <si>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</si>
  <si>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</si>
  <si>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</si>
  <si>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</si>
  <si>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</si>
  <si>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</si>
  <si>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</si>
  <si>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</si>
  <si>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</si>
  <si>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</si>
  <si>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</si>
  <si>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</si>
  <si>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</si>
  <si>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</si>
  <si>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</si>
  <si>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</si>
  <si>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</si>
  <si>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</si>
  <si>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</si>
  <si>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</si>
  <si>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</si>
  <si>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</si>
  <si>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</si>
  <si>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</si>
  <si>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</si>
  <si>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</si>
  <si>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</si>
  <si>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</si>
  <si>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</si>
  <si>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</si>
  <si>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</si>
  <si>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</si>
  <si>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</si>
  <si>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</si>
  <si>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</si>
  <si>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</si>
  <si>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</si>
  <si>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</si>
  <si>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</si>
  <si>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</si>
  <si>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</si>
  <si>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</si>
  <si>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</si>
  <si>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</si>
  <si>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</si>
  <si>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</si>
  <si>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</si>
  <si>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</si>
  <si>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</si>
  <si>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</si>
  <si>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</si>
  <si>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</si>
  <si>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</si>
  <si>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</si>
  <si>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</si>
  <si>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</si>
  <si>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</si>
  <si>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</si>
  <si>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</si>
  <si>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</si>
  <si>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</si>
  <si>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</si>
  <si>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</si>
  <si>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</si>
  <si>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</si>
  <si>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</si>
  <si>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</si>
  <si>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</si>
  <si>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</si>
  <si>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</si>
  <si>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</si>
  <si>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</si>
  <si>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</si>
  <si>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</si>
  <si>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</si>
  <si>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</si>
  <si>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</si>
  <si>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</si>
  <si>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</si>
  <si>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</si>
  <si>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</si>
  <si>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</si>
  <si>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</si>
  <si>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</si>
  <si>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</si>
  <si>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</si>
  <si>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</si>
  <si>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</si>
  <si>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</si>
  <si>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</si>
  <si>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</si>
  <si>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</si>
  <si>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</si>
  <si>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</si>
  <si>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</si>
  <si>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</si>
  <si>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</si>
  <si>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</si>
  <si>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</si>
  <si>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</si>
  <si>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</si>
  <si>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</si>
  <si>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</si>
  <si>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</si>
  <si>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Lewis</t>
  </si>
  <si>
    <t>johnson</t>
  </si>
  <si>
    <t>Verplancken</t>
  </si>
  <si>
    <t>Stewart</t>
  </si>
  <si>
    <t>TOTAL PTS</t>
  </si>
  <si>
    <t>FOULS PRD</t>
  </si>
  <si>
    <t xml:space="preserve">   </t>
  </si>
  <si>
    <t>Shawn</t>
  </si>
  <si>
    <t>Barstow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</si>
</sst>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  <xf numFmtId="2" fontId="1" fillId="2" borderId="0" xfId="0" applyNumberFormat="1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C1" workbookViewId="0">
      <selection activeCell="I17" sqref="I1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Bullock</v>
      </c>
    </row>
    <row r="2" spans="2:13" x14ac:dyDescent="0.2">
      <c r="B2" t="str">
        <f>G1</f>
        <v>Team Bullock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95</v>
      </c>
      <c r="C3" s="3" t="s">
        <v>13</v>
      </c>
      <c r="D3" s="4">
        <f>I37</f>
        <v>113</v>
      </c>
      <c r="F3" t="str">
        <f>'Stats G1'!A5</f>
        <v>Tyus</v>
      </c>
      <c r="G3" t="str">
        <f>'Stats G1'!B5</f>
        <v>Jefferson</v>
      </c>
      <c r="H3">
        <f>'Stats G1'!C5</f>
        <v>3</v>
      </c>
      <c r="I3">
        <f>'Stats G1'!H5*2+'Stats G1'!N5*3+'Stats G1'!T5</f>
        <v>21</v>
      </c>
      <c r="J3" t="str">
        <f>SUM('Stats G1'!H5+'Stats G1'!N5)&amp;"-"&amp;SUM('Stats G1'!E5+'Stats G1'!K5)</f>
        <v>9-23</v>
      </c>
      <c r="K3" t="str">
        <f>SUM('Stats G1'!N5)&amp;"-"&amp;SUM('Stats G1'!K5)</f>
        <v>0-4</v>
      </c>
      <c r="L3" t="str">
        <f>SUM('Stats G1'!T5)&amp;"-"&amp;SUM('Stats G1'!Q5)</f>
        <v>3-7</v>
      </c>
      <c r="M3">
        <f>'Stats G1'!W5</f>
        <v>2</v>
      </c>
    </row>
    <row r="4" spans="2:13" x14ac:dyDescent="0.2">
      <c r="F4" t="str">
        <f>'Stats G1'!A6</f>
        <v>Jordan</v>
      </c>
      <c r="G4" t="str">
        <f>'Stats G1'!B6</f>
        <v>Loveridge</v>
      </c>
      <c r="H4">
        <f>'Stats G1'!C6</f>
        <v>21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Kyndayl</v>
      </c>
      <c r="G5" t="str">
        <f>'Stats G1'!B7</f>
        <v>Hill</v>
      </c>
      <c r="H5">
        <f>'Stats G1'!C7</f>
        <v>15</v>
      </c>
      <c r="I5">
        <f>'Stats G1'!H7*2+'Stats G1'!N7*3+'Stats G1'!T7</f>
        <v>5</v>
      </c>
      <c r="J5" t="str">
        <f>SUM('Stats G1'!H7+'Stats G1'!N7)&amp;"-"&amp;SUM('Stats G1'!E7+'Stats G1'!K7)</f>
        <v>2-12</v>
      </c>
      <c r="K5" t="str">
        <f>SUM('Stats G1'!N7)&amp;"-"&amp;SUM('Stats G1'!K7)</f>
        <v>0-2</v>
      </c>
      <c r="L5" t="str">
        <f>SUM('Stats G1'!T7)&amp;"-"&amp;SUM('Stats G1'!Q7)</f>
        <v>1-4</v>
      </c>
      <c r="M5">
        <f>'Stats G1'!W7</f>
        <v>1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G1'!H8*2+'Stats G1'!N8*3+'Stats G1'!T8</f>
        <v>10</v>
      </c>
      <c r="J6" t="str">
        <f>SUM('Stats G1'!H8+'Stats G1'!N8)&amp;"-"&amp;SUM('Stats G1'!E8+'Stats G1'!K8)</f>
        <v>4-7</v>
      </c>
      <c r="K6" t="str">
        <f>SUM('Stats G1'!N8)&amp;"-"&amp;SUM('Stats G1'!K8)</f>
        <v>2-2</v>
      </c>
      <c r="L6" t="str">
        <f>SUM('Stats G1'!T8)&amp;"-"&amp;SUM('Stats G1'!Q8)</f>
        <v>0-0</v>
      </c>
      <c r="M6">
        <f>'Stats G1'!W8</f>
        <v>2</v>
      </c>
    </row>
    <row r="7" spans="2:13" x14ac:dyDescent="0.2">
      <c r="F7" t="str">
        <f>'Stats G1'!A9</f>
        <v>Charles</v>
      </c>
      <c r="G7" t="str">
        <f>'Stats G1'!B9</f>
        <v>Nann</v>
      </c>
      <c r="H7">
        <f>'Stats G1'!C9</f>
        <v>7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Marqus</v>
      </c>
      <c r="G8" t="str">
        <f>'Stats G1'!B10</f>
        <v>Gilson</v>
      </c>
      <c r="H8">
        <f>'Stats G1'!C10</f>
        <v>24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Ray</v>
      </c>
      <c r="G9" t="str">
        <f>'Stats G1'!B11</f>
        <v>Gallegos</v>
      </c>
      <c r="H9">
        <f>'Stats G1'!C11</f>
        <v>8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Colton</v>
      </c>
      <c r="G10" t="str">
        <f>'Stats G1'!B12</f>
        <v>Burgon</v>
      </c>
      <c r="H10">
        <f>'Stats G1'!C12</f>
        <v>20</v>
      </c>
      <c r="I10">
        <f>'Stats G1'!H12*2+'Stats G1'!N12*3+'Stats G1'!T12</f>
        <v>12</v>
      </c>
      <c r="J10" t="str">
        <f>SUM('Stats G1'!H12+'Stats G1'!N12)&amp;"-"&amp;SUM('Stats G1'!E12+'Stats G1'!K12)</f>
        <v>4-14</v>
      </c>
      <c r="K10" t="str">
        <f>SUM('Stats G1'!N12)&amp;"-"&amp;SUM('Stats G1'!K12)</f>
        <v>0-3</v>
      </c>
      <c r="L10" t="str">
        <f>SUM('Stats G1'!T12)&amp;"-"&amp;SUM('Stats G1'!Q12)</f>
        <v>4-4</v>
      </c>
      <c r="M10">
        <f>'Stats G1'!W12</f>
        <v>3</v>
      </c>
    </row>
    <row r="11" spans="2:13" x14ac:dyDescent="0.2">
      <c r="F11" t="str">
        <f>'Stats G1'!A13</f>
        <v>Thomas</v>
      </c>
      <c r="G11" t="str">
        <f>'Stats G1'!B13</f>
        <v>Bullock</v>
      </c>
      <c r="H11">
        <f>'Stats G1'!C13</f>
        <v>22</v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Tyler</v>
      </c>
      <c r="G12" t="str">
        <f>'Stats G1'!B14</f>
        <v>Burgess</v>
      </c>
      <c r="H12">
        <f>'Stats G1'!C14</f>
        <v>23</v>
      </c>
      <c r="I12">
        <f>'Stats G1'!H14*2+'Stats G1'!N14*3+'Stats G1'!T14</f>
        <v>5</v>
      </c>
      <c r="J12" t="str">
        <f>SUM('Stats G1'!H14+'Stats G1'!N14)&amp;"-"&amp;SUM('Stats G1'!E14+'Stats G1'!K14)</f>
        <v>1-9</v>
      </c>
      <c r="K12" t="str">
        <f>SUM('Stats G1'!N14)&amp;"-"&amp;SUM('Stats G1'!K14)</f>
        <v>0-4</v>
      </c>
      <c r="L12" t="str">
        <f>SUM('Stats G1'!T14)&amp;"-"&amp;SUM('Stats G1'!Q14)</f>
        <v>3-4</v>
      </c>
      <c r="M12">
        <f>'Stats G1'!W14</f>
        <v>2</v>
      </c>
    </row>
    <row r="13" spans="2:13" x14ac:dyDescent="0.2">
      <c r="F13" t="str">
        <f>'Stats G1'!A15</f>
        <v>Kentrell</v>
      </c>
      <c r="G13" t="str">
        <f>'Stats G1'!B15</f>
        <v>Barkley</v>
      </c>
      <c r="H13">
        <f>'Stats G1'!C15</f>
        <v>12</v>
      </c>
      <c r="I13">
        <f>'Stats G1'!H15*2+'Stats G1'!N15*3+'Stats G1'!T15</f>
        <v>4</v>
      </c>
      <c r="J13" t="str">
        <f>SUM('Stats G1'!H15+'Stats G1'!N15)&amp;"-"&amp;SUM('Stats G1'!E15+'Stats G1'!K15)</f>
        <v>0-6</v>
      </c>
      <c r="K13" t="str">
        <f>SUM('Stats G1'!N15)&amp;"-"&amp;SUM('Stats G1'!K15)</f>
        <v>0-2</v>
      </c>
      <c r="L13" t="str">
        <f>SUM('Stats G1'!T15)&amp;"-"&amp;SUM('Stats G1'!Q15)</f>
        <v>4-7</v>
      </c>
      <c r="M13">
        <f>'Stats G1'!W15</f>
        <v>0</v>
      </c>
    </row>
    <row r="14" spans="2:13" x14ac:dyDescent="0.2">
      <c r="F14" t="str">
        <f>'Stats G1'!A16</f>
        <v>Brenden</v>
      </c>
      <c r="G14" t="str">
        <f>'Stats G1'!B16</f>
        <v>Morris</v>
      </c>
      <c r="H14">
        <f>'Stats G1'!C16</f>
        <v>23</v>
      </c>
      <c r="I14">
        <f>'Stats G1'!H16*2+'Stats G1'!N16*3+'Stats G1'!T16</f>
        <v>23</v>
      </c>
      <c r="J14" t="str">
        <f>SUM('Stats G1'!H16+'Stats G1'!N16)&amp;"-"&amp;SUM('Stats G1'!E16+'Stats G1'!K16)</f>
        <v>9-15</v>
      </c>
      <c r="K14" t="str">
        <f>SUM('Stats G1'!N16)&amp;"-"&amp;SUM('Stats G1'!K16)</f>
        <v>3-5</v>
      </c>
      <c r="L14" t="str">
        <f>SUM('Stats G1'!T16)&amp;"-"&amp;SUM('Stats G1'!Q16)</f>
        <v>2-4</v>
      </c>
      <c r="M14">
        <f>'Stats G1'!W16</f>
        <v>3</v>
      </c>
    </row>
    <row r="15" spans="2:13" x14ac:dyDescent="0.2">
      <c r="F15" t="str">
        <f>'Stats G1'!A17</f>
        <v>Steven</v>
      </c>
      <c r="G15" t="str">
        <f>'Stats G1'!B17</f>
        <v>Verplancken</v>
      </c>
      <c r="H15">
        <f>'Stats G1'!C17</f>
        <v>1</v>
      </c>
      <c r="I15">
        <f>'Stats G1'!H17*2+'Stats G1'!N17*3+'Stats G1'!T17</f>
        <v>13</v>
      </c>
      <c r="J15" t="str">
        <f>SUM('Stats G1'!H17+'Stats G1'!N17)&amp;"-"&amp;SUM('Stats G1'!E17+'Stats G1'!K17)</f>
        <v>6-12</v>
      </c>
      <c r="K15" t="str">
        <f>SUM('Stats G1'!N17)&amp;"-"&amp;SUM('Stats G1'!K17)</f>
        <v>1-6</v>
      </c>
      <c r="L15" t="str">
        <f>SUM('Stats G1'!T17)&amp;"-"&amp;SUM('Stats G1'!Q17)</f>
        <v>0-0</v>
      </c>
      <c r="M15">
        <f>'Stats G1'!W17</f>
        <v>1</v>
      </c>
    </row>
    <row r="16" spans="2:13" x14ac:dyDescent="0.2">
      <c r="F16" t="str">
        <f>'Stats G1'!A18</f>
        <v>?</v>
      </c>
      <c r="G16" t="str">
        <f>'Stats G1'!B18</f>
        <v>?</v>
      </c>
      <c r="H16">
        <f>'Stats G1'!C18</f>
        <v>30</v>
      </c>
      <c r="I16">
        <f>'Stats G1'!H18*2+'Stats G1'!N18*3+'Stats G1'!T18</f>
        <v>2</v>
      </c>
      <c r="J16" t="str">
        <f>SUM('Stats G1'!H18+'Stats G1'!N18)&amp;"-"&amp;SUM('Stats G1'!E18+'Stats G1'!K18)</f>
        <v>1-1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1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95</v>
      </c>
      <c r="J18" t="str">
        <f>SUM('Stats G1'!H20+'Stats G1'!N20)&amp;"-"&amp;SUM('Stats G1'!E20+'Stats G1'!K20)</f>
        <v>36-99</v>
      </c>
      <c r="K18" t="str">
        <f>SUM('Stats G1'!N20)&amp;"-"&amp;SUM('Stats G1'!K20)</f>
        <v>6-28</v>
      </c>
      <c r="L18" t="str">
        <f>SUM('Stats G1'!T20)&amp;"-"&amp;SUM('Stats G1'!Q20)</f>
        <v>17-30</v>
      </c>
      <c r="M18">
        <f>SUM(M3:M17)</f>
        <v>15</v>
      </c>
    </row>
    <row r="20" spans="6:13" x14ac:dyDescent="0.2">
      <c r="F20" t="s">
        <v>11</v>
      </c>
      <c r="G20" t="str">
        <f>'Stats G1'!B21</f>
        <v>Team Erickson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Taylor</v>
      </c>
      <c r="G22" t="str">
        <f>'Stats G1'!B23</f>
        <v>Miller</v>
      </c>
      <c r="H22">
        <f>'Stats G1'!C23</f>
        <v>0</v>
      </c>
      <c r="I22">
        <f>'Stats G1'!H23*2+'Stats G1'!N23*3+'Stats G1'!T23</f>
        <v>23</v>
      </c>
      <c r="J22" t="str">
        <f>SUM('Stats G1'!H23+'Stats G1'!N23)&amp;"-"&amp;SUM('Stats G1'!E23+'Stats G1'!K23)</f>
        <v>9-20</v>
      </c>
      <c r="K22" t="str">
        <f>SUM('Stats G1'!N23)&amp;"-"&amp;SUM('Stats G1'!K23)</f>
        <v>3-7</v>
      </c>
      <c r="L22" t="str">
        <f>SUM('Stats G1'!T23)&amp;"-"&amp;SUM('Stats G1'!Q23)</f>
        <v>2-4</v>
      </c>
      <c r="M22">
        <f>'Stats G1'!W23</f>
        <v>0</v>
      </c>
    </row>
    <row r="23" spans="6:13" x14ac:dyDescent="0.2">
      <c r="F23" t="str">
        <f>'Stats G1'!A24</f>
        <v>Alrek</v>
      </c>
      <c r="G23" t="str">
        <f>'Stats G1'!B24</f>
        <v>Greenhalgh</v>
      </c>
      <c r="H23">
        <f>'Stats G1'!C24</f>
        <v>3</v>
      </c>
      <c r="I23">
        <f>'Stats G1'!H24*2+'Stats G1'!N24*3+'Stats G1'!T24</f>
        <v>0</v>
      </c>
      <c r="J23" t="str">
        <f>SUM('Stats G1'!H24+'Stats G1'!N24)&amp;"-"&amp;SUM('Stats G1'!E24+'Stats G1'!K24)</f>
        <v>0-2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1</v>
      </c>
    </row>
    <row r="24" spans="6:13" x14ac:dyDescent="0.2">
      <c r="F24" t="str">
        <f>'Stats G1'!A25</f>
        <v>Gideon</v>
      </c>
      <c r="G24" t="str">
        <f>'Stats G1'!B25</f>
        <v>George</v>
      </c>
      <c r="H24">
        <f>'Stats G1'!C25</f>
        <v>5</v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Brock</v>
      </c>
      <c r="G25" t="str">
        <f>'Stats G1'!B26</f>
        <v>Anderson</v>
      </c>
      <c r="H25">
        <f>'Stats G1'!C26</f>
        <v>30</v>
      </c>
      <c r="I25">
        <f>'Stats G1'!H26*2+'Stats G1'!N26*3+'Stats G1'!T26</f>
        <v>4</v>
      </c>
      <c r="J25" t="str">
        <f>SUM('Stats G1'!H26+'Stats G1'!N26)&amp;"-"&amp;SUM('Stats G1'!E26+'Stats G1'!K26)</f>
        <v>2-3</v>
      </c>
      <c r="K25" t="str">
        <f>SUM('Stats G1'!N26)&amp;"-"&amp;SUM('Stats G1'!K26)</f>
        <v>0-0</v>
      </c>
      <c r="L25" t="str">
        <f>SUM('Stats G1'!T26)&amp;"-"&amp;SUM('Stats G1'!Q26)</f>
        <v>0-1</v>
      </c>
      <c r="M25">
        <f>'Stats G1'!W26</f>
        <v>4</v>
      </c>
    </row>
    <row r="26" spans="6:13" x14ac:dyDescent="0.2">
      <c r="F26" t="str">
        <f>'Stats G1'!A27</f>
        <v>Dalton</v>
      </c>
      <c r="G26" t="str">
        <f>'Stats G1'!B27</f>
        <v>Nixon</v>
      </c>
      <c r="H26">
        <f>'Stats G1'!C27</f>
        <v>4</v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1</v>
      </c>
    </row>
    <row r="27" spans="6:13" x14ac:dyDescent="0.2">
      <c r="F27" t="str">
        <f>'Stats G1'!A28</f>
        <v>Taylor</v>
      </c>
      <c r="G27" t="str">
        <f>'Stats G1'!B28</f>
        <v>Funk</v>
      </c>
      <c r="H27">
        <f>'Stats G1'!C28</f>
        <v>23</v>
      </c>
      <c r="I27">
        <f>'Stats G1'!H28*2+'Stats G1'!N28*3+'Stats G1'!T28</f>
        <v>15</v>
      </c>
      <c r="J27" t="str">
        <f>SUM('Stats G1'!H28+'Stats G1'!N28)&amp;"-"&amp;SUM('Stats G1'!E28+'Stats G1'!K28)</f>
        <v>6-15</v>
      </c>
      <c r="K27" t="str">
        <f>SUM('Stats G1'!N28)&amp;"-"&amp;SUM('Stats G1'!K28)</f>
        <v>3-10</v>
      </c>
      <c r="L27" t="str">
        <f>SUM('Stats G1'!T28)&amp;"-"&amp;SUM('Stats G1'!Q28)</f>
        <v>0-0</v>
      </c>
      <c r="M27">
        <f>'Stats G1'!W28</f>
        <v>2</v>
      </c>
    </row>
    <row r="28" spans="6:13" x14ac:dyDescent="0.2">
      <c r="F28" t="str">
        <f>'Stats G1'!A29</f>
        <v>Hunter</v>
      </c>
      <c r="G28" t="str">
        <f>'Stats G1'!B29</f>
        <v>Erickson</v>
      </c>
      <c r="H28">
        <f>'Stats G1'!C29</f>
        <v>0</v>
      </c>
      <c r="I28">
        <f>'Stats G1'!H29*2+'Stats G1'!N29*3+'Stats G1'!T29</f>
        <v>9</v>
      </c>
      <c r="J28" t="str">
        <f>SUM('Stats G1'!H29+'Stats G1'!N29)&amp;"-"&amp;SUM('Stats G1'!E29+'Stats G1'!K29)</f>
        <v>3-9</v>
      </c>
      <c r="K28" t="str">
        <f>SUM('Stats G1'!N29)&amp;"-"&amp;SUM('Stats G1'!K29)</f>
        <v>0-4</v>
      </c>
      <c r="L28" t="str">
        <f>SUM('Stats G1'!T29)&amp;"-"&amp;SUM('Stats G1'!Q29)</f>
        <v>3-4</v>
      </c>
      <c r="M28">
        <f>'Stats G1'!W29</f>
        <v>1</v>
      </c>
    </row>
    <row r="29" spans="6:13" x14ac:dyDescent="0.2">
      <c r="F29" t="str">
        <f>'Stats G1'!A30</f>
        <v>Dayon</v>
      </c>
      <c r="G29" t="str">
        <f>'Stats G1'!B30</f>
        <v>Goodman</v>
      </c>
      <c r="H29">
        <f>'Stats G1'!C30</f>
        <v>35</v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Lewis</v>
      </c>
      <c r="G30" t="s">
        <v>203</v>
      </c>
      <c r="H30">
        <f>'Stats G1'!C31</f>
        <v>10</v>
      </c>
      <c r="I30">
        <f>'Stats G1'!H31*2+'Stats G1'!N31*3+'Stats G1'!T31</f>
        <v>15</v>
      </c>
      <c r="J30" t="str">
        <f>SUM('Stats G1'!H31+'Stats G1'!N31)&amp;"-"&amp;SUM('Stats G1'!E31+'Stats G1'!K31)</f>
        <v>5-13</v>
      </c>
      <c r="K30" t="str">
        <f>SUM('Stats G1'!N31)&amp;"-"&amp;SUM('Stats G1'!K31)</f>
        <v>3-8</v>
      </c>
      <c r="L30" t="str">
        <f>SUM('Stats G1'!T31)&amp;"-"&amp;SUM('Stats G1'!Q31)</f>
        <v>2-2</v>
      </c>
      <c r="M30">
        <f>'Stats G1'!W31</f>
        <v>3</v>
      </c>
    </row>
    <row r="31" spans="6:13" x14ac:dyDescent="0.2">
      <c r="F31" t="str">
        <f>'Stats G1'!A32</f>
        <v>Trey</v>
      </c>
      <c r="G31" t="str">
        <f>'Stats G1'!B32</f>
        <v>Stewart</v>
      </c>
      <c r="H31">
        <f>'Stats G1'!C32</f>
        <v>1</v>
      </c>
      <c r="I31">
        <f>'Stats G1'!H32*2+'Stats G1'!N32*3+'Stats G1'!T32</f>
        <v>22</v>
      </c>
      <c r="J31" t="str">
        <f>SUM('Stats G1'!H32+'Stats G1'!N32)&amp;"-"&amp;SUM('Stats G1'!E32+'Stats G1'!K32)</f>
        <v>7-16</v>
      </c>
      <c r="K31" t="str">
        <f>SUM('Stats G1'!N32)&amp;"-"&amp;SUM('Stats G1'!K32)</f>
        <v>5-10</v>
      </c>
      <c r="L31" t="str">
        <f>SUM('Stats G1'!T32)&amp;"-"&amp;SUM('Stats G1'!Q32)</f>
        <v>3-4</v>
      </c>
      <c r="M31">
        <f>'Stats G1'!W32</f>
        <v>5</v>
      </c>
    </row>
    <row r="32" spans="6:13" x14ac:dyDescent="0.2">
      <c r="F32" t="str">
        <f>'Stats G1'!A33</f>
        <v>Shawn</v>
      </c>
      <c r="G32" t="str">
        <f>'Stats G1'!B33</f>
        <v>Barstow</v>
      </c>
      <c r="H32">
        <f>'Stats G1'!C33</f>
        <v>45</v>
      </c>
      <c r="I32">
        <f>'Stats G1'!H33*2+'Stats G1'!N33*3+'Stats G1'!T33</f>
        <v>25</v>
      </c>
      <c r="J32" t="str">
        <f>SUM('Stats G1'!H33+'Stats G1'!N33)&amp;"-"&amp;SUM('Stats G1'!E33+'Stats G1'!K33)</f>
        <v>10-16</v>
      </c>
      <c r="K32" t="str">
        <f>SUM('Stats G1'!N33)&amp;"-"&amp;SUM('Stats G1'!K33)</f>
        <v>1-4</v>
      </c>
      <c r="L32" t="str">
        <f>SUM('Stats G1'!T33)&amp;"-"&amp;SUM('Stats G1'!Q33)</f>
        <v>4-5</v>
      </c>
      <c r="M32">
        <f>'Stats G1'!W33</f>
        <v>3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113</v>
      </c>
      <c r="J37" t="str">
        <f>SUM('Stats G1'!H38+'Stats G1'!N38)&amp;"-"&amp;SUM('Stats G1'!E38+'Stats G1'!K38)</f>
        <v>42-94</v>
      </c>
      <c r="K37" t="str">
        <f>SUM('Stats G1'!N38)&amp;"-"&amp;SUM('Stats G1'!K38)</f>
        <v>15-43</v>
      </c>
      <c r="L37" t="str">
        <f>SUM('Stats G1'!T38)&amp;"-"&amp;SUM('Stats G1'!Q38)</f>
        <v>14-20</v>
      </c>
      <c r="M37">
        <f>SUM(M22:M36)</f>
        <v>20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C38"/>
  <sheetViews>
    <sheetView topLeftCell="A3" zoomScale="130" zoomScaleNormal="130" workbookViewId="0">
      <selection activeCell="AB29" sqref="AB2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17</v>
      </c>
      <c r="B1" t="s">
        <v>19</v>
      </c>
      <c r="C1" t="s">
        <v>18</v>
      </c>
    </row>
    <row r="2" spans="1:26" hidden="1" x14ac:dyDescent="0.2"/>
    <row r="3" spans="1:26" x14ac:dyDescent="0.2">
      <c r="A3" s="2" t="s">
        <v>15</v>
      </c>
      <c r="B3" s="1" t="s">
        <v>88</v>
      </c>
    </row>
    <row r="4" spans="1:26" x14ac:dyDescent="0.2">
      <c r="A4" t="s">
        <v>1</v>
      </c>
      <c r="B4" t="s">
        <v>2</v>
      </c>
      <c r="C4" s="2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  <c r="Y4" t="s">
        <v>227</v>
      </c>
      <c r="Z4" t="s">
        <v>228</v>
      </c>
    </row>
    <row r="5" spans="1:26" s="6" customFormat="1" x14ac:dyDescent="0.2">
      <c r="A5" s="5" t="str">
        <f>_xlfn.IFNA(VLOOKUP($B$3&amp;ROWS($A$5:A5),Rosters!$B$2:$C$163,2,0),"?")</f>
        <v>Tyus</v>
      </c>
      <c r="B5" s="5" t="str">
        <f>_xlfn.IFNA(VLOOKUP($B$3&amp;ROWS($B$5:B5),Rosters!$B$2:$D$163,3,0),"?")</f>
        <v>Jefferson</v>
      </c>
      <c r="C5" s="9">
        <f>_xlfn.IFNA(VLOOKUP($B$3&amp;ROWS($C$5:C5),Rosters!$B$2:$E$163,4,0),"")</f>
        <v>3</v>
      </c>
      <c r="D5" s="5"/>
      <c r="E5" s="5">
        <v>19</v>
      </c>
      <c r="F5" s="5"/>
      <c r="G5" s="5"/>
      <c r="H5" s="5">
        <v>9</v>
      </c>
      <c r="I5" s="5"/>
      <c r="J5" s="5"/>
      <c r="K5" s="5">
        <v>4</v>
      </c>
      <c r="L5" s="5"/>
      <c r="M5" s="5"/>
      <c r="N5" s="5">
        <v>0</v>
      </c>
      <c r="O5" s="5"/>
      <c r="P5" s="5"/>
      <c r="Q5" s="5">
        <v>7</v>
      </c>
      <c r="R5" s="5"/>
      <c r="S5" s="5"/>
      <c r="T5" s="5">
        <v>3</v>
      </c>
      <c r="U5" s="5"/>
      <c r="V5" s="5"/>
      <c r="W5" s="5">
        <v>2</v>
      </c>
      <c r="X5" s="5"/>
      <c r="Y5" s="6">
        <f t="shared" ref="Y5:Y19" si="0">SUM(H5*2,N5*3,T5)</f>
        <v>21</v>
      </c>
    </row>
    <row r="6" spans="1:26" s="6" customFormat="1" x14ac:dyDescent="0.2">
      <c r="A6" s="6" t="str">
        <f>_xlfn.IFNA(VLOOKUP($B$3&amp;ROWS($A$5:A6),Rosters!$B$2:$C$163,2,0),"?")</f>
        <v>Jordan</v>
      </c>
      <c r="B6" s="6" t="str">
        <f>_xlfn.IFNA(VLOOKUP($B$3&amp;ROWS($B$5:B6),Rosters!$B$2:$D$163,3,0),"?")</f>
        <v>Loveridge</v>
      </c>
      <c r="C6" s="10">
        <f>_xlfn.IFNA(VLOOKUP($B$3&amp;ROWS($C$5:C6),Rosters!$B$2:$E$163,4,0),"")</f>
        <v>21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f t="shared" si="0"/>
        <v>0</v>
      </c>
    </row>
    <row r="7" spans="1:26" s="6" customFormat="1" x14ac:dyDescent="0.2">
      <c r="A7" s="5" t="str">
        <f>_xlfn.IFNA(VLOOKUP($B$3&amp;ROWS($A$5:A7),Rosters!$B$2:$C$163,2,0),"?")</f>
        <v>Kyndayl</v>
      </c>
      <c r="B7" s="5" t="str">
        <f>_xlfn.IFNA(VLOOKUP($B$3&amp;ROWS($B$5:B7),Rosters!$B$2:$D$163,3,0),"?")</f>
        <v>Hill</v>
      </c>
      <c r="C7" s="9">
        <f>_xlfn.IFNA(VLOOKUP($B$3&amp;ROWS($C$5:C7),Rosters!$B$2:$E$163,4,0),"")</f>
        <v>15</v>
      </c>
      <c r="D7" s="5"/>
      <c r="E7" s="5">
        <v>10</v>
      </c>
      <c r="F7" s="5"/>
      <c r="G7" s="5"/>
      <c r="H7" s="5">
        <v>2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4</v>
      </c>
      <c r="R7" s="5"/>
      <c r="S7" s="5"/>
      <c r="T7" s="5">
        <v>1</v>
      </c>
      <c r="U7" s="5"/>
      <c r="V7" s="5"/>
      <c r="W7" s="5">
        <v>1</v>
      </c>
      <c r="X7" s="5"/>
      <c r="Y7" s="6">
        <f t="shared" si="0"/>
        <v>5</v>
      </c>
    </row>
    <row r="8" spans="1:26" s="6" customFormat="1" x14ac:dyDescent="0.2">
      <c r="A8" s="6" t="str">
        <f>_xlfn.IFNA(VLOOKUP($B$3&amp;ROWS($A$5:A8),Rosters!$B$2:$C$163,2,0),"?")</f>
        <v>Duce</v>
      </c>
      <c r="B8" s="6" t="str">
        <f>_xlfn.IFNA(VLOOKUP($B$3&amp;ROWS($B$5:B8),Rosters!$B$2:$D$163,3,0),"?")</f>
        <v>Zaid</v>
      </c>
      <c r="C8" s="10">
        <f>_xlfn.IFNA(VLOOKUP($B$3&amp;ROWS($C$5:C8),Rosters!$B$2:$E$163,4,0),"")</f>
        <v>5</v>
      </c>
      <c r="E8" s="6">
        <v>5</v>
      </c>
      <c r="H8" s="6">
        <v>2</v>
      </c>
      <c r="K8" s="6">
        <v>2</v>
      </c>
      <c r="N8" s="6">
        <v>2</v>
      </c>
      <c r="Q8" s="6">
        <v>0</v>
      </c>
      <c r="T8" s="6">
        <v>0</v>
      </c>
      <c r="W8" s="6">
        <v>2</v>
      </c>
      <c r="Y8" s="6">
        <f t="shared" si="0"/>
        <v>10</v>
      </c>
    </row>
    <row r="9" spans="1:26" s="6" customFormat="1" x14ac:dyDescent="0.2">
      <c r="A9" s="5" t="str">
        <f>_xlfn.IFNA(VLOOKUP($B$3&amp;ROWS($A$5:A9),Rosters!$B$2:$C$163,2,0),"?")</f>
        <v>Charles</v>
      </c>
      <c r="B9" s="5" t="str">
        <f>_xlfn.IFNA(VLOOKUP($B$3&amp;ROWS($B$5:B9),Rosters!$B$2:$D$163,3,0),"?")</f>
        <v>Nann</v>
      </c>
      <c r="C9" s="9">
        <f>_xlfn.IFNA(VLOOKUP($B$3&amp;ROWS($C$5:C9),Rosters!$B$2:$E$163,4,0),"")</f>
        <v>7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</row>
    <row r="10" spans="1:26" s="6" customFormat="1" x14ac:dyDescent="0.2">
      <c r="A10" s="6" t="str">
        <f>_xlfn.IFNA(VLOOKUP($B$3&amp;ROWS($A$5:A10),Rosters!$B$2:$C$163,2,0),"?")</f>
        <v>Marqus</v>
      </c>
      <c r="B10" s="6" t="str">
        <f>_xlfn.IFNA(VLOOKUP($B$3&amp;ROWS($B$5:B10),Rosters!$B$2:$D$163,3,0),"?")</f>
        <v>Gilson</v>
      </c>
      <c r="C10" s="10">
        <f>_xlfn.IFNA(VLOOKUP($B$3&amp;ROWS($C$5:C10),Rosters!$B$2:$E$163,4,0),"")</f>
        <v>24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</row>
    <row r="11" spans="1:26" s="6" customFormat="1" x14ac:dyDescent="0.2">
      <c r="A11" s="5" t="str">
        <f>_xlfn.IFNA(VLOOKUP($B$3&amp;ROWS($A$5:A11),Rosters!$B$2:$C$163,2,0),"?")</f>
        <v>Ray</v>
      </c>
      <c r="B11" s="5" t="str">
        <f>_xlfn.IFNA(VLOOKUP($B$3&amp;ROWS($B$5:B11),Rosters!$B$2:$D$163,3,0),"?")</f>
        <v>Gallegos</v>
      </c>
      <c r="C11" s="9">
        <f>_xlfn.IFNA(VLOOKUP($B$3&amp;ROWS($C$5:C11),Rosters!$B$2:$E$163,4,0),"")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0</v>
      </c>
    </row>
    <row r="12" spans="1:26" s="6" customFormat="1" x14ac:dyDescent="0.2">
      <c r="A12" s="6" t="str">
        <f>_xlfn.IFNA(VLOOKUP($B$3&amp;ROWS($A$5:A12),Rosters!$B$2:$C$163,2,0),"?")</f>
        <v>Colton</v>
      </c>
      <c r="B12" s="6" t="str">
        <f>_xlfn.IFNA(VLOOKUP($B$3&amp;ROWS($B$5:B12),Rosters!$B$2:$D$163,3,0),"?")</f>
        <v>Burgon</v>
      </c>
      <c r="C12" s="10">
        <f>_xlfn.IFNA(VLOOKUP($B$3&amp;ROWS($C$5:C12),Rosters!$B$2:$E$163,4,0),"")</f>
        <v>20</v>
      </c>
      <c r="E12" s="6">
        <v>11</v>
      </c>
      <c r="H12" s="6">
        <v>4</v>
      </c>
      <c r="K12" s="6">
        <v>3</v>
      </c>
      <c r="N12" s="6">
        <v>0</v>
      </c>
      <c r="Q12" s="6">
        <v>4</v>
      </c>
      <c r="T12" s="6">
        <v>4</v>
      </c>
      <c r="W12" s="6">
        <v>3</v>
      </c>
      <c r="Y12" s="6">
        <f t="shared" si="0"/>
        <v>12</v>
      </c>
    </row>
    <row r="13" spans="1:26" s="6" customFormat="1" x14ac:dyDescent="0.2">
      <c r="A13" s="5" t="str">
        <f>_xlfn.IFNA(VLOOKUP($B$3&amp;ROWS($A$5:A13),Rosters!$B$2:$C$163,2,0),"?")</f>
        <v>Thomas</v>
      </c>
      <c r="B13" s="5" t="str">
        <f>_xlfn.IFNA(VLOOKUP($B$3&amp;ROWS($B$5:B13),Rosters!$B$2:$D$163,3,0),"?")</f>
        <v>Bullock</v>
      </c>
      <c r="C13" s="9">
        <f>_xlfn.IFNA(VLOOKUP($B$3&amp;ROWS($C$5:C13),Rosters!$B$2:$E$163,4,0),"")</f>
        <v>22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0</v>
      </c>
    </row>
    <row r="14" spans="1:26" s="6" customFormat="1" x14ac:dyDescent="0.2">
      <c r="A14" s="6" t="str">
        <f>_xlfn.IFNA(VLOOKUP($B$3&amp;ROWS($A$5:A14),Rosters!$B$2:$C$163,2,0),"?")</f>
        <v>Tyler</v>
      </c>
      <c r="B14" s="6" t="str">
        <f>_xlfn.IFNA(VLOOKUP($B$3&amp;ROWS($B$5:B14),Rosters!$B$2:$D$163,3,0),"?")</f>
        <v>Burgess</v>
      </c>
      <c r="C14" s="10">
        <f>_xlfn.IFNA(VLOOKUP($B$3&amp;ROWS($C$5:C14),Rosters!$B$2:$E$163,4,0),"")</f>
        <v>23</v>
      </c>
      <c r="E14" s="6">
        <v>5</v>
      </c>
      <c r="H14" s="6">
        <v>1</v>
      </c>
      <c r="K14" s="6">
        <v>4</v>
      </c>
      <c r="N14" s="6">
        <v>0</v>
      </c>
      <c r="Q14" s="6">
        <v>4</v>
      </c>
      <c r="T14" s="6">
        <v>3</v>
      </c>
      <c r="W14" s="6">
        <v>2</v>
      </c>
      <c r="Y14" s="6">
        <f t="shared" si="0"/>
        <v>5</v>
      </c>
    </row>
    <row r="15" spans="1:26" s="6" customFormat="1" x14ac:dyDescent="0.2">
      <c r="A15" s="5" t="str">
        <f>_xlfn.IFNA(VLOOKUP($B$3&amp;ROWS($A$5:A15),Rosters!$B$2:$C$163,2,0),"?")</f>
        <v>Kentrell</v>
      </c>
      <c r="B15" s="5" t="str">
        <f>_xlfn.IFNA(VLOOKUP($B$3&amp;ROWS($B$5:B15),Rosters!$B$2:$D$163,3,0),"?")</f>
        <v>Barkley</v>
      </c>
      <c r="C15" s="9">
        <f>_xlfn.IFNA(VLOOKUP($B$3&amp;ROWS($C$5:C15),Rosters!$B$2:$E$163,4,0),"")</f>
        <v>12</v>
      </c>
      <c r="D15" s="5"/>
      <c r="E15" s="5">
        <v>4</v>
      </c>
      <c r="F15" s="5"/>
      <c r="G15" s="5"/>
      <c r="H15" s="5">
        <v>0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7</v>
      </c>
      <c r="R15" s="5"/>
      <c r="S15" s="5"/>
      <c r="T15" s="5">
        <v>4</v>
      </c>
      <c r="U15" s="5"/>
      <c r="V15" s="5"/>
      <c r="W15" s="5">
        <v>0</v>
      </c>
      <c r="X15" s="5"/>
      <c r="Y15" s="6">
        <f t="shared" si="0"/>
        <v>4</v>
      </c>
    </row>
    <row r="16" spans="1:26" s="6" customFormat="1" x14ac:dyDescent="0.2">
      <c r="A16" s="6" t="str">
        <f>_xlfn.IFNA(VLOOKUP($B$3&amp;ROWS($A$5:A16),Rosters!$B$2:$C$163,2,0),"?")</f>
        <v>Brenden</v>
      </c>
      <c r="B16" s="6" t="str">
        <f>_xlfn.IFNA(VLOOKUP($B$3&amp;ROWS($B$5:B16),Rosters!$B$2:$D$163,3,0),"?")</f>
        <v>Morris</v>
      </c>
      <c r="C16" s="10">
        <f>_xlfn.IFNA(VLOOKUP($B$3&amp;ROWS($C$5:C16),Rosters!$B$2:$E$163,4,0),"")</f>
        <v>23</v>
      </c>
      <c r="E16" s="6">
        <v>10</v>
      </c>
      <c r="H16" s="6">
        <v>6</v>
      </c>
      <c r="K16" s="6">
        <v>5</v>
      </c>
      <c r="N16" s="6">
        <v>3</v>
      </c>
      <c r="Q16" s="6">
        <v>4</v>
      </c>
      <c r="T16" s="6">
        <v>2</v>
      </c>
      <c r="W16" s="6">
        <v>3</v>
      </c>
      <c r="Y16" s="6">
        <f t="shared" si="0"/>
        <v>23</v>
      </c>
    </row>
    <row r="17" spans="1:29" s="6" customFormat="1" x14ac:dyDescent="0.2">
      <c r="A17" s="5" t="s">
        <v>170</v>
      </c>
      <c r="B17" s="5" t="s">
        <v>225</v>
      </c>
      <c r="C17" s="9">
        <v>1</v>
      </c>
      <c r="D17" s="5"/>
      <c r="E17" s="5">
        <v>6</v>
      </c>
      <c r="F17" s="5"/>
      <c r="G17" s="5"/>
      <c r="H17" s="5">
        <v>5</v>
      </c>
      <c r="I17" s="5"/>
      <c r="J17" s="5"/>
      <c r="K17" s="5">
        <v>6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1</v>
      </c>
      <c r="X17" s="5"/>
      <c r="Y17" s="6">
        <f t="shared" si="0"/>
        <v>13</v>
      </c>
    </row>
    <row r="18" spans="1:29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0">
        <v>30</v>
      </c>
      <c r="E18" s="6">
        <v>1</v>
      </c>
      <c r="H18" s="6">
        <v>1</v>
      </c>
      <c r="K18" s="6">
        <v>0</v>
      </c>
      <c r="N18" s="6">
        <v>0</v>
      </c>
      <c r="Q18" s="6">
        <v>0</v>
      </c>
      <c r="T18" s="6">
        <v>0</v>
      </c>
      <c r="W18" s="6">
        <v>1</v>
      </c>
      <c r="Y18" s="6">
        <f t="shared" si="0"/>
        <v>2</v>
      </c>
    </row>
    <row r="19" spans="1:29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9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</row>
    <row r="20" spans="1:29" s="6" customFormat="1" x14ac:dyDescent="0.2">
      <c r="C20" s="10"/>
      <c r="E20" s="6">
        <f>SUM(E5:E19)</f>
        <v>71</v>
      </c>
      <c r="H20" s="6">
        <f>SUM(H5:H19)</f>
        <v>30</v>
      </c>
      <c r="K20" s="6">
        <f>SUM(K5:K19)</f>
        <v>28</v>
      </c>
      <c r="N20" s="6">
        <f>SUM(N5:N19)</f>
        <v>6</v>
      </c>
      <c r="Q20" s="6">
        <f>SUM(Q5:Q19)</f>
        <v>30</v>
      </c>
      <c r="T20" s="6">
        <f>SUM(T5:T19)</f>
        <v>17</v>
      </c>
      <c r="W20" s="6">
        <f>SUM(W5:W19)</f>
        <v>15</v>
      </c>
      <c r="Y20" s="6">
        <f>SUM(H20*2,N20*3,T20)</f>
        <v>95</v>
      </c>
      <c r="Z20" s="6">
        <v>2</v>
      </c>
    </row>
    <row r="21" spans="1:29" x14ac:dyDescent="0.2">
      <c r="A21" s="2" t="s">
        <v>16</v>
      </c>
      <c r="B21" s="1" t="s">
        <v>113</v>
      </c>
      <c r="C21" s="2"/>
    </row>
    <row r="22" spans="1:29" x14ac:dyDescent="0.2">
      <c r="A22" t="s">
        <v>1</v>
      </c>
      <c r="B22" t="s">
        <v>2</v>
      </c>
      <c r="C22" s="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</row>
    <row r="23" spans="1:29" s="6" customFormat="1" x14ac:dyDescent="0.2">
      <c r="A23" s="5" t="str">
        <f>_xlfn.IFNA(VLOOKUP($B$21&amp;ROWS($A$23:A23),Rosters!$B$2:$C$163,2,0),"?")</f>
        <v>Taylor</v>
      </c>
      <c r="B23" s="5" t="str">
        <f>_xlfn.IFNA(VLOOKUP($B$21&amp;ROWS($B$23:B23),Rosters!$B$2:$D$163,3,0),"?")</f>
        <v>Miller</v>
      </c>
      <c r="C23" s="11">
        <v>0</v>
      </c>
      <c r="D23" s="5"/>
      <c r="E23" s="5">
        <v>13</v>
      </c>
      <c r="F23" s="5"/>
      <c r="G23" s="5"/>
      <c r="H23" s="5">
        <v>6</v>
      </c>
      <c r="I23" s="5"/>
      <c r="J23" s="5"/>
      <c r="K23" s="5">
        <v>7</v>
      </c>
      <c r="L23" s="5"/>
      <c r="M23" s="5"/>
      <c r="N23" s="5">
        <v>3</v>
      </c>
      <c r="O23" s="5"/>
      <c r="P23" s="5"/>
      <c r="Q23" s="5">
        <v>4</v>
      </c>
      <c r="R23" s="5"/>
      <c r="S23" s="5"/>
      <c r="T23" s="5">
        <v>2</v>
      </c>
      <c r="U23" s="5"/>
      <c r="V23" s="5"/>
      <c r="W23" s="5">
        <v>0</v>
      </c>
      <c r="X23" s="5"/>
      <c r="Y23">
        <f t="shared" ref="Y23:Y37" si="1">SUM(H23*2,N23*3,T23)</f>
        <v>23</v>
      </c>
    </row>
    <row r="24" spans="1:29" x14ac:dyDescent="0.2">
      <c r="A24" t="str">
        <f>_xlfn.IFNA(VLOOKUP($B$21&amp;ROWS($A$23:A24),Rosters!$B$2:$C$163,2,0),"?")</f>
        <v>Alrek</v>
      </c>
      <c r="B24" t="str">
        <f>_xlfn.IFNA(VLOOKUP($B$21&amp;ROWS($B$23:B24),Rosters!$B$2:$D$163,3,0),"?")</f>
        <v>Greenhalgh</v>
      </c>
      <c r="C24" s="2">
        <f>_xlfn.IFNA(VLOOKUP($B$21&amp;ROWS($C$23:C24),Rosters!$B$2:$E$163,4,0),"")</f>
        <v>3</v>
      </c>
      <c r="D24" s="6"/>
      <c r="E24" s="6">
        <v>2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1</v>
      </c>
      <c r="X24" s="6"/>
      <c r="Y24">
        <f t="shared" si="1"/>
        <v>0</v>
      </c>
      <c r="AC24" t="s">
        <v>229</v>
      </c>
    </row>
    <row r="25" spans="1:29" s="6" customFormat="1" x14ac:dyDescent="0.2">
      <c r="A25" s="5" t="str">
        <f>_xlfn.IFNA(VLOOKUP($B$21&amp;ROWS($A$23:A25),Rosters!$B$2:$C$163,2,0),"?")</f>
        <v>Gideon</v>
      </c>
      <c r="B25" s="5" t="str">
        <f>_xlfn.IFNA(VLOOKUP($B$21&amp;ROWS($B$23:B25),Rosters!$B$2:$D$163,3,0),"?")</f>
        <v>George</v>
      </c>
      <c r="C25" s="9">
        <f>_xlfn.IFNA(VLOOKUP($B$21&amp;ROWS($C$23:C25),Rosters!$B$2:$E$163,4,0),"")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>
        <f t="shared" si="1"/>
        <v>0</v>
      </c>
    </row>
    <row r="26" spans="1:29" x14ac:dyDescent="0.2">
      <c r="A26" t="str">
        <f>_xlfn.IFNA(VLOOKUP($B$21&amp;ROWS($A$23:A26),Rosters!$B$2:$C$163,2,0),"?")</f>
        <v>Brock</v>
      </c>
      <c r="B26" t="str">
        <f>_xlfn.IFNA(VLOOKUP($B$21&amp;ROWS($B$23:B26),Rosters!$B$2:$D$163,3,0),"?")</f>
        <v>Anderson</v>
      </c>
      <c r="C26" s="2">
        <f>_xlfn.IFNA(VLOOKUP($B$21&amp;ROWS($C$23:C26),Rosters!$B$2:$E$163,4,0),"")</f>
        <v>30</v>
      </c>
      <c r="D26" s="6"/>
      <c r="E26" s="6">
        <v>3</v>
      </c>
      <c r="F26" s="6"/>
      <c r="G26" s="6"/>
      <c r="H26" s="6">
        <v>2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1</v>
      </c>
      <c r="R26" s="6"/>
      <c r="S26" s="6"/>
      <c r="T26" s="6">
        <v>0</v>
      </c>
      <c r="U26" s="6"/>
      <c r="V26" s="6"/>
      <c r="W26" s="6">
        <v>4</v>
      </c>
      <c r="X26" s="6"/>
      <c r="Y26">
        <f t="shared" si="1"/>
        <v>4</v>
      </c>
    </row>
    <row r="27" spans="1:29" s="6" customFormat="1" x14ac:dyDescent="0.2">
      <c r="A27" s="5" t="str">
        <f>_xlfn.IFNA(VLOOKUP($B$21&amp;ROWS($A$23:A27),Rosters!$B$2:$C$163,2,0),"?")</f>
        <v>Dalton</v>
      </c>
      <c r="B27" s="5" t="str">
        <f>_xlfn.IFNA(VLOOKUP($B$21&amp;ROWS($B$23:B27),Rosters!$B$2:$D$163,3,0),"?")</f>
        <v>Nixon</v>
      </c>
      <c r="C27" s="9">
        <f>_xlfn.IFNA(VLOOKUP($B$21&amp;ROWS($C$23:C27),Rosters!$B$2:$E$163,4,0),"")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1</v>
      </c>
      <c r="X27" s="5"/>
      <c r="Y27">
        <f t="shared" si="1"/>
        <v>0</v>
      </c>
    </row>
    <row r="28" spans="1:29" x14ac:dyDescent="0.2">
      <c r="A28" t="str">
        <f>_xlfn.IFNA(VLOOKUP($B$21&amp;ROWS($A$23:A28),Rosters!$B$2:$C$163,2,0),"?")</f>
        <v>Taylor</v>
      </c>
      <c r="B28" t="str">
        <f>_xlfn.IFNA(VLOOKUP($B$21&amp;ROWS($B$23:B28),Rosters!$B$2:$D$163,3,0),"?")</f>
        <v>Funk</v>
      </c>
      <c r="C28" s="2">
        <v>23</v>
      </c>
      <c r="D28" s="6"/>
      <c r="E28" s="6">
        <v>5</v>
      </c>
      <c r="F28" s="6"/>
      <c r="G28" s="6"/>
      <c r="H28" s="6">
        <v>3</v>
      </c>
      <c r="I28" s="6"/>
      <c r="J28" s="6"/>
      <c r="K28" s="6">
        <v>10</v>
      </c>
      <c r="L28" s="6"/>
      <c r="M28" s="6"/>
      <c r="N28" s="6">
        <v>3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2</v>
      </c>
      <c r="X28" s="6"/>
      <c r="Y28">
        <f t="shared" si="1"/>
        <v>15</v>
      </c>
    </row>
    <row r="29" spans="1:29" s="6" customFormat="1" x14ac:dyDescent="0.2">
      <c r="A29" s="5" t="str">
        <f>_xlfn.IFNA(VLOOKUP($B$21&amp;ROWS($A$23:A29),Rosters!$B$2:$C$163,2,0),"?")</f>
        <v>Hunter</v>
      </c>
      <c r="B29" s="5" t="str">
        <f>_xlfn.IFNA(VLOOKUP($B$21&amp;ROWS($B$23:B29),Rosters!$B$2:$D$163,3,0),"?")</f>
        <v>Erickson</v>
      </c>
      <c r="C29" s="9">
        <f>_xlfn.IFNA(VLOOKUP($B$21&amp;ROWS($C$23:C29),Rosters!$B$2:$E$163,4,0),"")</f>
        <v>0</v>
      </c>
      <c r="D29" s="5"/>
      <c r="E29" s="5">
        <v>5</v>
      </c>
      <c r="F29" s="5"/>
      <c r="G29" s="5"/>
      <c r="H29" s="5">
        <v>3</v>
      </c>
      <c r="I29" s="5"/>
      <c r="J29" s="5"/>
      <c r="K29" s="5">
        <v>4</v>
      </c>
      <c r="L29" s="5"/>
      <c r="M29" s="5"/>
      <c r="N29" s="5">
        <v>0</v>
      </c>
      <c r="O29" s="5"/>
      <c r="P29" s="5"/>
      <c r="Q29" s="5">
        <v>4</v>
      </c>
      <c r="R29" s="5"/>
      <c r="S29" s="5"/>
      <c r="T29" s="5">
        <v>3</v>
      </c>
      <c r="U29" s="5"/>
      <c r="V29" s="5"/>
      <c r="W29" s="5">
        <v>1</v>
      </c>
      <c r="X29" s="5"/>
      <c r="Y29">
        <f t="shared" si="1"/>
        <v>9</v>
      </c>
    </row>
    <row r="30" spans="1:29" x14ac:dyDescent="0.2">
      <c r="A30" t="str">
        <f>_xlfn.IFNA(VLOOKUP($B$21&amp;ROWS($A$23:A30),Rosters!$B$2:$C$163,2,0),"?")</f>
        <v>Dayon</v>
      </c>
      <c r="B30" t="str">
        <f>_xlfn.IFNA(VLOOKUP($B$21&amp;ROWS($B$23:B30),Rosters!$B$2:$D$163,3,0),"?")</f>
        <v>Goodman</v>
      </c>
      <c r="C30" s="2">
        <f>_xlfn.IFNA(VLOOKUP($B$21&amp;ROWS($C$23:C30),Rosters!$B$2:$E$163,4,0),"")</f>
        <v>35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>
        <f t="shared" si="1"/>
        <v>0</v>
      </c>
    </row>
    <row r="31" spans="1:29" s="6" customFormat="1" x14ac:dyDescent="0.2">
      <c r="A31" s="5" t="s">
        <v>223</v>
      </c>
      <c r="B31" s="5" t="s">
        <v>224</v>
      </c>
      <c r="C31" s="9">
        <v>10</v>
      </c>
      <c r="D31" s="5"/>
      <c r="E31" s="5">
        <v>5</v>
      </c>
      <c r="F31" s="5"/>
      <c r="G31" s="5"/>
      <c r="H31" s="5">
        <v>2</v>
      </c>
      <c r="I31" s="5"/>
      <c r="J31" s="5"/>
      <c r="K31" s="5">
        <v>8</v>
      </c>
      <c r="L31" s="5"/>
      <c r="M31" s="5"/>
      <c r="N31" s="5">
        <v>3</v>
      </c>
      <c r="O31" s="5"/>
      <c r="P31" s="5"/>
      <c r="Q31" s="5">
        <v>2</v>
      </c>
      <c r="R31" s="5"/>
      <c r="S31" s="5"/>
      <c r="T31" s="5">
        <v>2</v>
      </c>
      <c r="U31" s="5"/>
      <c r="V31" s="5"/>
      <c r="W31" s="5">
        <v>3</v>
      </c>
      <c r="X31" s="5"/>
      <c r="Y31">
        <f t="shared" si="1"/>
        <v>15</v>
      </c>
    </row>
    <row r="32" spans="1:29" x14ac:dyDescent="0.2">
      <c r="A32" t="s">
        <v>142</v>
      </c>
      <c r="B32" t="s">
        <v>226</v>
      </c>
      <c r="C32" s="2">
        <v>1</v>
      </c>
      <c r="D32" s="6"/>
      <c r="E32" s="6">
        <v>6</v>
      </c>
      <c r="F32" s="6"/>
      <c r="G32" s="6"/>
      <c r="H32" s="6">
        <v>2</v>
      </c>
      <c r="I32" s="6"/>
      <c r="J32" s="6"/>
      <c r="K32" s="6">
        <v>10</v>
      </c>
      <c r="L32" s="6"/>
      <c r="M32" s="6"/>
      <c r="N32" s="6">
        <v>5</v>
      </c>
      <c r="O32" s="6"/>
      <c r="P32" s="6"/>
      <c r="Q32" s="6">
        <v>4</v>
      </c>
      <c r="R32" s="6"/>
      <c r="S32" s="6"/>
      <c r="T32" s="6">
        <v>3</v>
      </c>
      <c r="U32" s="6"/>
      <c r="V32" s="6"/>
      <c r="W32" s="6">
        <v>5</v>
      </c>
      <c r="X32" s="6"/>
      <c r="Y32">
        <f t="shared" si="1"/>
        <v>22</v>
      </c>
    </row>
    <row r="33" spans="1:26" s="6" customFormat="1" x14ac:dyDescent="0.2">
      <c r="A33" s="5" t="s">
        <v>230</v>
      </c>
      <c r="B33" s="5" t="s">
        <v>231</v>
      </c>
      <c r="C33" s="9">
        <v>45</v>
      </c>
      <c r="D33" s="5"/>
      <c r="E33" s="5">
        <v>12</v>
      </c>
      <c r="F33" s="5"/>
      <c r="G33" s="5"/>
      <c r="H33" s="5">
        <v>9</v>
      </c>
      <c r="I33" s="5"/>
      <c r="J33" s="5"/>
      <c r="K33" s="5">
        <v>4</v>
      </c>
      <c r="L33" s="5"/>
      <c r="M33" s="5"/>
      <c r="N33" s="5">
        <v>1</v>
      </c>
      <c r="O33" s="5"/>
      <c r="P33" s="5"/>
      <c r="Q33" s="5">
        <v>5</v>
      </c>
      <c r="R33" s="5"/>
      <c r="S33" s="5"/>
      <c r="T33" s="5">
        <v>4</v>
      </c>
      <c r="U33" s="5"/>
      <c r="V33" s="5"/>
      <c r="W33" s="5">
        <v>3</v>
      </c>
      <c r="X33" s="5"/>
      <c r="Y33">
        <f t="shared" si="1"/>
        <v>25</v>
      </c>
    </row>
    <row r="34" spans="1:26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s="2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>
        <f t="shared" si="1"/>
        <v>0</v>
      </c>
    </row>
    <row r="35" spans="1:26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9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>
        <f t="shared" si="1"/>
        <v>0</v>
      </c>
    </row>
    <row r="36" spans="1:26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s="2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>
        <f t="shared" si="1"/>
        <v>0</v>
      </c>
    </row>
    <row r="37" spans="1:26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9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>
        <f t="shared" si="1"/>
        <v>0</v>
      </c>
    </row>
    <row r="38" spans="1:26" x14ac:dyDescent="0.2">
      <c r="E38">
        <f>SUM(E23:E37)</f>
        <v>51</v>
      </c>
      <c r="H38">
        <f>SUM(H23:H37)</f>
        <v>27</v>
      </c>
      <c r="K38">
        <f>SUM(K23:K37)</f>
        <v>43</v>
      </c>
      <c r="N38">
        <f>SUM(N23:N37)</f>
        <v>15</v>
      </c>
      <c r="Q38">
        <f>SUM(Q23:Q37)</f>
        <v>20</v>
      </c>
      <c r="T38">
        <f>SUM(T23:T37)</f>
        <v>14</v>
      </c>
      <c r="W38">
        <f>SUM(W23:W37)</f>
        <v>20</v>
      </c>
      <c r="Y38">
        <f>SUM(H38*2,N38*3,T38)</f>
        <v>113</v>
      </c>
      <c r="Z38">
        <v>6</v>
      </c>
    </row>
  </sheetData>
  <conditionalFormatting sqref="W5:W38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2022-07-12T13:51:54Z</dcterms:modified>
</cp:coreProperties>
</file>