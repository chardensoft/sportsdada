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1T173022Z-001/"/>
    </mc:Choice>
  </mc:AlternateContent>
  <xr:revisionPtr revIDLastSave="0" documentId="13_ncr:1_{F05EDAE1-D943-8E4D-9CE6-786513A51FAB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6" i="1" l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K37" i="2"/>
  <c r="L18" i="2"/>
  <c r="Y20" i="1"/>
  <c r="K18" i="2"/>
  <c r="Y38" i="1"/>
  <c r="J37" i="2"/>
  <c r="J18" i="2"/>
  <c r="G20" i="2"/>
  <c r="D2" i="2" s="1"/>
  <c r="G1" i="2"/>
  <c r="B2" i="2" s="1"/>
  <c r="C19" i="1" l="1"/>
  <c r="H17" i="2" s="1"/>
  <c r="A17" i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H14" i="2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H16" i="2"/>
  <c r="B18" i="1"/>
  <c r="A18" i="1"/>
  <c r="H15" i="2"/>
  <c r="B17" i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<sst xmlns="http://schemas.openxmlformats.org/spreadsheetml/2006/main" count="359" uniqueCount="225">
  <si>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</si>
  <si>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</si>
  <si>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</si>
  <si>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</si>
  <si>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</si>
  <si>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</si>
  <si>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</si>
  <si>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</si>
  <si>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</si>
  <si>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</si>
  <si>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</si>
  <si>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</si>
  <si>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</si>
  <si>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</si>
  <si>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</si>
  <si>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</si>
  <si>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</si>
  <si>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</si>
  <si>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</si>
  <si>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</si>
  <si>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</si>
  <si>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</si>
  <si>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</si>
  <si>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</si>
  <si>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</si>
  <si>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</si>
  <si>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</si>
  <si>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</si>
  <si>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</si>
  <si>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</si>
  <si>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</si>
  <si>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</si>
  <si>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</si>
  <si>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</si>
  <si>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</si>
  <si>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</si>
  <si>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</si>
  <si>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</si>
  <si>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</si>
  <si>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</si>
  <si>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</si>
  <si>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</si>
  <si>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</si>
  <si>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</si>
  <si>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</si>
  <si>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</si>
  <si>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</si>
  <si>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</si>
  <si>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</si>
  <si>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</si>
  <si>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</si>
  <si>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</si>
  <si>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</si>
  <si>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</si>
  <si>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</si>
  <si>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</si>
  <si>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</si>
  <si>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</si>
  <si>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</si>
  <si>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</si>
  <si>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</si>
  <si>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</si>
  <si>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</si>
  <si>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</si>
  <si>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</si>
  <si>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</si>
  <si>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</si>
  <si>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</si>
  <si>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</si>
  <si>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</si>
  <si>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</si>
  <si>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</si>
  <si>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</si>
  <si>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</si>
  <si>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</si>
  <si>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</si>
  <si>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</si>
  <si>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</si>
  <si>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</si>
  <si>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</si>
  <si>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</si>
  <si>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</si>
  <si>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</si>
  <si>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</si>
  <si>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</si>
  <si>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</si>
  <si>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</si>
  <si>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</si>
  <si>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</si>
  <si>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</si>
  <si>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</si>
  <si>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</si>
  <si>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</si>
  <si>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</si>
  <si>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</si>
  <si>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</si>
  <si>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</si>
  <si>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</si>
  <si>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</si>
  <si>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</si>
  <si>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</si>
  <si>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</si>
  <si>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</si>
  <si>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</si>
  <si>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</si>
  <si>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</si>
  <si>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</si>
  <si>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</si>
  <si>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</si>
  <si>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</si>
  <si>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</si>
  <si>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</si>
  <si>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</si>
  <si>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</si>
  <si>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</si>
  <si>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</si>
  <si>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</si>
  <si>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</si>
  <si>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</si>
  <si>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</si>
  <si>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</si>
  <si>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</si>
  <si>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</si>
  <si>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</si>
  <si>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</si>
  <si>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</si>
  <si>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</si>
  <si>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</si>
  <si>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</si>
  <si>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</si>
  <si>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</si>
  <si>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</si>
  <si>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</si>
  <si>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</si>
  <si>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</si>
  <si>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</si>
  <si>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</si>
  <si>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</si>
  <si>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</si>
  <si>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</si>
  <si>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</si>
  <si>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</si>
  <si>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</si>
  <si>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</si>
  <si>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</si>
  <si>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</si>
  <si>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</si>
  <si>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</si>
  <si>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</si>
  <si>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</si>
  <si>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</si>
  <si>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</si>
  <si>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</si>
  <si>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</si>
  <si>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</si>
  <si>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</si>
  <si>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</si>
  <si>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</si>
  <si>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</si>
  <si>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</si>
  <si>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</si>
  <si>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</si>
  <si>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</si>
  <si>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</si>
  <si>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</si>
  <si>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</si>
  <si>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</si>
  <si>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</si>
  <si>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</si>
  <si>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</si>
  <si>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</si>
  <si>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</si>
  <si>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</si>
  <si>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</si>
  <si>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</si>
  <si>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</si>
  <si>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</si>
  <si>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</si>
  <si>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</si>
  <si>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</si>
  <si>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</si>
  <si>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</si>
  <si>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</si>
  <si>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</si>
  <si>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</si>
  <si>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</si>
  <si>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</si>
  <si>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</si>
  <si>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</si>
  <si>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</si>
  <si>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</si>
  <si>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</si>
  <si>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</si>
  <si>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</si>
  <si>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</si>
  <si>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</si>
  <si>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</si>
  <si>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</si>
  <si>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</si>
  <si>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</si>
  <si>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</si>
  <si>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</si>
  <si>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</si>
  <si>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</si>
  <si>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</si>
  <si>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</si>
  <si>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</si>
  <si>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</si>
  <si>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</si>
  <si>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</si>
  <si>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</si>
  <si>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</si>
  <si>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</si>
  <si>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</si>
  <si>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</si>
  <si>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</si>
  <si>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</si>
  <si>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</si>
  <si>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</si>
  <si>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</si>
  <si>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</si>
  <si>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</si>
  <si>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TOTAL PTS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</si>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</sst>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  <xf numFmtId="0" fontId="5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L12" sqref="L1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Joyce</v>
      </c>
    </row>
    <row r="2" spans="2:12" x14ac:dyDescent="0.2">
      <c r="B2" t="str">
        <f>G1</f>
        <v>Team Joyce</v>
      </c>
      <c r="D2" t="str">
        <f>G20</f>
        <v>Team Humpherys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135</v>
      </c>
      <c r="C3" s="3" t="s">
        <v>13</v>
      </c>
      <c r="D3" s="4">
        <f>I37</f>
        <v>107</v>
      </c>
      <c r="F3" t="str">
        <f>'Stats G2'!A5</f>
        <v>Kur</v>
      </c>
      <c r="G3" t="str">
        <f>'Stats G2'!B5</f>
        <v>Kuath</v>
      </c>
      <c r="H3">
        <f>'Stats G2'!C5</f>
        <v>34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Neema</v>
      </c>
      <c r="G4" t="str">
        <f>'Stats G2'!B6</f>
        <v>Namdar</v>
      </c>
      <c r="H4">
        <f>'Stats G2'!C6</f>
        <v>0</v>
      </c>
      <c r="I4">
        <f>'Stats G2'!H6*2+'Stats G2'!N6*3+'Stats G2'!T6</f>
        <v>12</v>
      </c>
      <c r="J4" t="str">
        <f>SUM('Stats G2'!H6+'Stats G2'!N6)&amp;"-"&amp;SUM('Stats G2'!E6+'Stats G2'!K6)</f>
        <v>5-14</v>
      </c>
      <c r="K4" t="str">
        <f>SUM('Stats G2'!N6)&amp;"-"&amp;SUM('Stats G2'!K6)</f>
        <v>2-9</v>
      </c>
      <c r="L4" t="str">
        <f>SUM('Stats G2'!T6)&amp;"-"&amp;SUM('Stats G2'!Q6)</f>
        <v>0-0</v>
      </c>
    </row>
    <row r="5" spans="2:12" x14ac:dyDescent="0.2">
      <c r="F5" t="str">
        <f>'Stats G2'!A7</f>
        <v>Yoeli</v>
      </c>
      <c r="G5" t="str">
        <f>'Stats G2'!B7</f>
        <v>Childs</v>
      </c>
      <c r="H5">
        <f>'Stats G2'!C7</f>
        <v>23</v>
      </c>
      <c r="I5">
        <f>'Stats G2'!H7*2+'Stats G2'!N7*3+'Stats G2'!T7</f>
        <v>38</v>
      </c>
      <c r="J5" t="str">
        <f>SUM('Stats G2'!H7+'Stats G2'!N7)&amp;"-"&amp;SUM('Stats G2'!E7+'Stats G2'!K7)</f>
        <v>16-30</v>
      </c>
      <c r="K5" t="str">
        <f>SUM('Stats G2'!N7)&amp;"-"&amp;SUM('Stats G2'!K7)</f>
        <v>3-9</v>
      </c>
      <c r="L5" t="str">
        <f>SUM('Stats G2'!T7)&amp;"-"&amp;SUM('Stats G2'!Q7)</f>
        <v>3-4</v>
      </c>
    </row>
    <row r="6" spans="2:12" x14ac:dyDescent="0.2">
      <c r="F6" t="str">
        <f>'Stats G2'!A8</f>
        <v>Blaze</v>
      </c>
      <c r="G6" t="str">
        <f>'Stats G2'!B8</f>
        <v>Nield</v>
      </c>
      <c r="H6">
        <f>'Stats G2'!C8</f>
        <v>3</v>
      </c>
      <c r="I6">
        <f>'Stats G2'!H8*2+'Stats G2'!N8*3+'Stats G2'!T8</f>
        <v>21</v>
      </c>
      <c r="J6" t="str">
        <f>SUM('Stats G2'!H8+'Stats G2'!N8)&amp;"-"&amp;SUM('Stats G2'!E8+'Stats G2'!K8)</f>
        <v>9-17</v>
      </c>
      <c r="K6" t="str">
        <f>SUM('Stats G2'!N8)&amp;"-"&amp;SUM('Stats G2'!K8)</f>
        <v>1-5</v>
      </c>
      <c r="L6" t="str">
        <f>SUM('Stats G2'!T8)&amp;"-"&amp;SUM('Stats G2'!Q8)</f>
        <v>2-2</v>
      </c>
    </row>
    <row r="7" spans="2:12" x14ac:dyDescent="0.2">
      <c r="F7" t="str">
        <f>'Stats G2'!A9</f>
        <v>Kylor</v>
      </c>
      <c r="G7" t="str">
        <f>'Stats G2'!B9</f>
        <v>Kelley</v>
      </c>
      <c r="H7">
        <f>'Stats G2'!C9</f>
        <v>35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Nic</v>
      </c>
      <c r="G8" t="str">
        <f>'Stats G2'!B10</f>
        <v>Paulos</v>
      </c>
      <c r="H8">
        <f>'Stats G2'!C10</f>
        <v>31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Trey</v>
      </c>
      <c r="G9" t="str">
        <f>'Stats G2'!B11</f>
        <v>Farrer</v>
      </c>
      <c r="H9">
        <f>'Stats G2'!C11</f>
        <v>21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Connor</v>
      </c>
      <c r="G10" t="str">
        <f>'Stats G2'!B12</f>
        <v>Harding</v>
      </c>
      <c r="H10">
        <f>'Stats G2'!C12</f>
        <v>11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Evan</v>
      </c>
      <c r="G11" t="str">
        <f>'Stats G2'!B13</f>
        <v>Troy</v>
      </c>
      <c r="H11">
        <f>'Stats G2'!C13</f>
        <v>24</v>
      </c>
      <c r="I11">
        <f>'Stats G2'!H13*2+'Stats G2'!N13*3+'Stats G2'!T13</f>
        <v>0</v>
      </c>
      <c r="J11" t="str">
        <f>SUM('Stats G2'!H13+'Stats G2'!N13)&amp;"-"&amp;SUM('Stats G2'!E13+'Stats G2'!K13)</f>
        <v>0-0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Sam</v>
      </c>
      <c r="G12" t="str">
        <f>'Stats G2'!B14</f>
        <v>Velez</v>
      </c>
      <c r="H12">
        <f>'Stats G2'!C14</f>
        <v>1</v>
      </c>
      <c r="I12">
        <f>'Stats G2'!H14*2+'Stats G2'!N14*3+'Stats G2'!T14</f>
        <v>4</v>
      </c>
      <c r="J12" t="str">
        <f>SUM('Stats G2'!H14+'Stats G2'!N14)&amp;"-"&amp;SUM('Stats G2'!E14+'Stats G2'!K14)</f>
        <v>2-4</v>
      </c>
      <c r="K12" t="str">
        <f>SUM('Stats G2'!N14)&amp;"-"&amp;SUM('Stats G2'!K14)</f>
        <v>0-1</v>
      </c>
      <c r="L12" t="str">
        <f>SUM('Stats G2'!T14)&amp;"-"&amp;SUM('Stats G2'!Q14)</f>
        <v>0-0</v>
      </c>
    </row>
    <row r="13" spans="2:12" x14ac:dyDescent="0.2">
      <c r="F13" t="str">
        <f>'Stats G2'!A15</f>
        <v>Gerad</v>
      </c>
      <c r="G13" t="str">
        <f>'Stats G2'!B15</f>
        <v>Davis</v>
      </c>
      <c r="H13">
        <f>'Stats G2'!C15</f>
        <v>10</v>
      </c>
      <c r="I13">
        <f>'Stats G2'!H15*2+'Stats G2'!N15*3+'Stats G2'!T15</f>
        <v>17</v>
      </c>
      <c r="J13" t="str">
        <f>SUM('Stats G2'!H15+'Stats G2'!N15)&amp;"-"&amp;SUM('Stats G2'!E15+'Stats G2'!K15)</f>
        <v>6-12</v>
      </c>
      <c r="K13" t="str">
        <f>SUM('Stats G2'!N15)&amp;"-"&amp;SUM('Stats G2'!K15)</f>
        <v>3-4</v>
      </c>
      <c r="L13" t="str">
        <f>SUM('Stats G2'!T15)&amp;"-"&amp;SUM('Stats G2'!Q15)</f>
        <v>2-2</v>
      </c>
    </row>
    <row r="14" spans="2:12" x14ac:dyDescent="0.2">
      <c r="F14" t="str">
        <f>'Stats G2'!A16</f>
        <v>?</v>
      </c>
      <c r="G14" t="str">
        <f>'Stats G2'!B16</f>
        <v>?</v>
      </c>
      <c r="H14">
        <f>'Stats G2'!C16</f>
        <v>12</v>
      </c>
      <c r="I14">
        <f>'Stats G2'!H16*2+'Stats G2'!N16*3+'Stats G2'!T16</f>
        <v>25</v>
      </c>
      <c r="J14" t="str">
        <f>SUM('Stats G2'!H16+'Stats G2'!N16)&amp;"-"&amp;SUM('Stats G2'!E16+'Stats G2'!K16)</f>
        <v>10-15</v>
      </c>
      <c r="K14" t="str">
        <f>SUM('Stats G2'!N16)&amp;"-"&amp;SUM('Stats G2'!K16)</f>
        <v>1-3</v>
      </c>
      <c r="L14" t="str">
        <f>SUM('Stats G2'!T16)&amp;"-"&amp;SUM('Stats G2'!Q16)</f>
        <v>4-4</v>
      </c>
    </row>
    <row r="15" spans="2:12" x14ac:dyDescent="0.2">
      <c r="F15" s="11" t="s">
        <v>223</v>
      </c>
      <c r="G15" s="11" t="s">
        <v>224</v>
      </c>
      <c r="H15">
        <f>'Stats G2'!C17</f>
        <v>25</v>
      </c>
      <c r="I15">
        <f>'Stats G2'!H17*2+'Stats G2'!N17*3+'Stats G2'!T17</f>
        <v>6</v>
      </c>
      <c r="J15" t="str">
        <f>SUM('Stats G2'!H17+'Stats G2'!N17)&amp;"-"&amp;SUM('Stats G2'!E17+'Stats G2'!K17)</f>
        <v>3-3</v>
      </c>
      <c r="K15" t="str">
        <f>SUM('Stats G2'!N17)&amp;"-"&amp;SUM('Stats G2'!K17)</f>
        <v>0-0</v>
      </c>
      <c r="L15" t="str">
        <f>SUM('Stats G2'!T17)&amp;"-"&amp;SUM('Stats G2'!Q17)</f>
        <v>0-2</v>
      </c>
    </row>
    <row r="16" spans="2:12" x14ac:dyDescent="0.2">
      <c r="F16" s="11" t="s">
        <v>139</v>
      </c>
      <c r="G16" s="11" t="s">
        <v>140</v>
      </c>
      <c r="H16">
        <f>'Stats G2'!C18</f>
        <v>20</v>
      </c>
      <c r="I16">
        <f>'Stats G2'!H18*2+'Stats G2'!N18*3+'Stats G2'!T18</f>
        <v>12</v>
      </c>
      <c r="J16" t="str">
        <f>SUM('Stats G2'!H18+'Stats G2'!N18)&amp;"-"&amp;SUM('Stats G2'!E18+'Stats G2'!K18)</f>
        <v>5-8</v>
      </c>
      <c r="K16" t="str">
        <f>SUM('Stats G2'!N18)&amp;"-"&amp;SUM('Stats G2'!K18)</f>
        <v>2-3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135</v>
      </c>
      <c r="J18" t="str">
        <f>SUM('Stats G2'!H20+'Stats G2'!N20)&amp;"-"&amp;SUM('Stats G2'!E20+'Stats G2'!K20)</f>
        <v>56-103</v>
      </c>
      <c r="K18" t="str">
        <f>SUM('Stats G2'!N20)&amp;"-"&amp;SUM('Stats G2'!K20)</f>
        <v>12-34</v>
      </c>
      <c r="L18" t="str">
        <f>SUM('Stats G2'!T20)&amp;"-"&amp;SUM('Stats G2'!Q20)</f>
        <v>11-14</v>
      </c>
    </row>
    <row r="20" spans="6:12" x14ac:dyDescent="0.2">
      <c r="F20" t="s">
        <v>11</v>
      </c>
      <c r="G20" t="str">
        <f>'Stats G2'!B21</f>
        <v>Team Humpherys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John</v>
      </c>
      <c r="G22" t="str">
        <f>'Stats G2'!B23</f>
        <v>Knight III</v>
      </c>
      <c r="H22">
        <f>'Stats G2'!C23</f>
        <v>23</v>
      </c>
      <c r="I22">
        <f>'Stats G2'!H23*2+'Stats G2'!N23*3+'Stats G2'!T23</f>
        <v>0</v>
      </c>
      <c r="J22" t="str">
        <f>SUM('Stats G2'!H23+'Stats G2'!N23)&amp;"-"&amp;SUM('Stats G2'!E23+'Stats G2'!K23)</f>
        <v>0-0</v>
      </c>
      <c r="K22" t="str">
        <f>SUM('Stats G2'!N23)&amp;"-"&amp;SUM('Stats G2'!K23)</f>
        <v>0-0</v>
      </c>
      <c r="L22" t="str">
        <f>SUM('Stats G2'!T23)&amp;"-"&amp;SUM('Stats G2'!Q23)</f>
        <v>0-0</v>
      </c>
    </row>
    <row r="23" spans="6:12" x14ac:dyDescent="0.2">
      <c r="F23" t="str">
        <f>'Stats G2'!A24</f>
        <v>Isaac</v>
      </c>
      <c r="G23" t="str">
        <f>'Stats G2'!B24</f>
        <v>Johnson</v>
      </c>
      <c r="H23">
        <f>'Stats G2'!C24</f>
        <v>20</v>
      </c>
      <c r="I23">
        <f>'Stats G2'!H24*2+'Stats G2'!N24*3+'Stats G2'!T24</f>
        <v>15</v>
      </c>
      <c r="J23" t="str">
        <f>SUM('Stats G2'!H24+'Stats G2'!N24)&amp;"-"&amp;SUM('Stats G2'!E24+'Stats G2'!K24)</f>
        <v>6-12</v>
      </c>
      <c r="K23" t="str">
        <f>SUM('Stats G2'!N24)&amp;"-"&amp;SUM('Stats G2'!K24)</f>
        <v>0-1</v>
      </c>
      <c r="L23" t="str">
        <f>SUM('Stats G2'!T24)&amp;"-"&amp;SUM('Stats G2'!Q24)</f>
        <v>3-3</v>
      </c>
    </row>
    <row r="24" spans="6:12" x14ac:dyDescent="0.2">
      <c r="F24" t="str">
        <f>'Stats G2'!A25</f>
        <v>Seena</v>
      </c>
      <c r="G24" t="str">
        <f>'Stats G2'!B25</f>
        <v>Namdar</v>
      </c>
      <c r="H24">
        <f>'Stats G2'!C25</f>
        <v>13</v>
      </c>
      <c r="I24">
        <f>'Stats G2'!H25*2+'Stats G2'!N25*3+'Stats G2'!T25</f>
        <v>0</v>
      </c>
      <c r="J24" t="str">
        <f>SUM('Stats G2'!H25+'Stats G2'!N25)&amp;"-"&amp;SUM('Stats G2'!E25+'Stats G2'!K25)</f>
        <v>0-3</v>
      </c>
      <c r="K24" t="str">
        <f>SUM('Stats G2'!N25)&amp;"-"&amp;SUM('Stats G2'!K25)</f>
        <v>0-3</v>
      </c>
      <c r="L24" t="str">
        <f>SUM('Stats G2'!T25)&amp;"-"&amp;SUM('Stats G2'!Q25)</f>
        <v>0-0</v>
      </c>
    </row>
    <row r="25" spans="6:12" x14ac:dyDescent="0.2">
      <c r="F25" t="str">
        <f>'Stats G2'!A26</f>
        <v>Hunter</v>
      </c>
      <c r="G25" t="str">
        <f>'Stats G2'!B26</f>
        <v>Humpherys</v>
      </c>
      <c r="H25">
        <f>'Stats G2'!C26</f>
        <v>11</v>
      </c>
      <c r="I25">
        <f>'Stats G2'!H26*2+'Stats G2'!N26*3+'Stats G2'!T26</f>
        <v>5</v>
      </c>
      <c r="J25" t="str">
        <f>SUM('Stats G2'!H26+'Stats G2'!N26)&amp;"-"&amp;SUM('Stats G2'!E26+'Stats G2'!K26)</f>
        <v>2-8</v>
      </c>
      <c r="K25" t="str">
        <f>SUM('Stats G2'!N26)&amp;"-"&amp;SUM('Stats G2'!K26)</f>
        <v>1-2</v>
      </c>
      <c r="L25" t="str">
        <f>SUM('Stats G2'!T26)&amp;"-"&amp;SUM('Stats G2'!Q26)</f>
        <v>0-0</v>
      </c>
    </row>
    <row r="26" spans="6:12" x14ac:dyDescent="0.2">
      <c r="F26" t="str">
        <f>'Stats G2'!A27</f>
        <v>Mark</v>
      </c>
      <c r="G26" t="str">
        <f>'Stats G2'!B27</f>
        <v>Burton</v>
      </c>
      <c r="H26">
        <f>'Stats G2'!C27</f>
        <v>3</v>
      </c>
      <c r="I26">
        <f>'Stats G2'!H27*2+'Stats G2'!N27*3+'Stats G2'!T27</f>
        <v>26</v>
      </c>
      <c r="J26" t="str">
        <f>SUM('Stats G2'!H27+'Stats G2'!N27)&amp;"-"&amp;SUM('Stats G2'!E27+'Stats G2'!K27)</f>
        <v>9-20</v>
      </c>
      <c r="K26" t="str">
        <f>SUM('Stats G2'!N27)&amp;"-"&amp;SUM('Stats G2'!K27)</f>
        <v>6-13</v>
      </c>
      <c r="L26" t="str">
        <f>SUM('Stats G2'!T27)&amp;"-"&amp;SUM('Stats G2'!Q27)</f>
        <v>2-3</v>
      </c>
    </row>
    <row r="27" spans="6:12" x14ac:dyDescent="0.2">
      <c r="F27" t="str">
        <f>'Stats G2'!A28</f>
        <v>Gabe</v>
      </c>
      <c r="G27" t="str">
        <f>'Stats G2'!B28</f>
        <v>Madsen</v>
      </c>
      <c r="H27">
        <f>'Stats G2'!C28</f>
        <v>55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Marco</v>
      </c>
      <c r="G28" t="str">
        <f>'Stats G2'!B29</f>
        <v>Anthony</v>
      </c>
      <c r="H28">
        <f>'Stats G2'!C29</f>
        <v>99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Dee</v>
      </c>
      <c r="G29" t="str">
        <f>'Stats G2'!B30</f>
        <v>Barnes</v>
      </c>
      <c r="H29">
        <f>'Stats G2'!C30</f>
        <v>22</v>
      </c>
      <c r="I29">
        <f>'Stats G2'!H30*2+'Stats G2'!N30*3+'Stats G2'!T30</f>
        <v>14</v>
      </c>
      <c r="J29" t="str">
        <f>SUM('Stats G2'!H30+'Stats G2'!N30)&amp;"-"&amp;SUM('Stats G2'!E30+'Stats G2'!K30)</f>
        <v>6-12</v>
      </c>
      <c r="K29" t="str">
        <f>SUM('Stats G2'!N30)&amp;"-"&amp;SUM('Stats G2'!K30)</f>
        <v>2-7</v>
      </c>
      <c r="L29" t="str">
        <f>SUM('Stats G2'!T30)&amp;"-"&amp;SUM('Stats G2'!Q30)</f>
        <v>0-0</v>
      </c>
    </row>
    <row r="30" spans="6:12" x14ac:dyDescent="0.2">
      <c r="F30" t="str">
        <f>'Stats G2'!A31</f>
        <v>Zack</v>
      </c>
      <c r="G30" t="str">
        <f>'Stats G2'!B31</f>
        <v>Visentin</v>
      </c>
      <c r="H30">
        <f>'Stats G2'!C31</f>
        <v>32</v>
      </c>
      <c r="I30">
        <f>'Stats G2'!H31*2+'Stats G2'!N31*3+'Stats G2'!T31</f>
        <v>18</v>
      </c>
      <c r="J30" t="str">
        <f>SUM('Stats G2'!H31+'Stats G2'!N31)&amp;"-"&amp;SUM('Stats G2'!E31+'Stats G2'!K31)</f>
        <v>8-12</v>
      </c>
      <c r="K30" t="str">
        <f>SUM('Stats G2'!N31)&amp;"-"&amp;SUM('Stats G2'!K31)</f>
        <v>1-2</v>
      </c>
      <c r="L30" t="str">
        <f>SUM('Stats G2'!T31)&amp;"-"&amp;SUM('Stats G2'!Q31)</f>
        <v>1-4</v>
      </c>
    </row>
    <row r="31" spans="6:12" x14ac:dyDescent="0.2">
      <c r="F31" t="str">
        <f>'Stats G2'!A32</f>
        <v>Demarcus</v>
      </c>
      <c r="G31" t="str">
        <f>'Stats G2'!B32</f>
        <v>Harrison</v>
      </c>
      <c r="H31">
        <f>'Stats G2'!C32</f>
        <v>31</v>
      </c>
      <c r="I31">
        <f>'Stats G2'!H32*2+'Stats G2'!N32*3+'Stats G2'!T32</f>
        <v>17</v>
      </c>
      <c r="J31" t="str">
        <f>SUM('Stats G2'!H32+'Stats G2'!N32)&amp;"-"&amp;SUM('Stats G2'!E32+'Stats G2'!K32)</f>
        <v>6-14</v>
      </c>
      <c r="K31" t="str">
        <f>SUM('Stats G2'!N32)&amp;"-"&amp;SUM('Stats G2'!K32)</f>
        <v>4-8</v>
      </c>
      <c r="L31" t="str">
        <f>SUM('Stats G2'!T32)&amp;"-"&amp;SUM('Stats G2'!Q32)</f>
        <v>1-1</v>
      </c>
    </row>
    <row r="32" spans="6:12" x14ac:dyDescent="0.2">
      <c r="F32" t="str">
        <f>'Stats G2'!A33</f>
        <v>Trey</v>
      </c>
      <c r="G32" t="str">
        <f>'Stats G2'!B33</f>
        <v>Anderson</v>
      </c>
      <c r="H32">
        <f>'Stats G2'!C33</f>
        <v>5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Lual</v>
      </c>
      <c r="G33" t="str">
        <f>'Stats G2'!B34</f>
        <v>Arok</v>
      </c>
      <c r="H33">
        <f>'Stats G2'!C34</f>
        <v>9</v>
      </c>
      <c r="I33">
        <f>'Stats G2'!H34*2+'Stats G2'!N34*3+'Stats G2'!T34</f>
        <v>2</v>
      </c>
      <c r="J33" t="str">
        <f>SUM('Stats G2'!H34+'Stats G2'!N34)&amp;"-"&amp;SUM('Stats G2'!E34+'Stats G2'!K34)</f>
        <v>1-2</v>
      </c>
      <c r="K33" t="str">
        <f>SUM('Stats G2'!N34)&amp;"-"&amp;SUM('Stats G2'!K34)</f>
        <v>0-1</v>
      </c>
      <c r="L33" t="str">
        <f>SUM('Stats G2'!T34)&amp;"-"&amp;SUM('Stats G2'!Q34)</f>
        <v>0-0</v>
      </c>
    </row>
    <row r="34" spans="6:12" x14ac:dyDescent="0.2">
      <c r="F34" t="str">
        <f>'Stats G2'!A35</f>
        <v>Zach</v>
      </c>
      <c r="G34" t="str">
        <f>'Stats G2'!B35</f>
        <v>Mogbo</v>
      </c>
      <c r="H34">
        <f>'Stats G2'!C35</f>
        <v>4</v>
      </c>
      <c r="I34">
        <f>'Stats G2'!H35*2+'Stats G2'!N35*3+'Stats G2'!T35</f>
        <v>10</v>
      </c>
      <c r="J34" t="str">
        <f>SUM('Stats G2'!H35+'Stats G2'!N35)&amp;"-"&amp;SUM('Stats G2'!E35+'Stats G2'!K35)</f>
        <v>3-18</v>
      </c>
      <c r="K34" t="str">
        <f>SUM('Stats G2'!N35)&amp;"-"&amp;SUM('Stats G2'!K35)</f>
        <v>1-5</v>
      </c>
      <c r="L34" t="str">
        <f>SUM('Stats G2'!T35)&amp;"-"&amp;SUM('Stats G2'!Q35)</f>
        <v>3-4</v>
      </c>
    </row>
    <row r="35" spans="6:12" x14ac:dyDescent="0.2">
      <c r="F35" t="str">
        <f>'Stats G2'!A36</f>
        <v>Kyle</v>
      </c>
      <c r="G35" t="str">
        <f>'Stats G2'!B36</f>
        <v>Nielsen</v>
      </c>
      <c r="H35">
        <f>'Stats G2'!C36</f>
        <v>1</v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107</v>
      </c>
      <c r="J37" t="str">
        <f>SUM('Stats G2'!H38+'Stats G2'!N38)&amp;"-"&amp;SUM('Stats G2'!E38+'Stats G2'!K38)</f>
        <v>41-101</v>
      </c>
      <c r="K37" t="str">
        <f>SUM('Stats G2'!N38)&amp;"-"&amp;SUM('Stats G2'!K38)</f>
        <v>15-42</v>
      </c>
      <c r="L37" t="str">
        <f>SUM('Stats G2'!T38)&amp;"-"&amp;SUM('Stats G2'!Q38)</f>
        <v>10-15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130" zoomScaleNormal="130" workbookViewId="0">
      <selection activeCell="AA28" sqref="AA28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16</v>
      </c>
      <c r="B1" t="s">
        <v>18</v>
      </c>
      <c r="C1" t="s">
        <v>17</v>
      </c>
    </row>
    <row r="2" spans="1:25" hidden="1" x14ac:dyDescent="0.2"/>
    <row r="3" spans="1:25" x14ac:dyDescent="0.2">
      <c r="A3" s="2" t="s">
        <v>14</v>
      </c>
      <c r="B3" s="1" t="s">
        <v>128</v>
      </c>
    </row>
    <row r="4" spans="1:25" x14ac:dyDescent="0.2">
      <c r="A4" t="s">
        <v>1</v>
      </c>
      <c r="B4" t="s">
        <v>2</v>
      </c>
      <c r="C4" s="2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Y4" t="s">
        <v>222</v>
      </c>
    </row>
    <row r="5" spans="1:25" s="6" customFormat="1" x14ac:dyDescent="0.2">
      <c r="A5" s="5" t="str">
        <f>_xlfn.IFNA(VLOOKUP($B$3&amp;ROWS($A$5:A5),Rosters!$B$2:$C$163,2,0),"?")</f>
        <v>Kur</v>
      </c>
      <c r="B5" s="5" t="str">
        <f>_xlfn.IFNA(VLOOKUP($B$3&amp;ROWS($B$5:B5),Rosters!$B$2:$D$163,3,0),"?")</f>
        <v>Kuath</v>
      </c>
      <c r="C5" s="9">
        <f>_xlfn.IFNA(VLOOKUP($B$3&amp;ROWS($C$5:C5),Rosters!$B$2:$E$163,4,0),"")</f>
        <v>34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>SUM(H5*2,N5*3,T5)</f>
        <v>0</v>
      </c>
    </row>
    <row r="6" spans="1:25" s="6" customFormat="1" x14ac:dyDescent="0.2">
      <c r="A6" s="6" t="str">
        <f>_xlfn.IFNA(VLOOKUP($B$3&amp;ROWS($A$5:A6),Rosters!$B$2:$C$163,2,0),"?")</f>
        <v>Neema</v>
      </c>
      <c r="B6" s="6" t="str">
        <f>_xlfn.IFNA(VLOOKUP($B$3&amp;ROWS($B$5:B6),Rosters!$B$2:$D$163,3,0),"?")</f>
        <v>Namdar</v>
      </c>
      <c r="C6" s="10">
        <f>_xlfn.IFNA(VLOOKUP($B$3&amp;ROWS($C$5:C6),Rosters!$B$2:$E$163,4,0),"")</f>
        <v>0</v>
      </c>
      <c r="E6" s="6">
        <v>5</v>
      </c>
      <c r="H6" s="6">
        <v>3</v>
      </c>
      <c r="K6" s="6">
        <v>9</v>
      </c>
      <c r="N6" s="6">
        <v>2</v>
      </c>
      <c r="Q6" s="6">
        <v>0</v>
      </c>
      <c r="T6" s="6">
        <v>0</v>
      </c>
      <c r="W6" s="6">
        <v>0</v>
      </c>
      <c r="Y6" s="6">
        <f t="shared" ref="Y6:Y38" si="0">SUM(H6*2,N6*3,T6)</f>
        <v>12</v>
      </c>
    </row>
    <row r="7" spans="1:25" s="6" customFormat="1" x14ac:dyDescent="0.2">
      <c r="A7" s="5" t="str">
        <f>_xlfn.IFNA(VLOOKUP($B$3&amp;ROWS($A$5:A7),Rosters!$B$2:$C$163,2,0),"?")</f>
        <v>Yoeli</v>
      </c>
      <c r="B7" s="5" t="str">
        <f>_xlfn.IFNA(VLOOKUP($B$3&amp;ROWS($B$5:B7),Rosters!$B$2:$D$163,3,0),"?")</f>
        <v>Childs</v>
      </c>
      <c r="C7" s="9">
        <f>_xlfn.IFNA(VLOOKUP($B$3&amp;ROWS($C$5:C7),Rosters!$B$2:$E$163,4,0),"")</f>
        <v>23</v>
      </c>
      <c r="D7" s="5"/>
      <c r="E7" s="5">
        <v>21</v>
      </c>
      <c r="F7" s="5"/>
      <c r="G7" s="5"/>
      <c r="H7" s="5">
        <v>13</v>
      </c>
      <c r="I7" s="5"/>
      <c r="J7" s="5"/>
      <c r="K7" s="5">
        <v>9</v>
      </c>
      <c r="L7" s="5"/>
      <c r="M7" s="5"/>
      <c r="N7" s="5">
        <v>3</v>
      </c>
      <c r="O7" s="5"/>
      <c r="P7" s="5"/>
      <c r="Q7" s="5">
        <v>4</v>
      </c>
      <c r="R7" s="5"/>
      <c r="S7" s="5"/>
      <c r="T7" s="5">
        <v>3</v>
      </c>
      <c r="U7" s="5"/>
      <c r="V7" s="5"/>
      <c r="W7" s="5">
        <v>0</v>
      </c>
      <c r="X7" s="5"/>
      <c r="Y7" s="6">
        <f t="shared" si="0"/>
        <v>38</v>
      </c>
    </row>
    <row r="8" spans="1:25" s="6" customFormat="1" x14ac:dyDescent="0.2">
      <c r="A8" s="6" t="str">
        <f>_xlfn.IFNA(VLOOKUP($B$3&amp;ROWS($A$5:A8),Rosters!$B$2:$C$163,2,0),"?")</f>
        <v>Blaze</v>
      </c>
      <c r="B8" s="6" t="str">
        <f>_xlfn.IFNA(VLOOKUP($B$3&amp;ROWS($B$5:B8),Rosters!$B$2:$D$163,3,0),"?")</f>
        <v>Nield</v>
      </c>
      <c r="C8" s="10">
        <f>_xlfn.IFNA(VLOOKUP($B$3&amp;ROWS($C$5:C8),Rosters!$B$2:$E$163,4,0),"")</f>
        <v>3</v>
      </c>
      <c r="E8" s="6">
        <v>12</v>
      </c>
      <c r="H8" s="6">
        <v>8</v>
      </c>
      <c r="K8" s="6">
        <v>5</v>
      </c>
      <c r="N8" s="6">
        <v>1</v>
      </c>
      <c r="Q8" s="6">
        <v>2</v>
      </c>
      <c r="T8" s="6">
        <v>2</v>
      </c>
      <c r="W8" s="6">
        <v>0</v>
      </c>
      <c r="Y8" s="6">
        <f t="shared" si="0"/>
        <v>21</v>
      </c>
    </row>
    <row r="9" spans="1:25" s="6" customFormat="1" x14ac:dyDescent="0.2">
      <c r="A9" s="5" t="str">
        <f>_xlfn.IFNA(VLOOKUP($B$3&amp;ROWS($A$5:A9),Rosters!$B$2:$C$163,2,0),"?")</f>
        <v>Kylor</v>
      </c>
      <c r="B9" s="5" t="str">
        <f>_xlfn.IFNA(VLOOKUP($B$3&amp;ROWS($B$5:B9),Rosters!$B$2:$D$163,3,0),"?")</f>
        <v>Kelley</v>
      </c>
      <c r="C9" s="9">
        <f>_xlfn.IFNA(VLOOKUP($B$3&amp;ROWS($C$5:C9),Rosters!$B$2:$E$163,4,0),"")</f>
        <v>35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_xlfn.IFNA(VLOOKUP($B$3&amp;ROWS($A$5:A10),Rosters!$B$2:$C$163,2,0),"?")</f>
        <v>Nic</v>
      </c>
      <c r="B10" s="6" t="str">
        <f>_xlfn.IFNA(VLOOKUP($B$3&amp;ROWS($B$5:B10),Rosters!$B$2:$D$163,3,0),"?")</f>
        <v>Paulos</v>
      </c>
      <c r="C10" s="10">
        <f>_xlfn.IFNA(VLOOKUP($B$3&amp;ROWS($C$5:C10),Rosters!$B$2:$E$163,4,0),"")</f>
        <v>31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Trey</v>
      </c>
      <c r="B11" s="5" t="str">
        <f>_xlfn.IFNA(VLOOKUP($B$3&amp;ROWS($B$5:B11),Rosters!$B$2:$D$163,3,0),"?")</f>
        <v>Farrer</v>
      </c>
      <c r="C11" s="9">
        <f>_xlfn.IFNA(VLOOKUP($B$3&amp;ROWS($C$5:C11),Rosters!$B$2:$E$163,4,0),"")</f>
        <v>21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Connor</v>
      </c>
      <c r="B12" s="6" t="str">
        <f>_xlfn.IFNA(VLOOKUP($B$3&amp;ROWS($B$5:B12),Rosters!$B$2:$D$163,3,0),"?")</f>
        <v>Harding</v>
      </c>
      <c r="C12" s="10">
        <f>_xlfn.IFNA(VLOOKUP($B$3&amp;ROWS($C$5:C12),Rosters!$B$2:$E$163,4,0),"")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</row>
    <row r="13" spans="1:25" s="6" customFormat="1" x14ac:dyDescent="0.2">
      <c r="A13" s="5" t="str">
        <f>_xlfn.IFNA(VLOOKUP($B$3&amp;ROWS($A$5:A13),Rosters!$B$2:$C$163,2,0),"?")</f>
        <v>Evan</v>
      </c>
      <c r="B13" s="5" t="str">
        <f>_xlfn.IFNA(VLOOKUP($B$3&amp;ROWS($B$5:B13),Rosters!$B$2:$D$163,3,0),"?")</f>
        <v>Troy</v>
      </c>
      <c r="C13" s="9">
        <f>_xlfn.IFNA(VLOOKUP($B$3&amp;ROWS($C$5:C13),Rosters!$B$2:$E$163,4,0),"")</f>
        <v>24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  <c r="Y13" s="6">
        <f t="shared" si="0"/>
        <v>0</v>
      </c>
    </row>
    <row r="14" spans="1:25" s="6" customFormat="1" x14ac:dyDescent="0.2">
      <c r="A14" s="6" t="str">
        <f>_xlfn.IFNA(VLOOKUP($B$3&amp;ROWS($A$5:A14),Rosters!$B$2:$C$163,2,0),"?")</f>
        <v>Sam</v>
      </c>
      <c r="B14" s="6" t="str">
        <f>_xlfn.IFNA(VLOOKUP($B$3&amp;ROWS($B$5:B14),Rosters!$B$2:$D$163,3,0),"?")</f>
        <v>Velez</v>
      </c>
      <c r="C14" s="10">
        <f>_xlfn.IFNA(VLOOKUP($B$3&amp;ROWS($C$5:C14),Rosters!$B$2:$E$163,4,0),"")</f>
        <v>1</v>
      </c>
      <c r="E14" s="6">
        <v>3</v>
      </c>
      <c r="H14" s="6">
        <v>2</v>
      </c>
      <c r="K14" s="6">
        <v>1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4</v>
      </c>
    </row>
    <row r="15" spans="1:25" s="6" customFormat="1" x14ac:dyDescent="0.2">
      <c r="A15" s="5" t="str">
        <f>_xlfn.IFNA(VLOOKUP($B$3&amp;ROWS($A$5:A15),Rosters!$B$2:$C$163,2,0),"?")</f>
        <v>Gerad</v>
      </c>
      <c r="B15" s="5" t="str">
        <f>_xlfn.IFNA(VLOOKUP($B$3&amp;ROWS($B$5:B15),Rosters!$B$2:$D$163,3,0),"?")</f>
        <v>Davis</v>
      </c>
      <c r="C15" s="9">
        <f>_xlfn.IFNA(VLOOKUP($B$3&amp;ROWS($C$5:C15),Rosters!$B$2:$E$163,4,0),"")</f>
        <v>10</v>
      </c>
      <c r="D15" s="5"/>
      <c r="E15" s="5">
        <v>8</v>
      </c>
      <c r="F15" s="5"/>
      <c r="G15" s="5"/>
      <c r="H15" s="5">
        <v>3</v>
      </c>
      <c r="I15" s="5"/>
      <c r="J15" s="5"/>
      <c r="K15" s="5">
        <v>4</v>
      </c>
      <c r="L15" s="5"/>
      <c r="M15" s="5"/>
      <c r="N15" s="5">
        <v>3</v>
      </c>
      <c r="O15" s="5"/>
      <c r="P15" s="5"/>
      <c r="Q15" s="5">
        <v>2</v>
      </c>
      <c r="R15" s="5"/>
      <c r="S15" s="5"/>
      <c r="T15" s="5">
        <v>2</v>
      </c>
      <c r="U15" s="5"/>
      <c r="V15" s="5"/>
      <c r="W15" s="5">
        <v>0</v>
      </c>
      <c r="X15" s="5"/>
      <c r="Y15" s="6">
        <f t="shared" si="0"/>
        <v>17</v>
      </c>
    </row>
    <row r="16" spans="1:25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10">
        <v>12</v>
      </c>
      <c r="E16" s="6">
        <v>12</v>
      </c>
      <c r="H16" s="6">
        <v>9</v>
      </c>
      <c r="K16" s="6">
        <v>3</v>
      </c>
      <c r="N16" s="6">
        <v>1</v>
      </c>
      <c r="Q16" s="6">
        <v>4</v>
      </c>
      <c r="T16" s="6">
        <v>4</v>
      </c>
      <c r="W16" s="6">
        <v>0</v>
      </c>
      <c r="Y16" s="6">
        <f t="shared" si="0"/>
        <v>25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9">
        <v>25</v>
      </c>
      <c r="D17" s="5"/>
      <c r="E17" s="5">
        <v>3</v>
      </c>
      <c r="F17" s="5"/>
      <c r="G17" s="5"/>
      <c r="H17" s="5">
        <v>3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2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6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10">
        <v>20</v>
      </c>
      <c r="E18" s="6">
        <v>5</v>
      </c>
      <c r="H18" s="6">
        <v>3</v>
      </c>
      <c r="K18" s="6">
        <v>3</v>
      </c>
      <c r="N18" s="6">
        <v>2</v>
      </c>
      <c r="Q18" s="6">
        <v>0</v>
      </c>
      <c r="T18" s="6">
        <v>0</v>
      </c>
      <c r="W18" s="6">
        <v>0</v>
      </c>
      <c r="Y18" s="6">
        <f t="shared" si="0"/>
        <v>12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9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C20" s="10"/>
      <c r="E20" s="6">
        <f>SUM(E5:E19)</f>
        <v>69</v>
      </c>
      <c r="H20" s="6">
        <f>SUM(H5:H19)</f>
        <v>44</v>
      </c>
      <c r="K20" s="6">
        <f>SUM(K5:K19)</f>
        <v>34</v>
      </c>
      <c r="N20" s="6">
        <f>SUM(N5:N19)</f>
        <v>12</v>
      </c>
      <c r="Q20" s="6">
        <f>SUM(Q5:Q19)</f>
        <v>14</v>
      </c>
      <c r="T20" s="6">
        <f>SUM(T5:T19)</f>
        <v>11</v>
      </c>
      <c r="W20" s="6">
        <f>SUM(W5:W19)</f>
        <v>0</v>
      </c>
      <c r="Y20" s="6">
        <f t="shared" si="0"/>
        <v>135</v>
      </c>
    </row>
    <row r="21" spans="1:25" x14ac:dyDescent="0.2">
      <c r="A21" s="2" t="s">
        <v>15</v>
      </c>
      <c r="B21" s="1" t="s">
        <v>198</v>
      </c>
      <c r="C21" s="2"/>
      <c r="Y21" s="6"/>
    </row>
    <row r="22" spans="1:25" x14ac:dyDescent="0.2">
      <c r="A22" t="s">
        <v>1</v>
      </c>
      <c r="B22" t="s">
        <v>2</v>
      </c>
      <c r="C22" s="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Y22" s="6"/>
    </row>
    <row r="23" spans="1:25" s="6" customFormat="1" x14ac:dyDescent="0.2">
      <c r="A23" s="5" t="str">
        <f>_xlfn.IFNA(VLOOKUP($B$21&amp;ROWS($A$23:A23),Rosters!$B$2:$C$163,2,0),"?")</f>
        <v>John</v>
      </c>
      <c r="B23" s="5" t="str">
        <f>_xlfn.IFNA(VLOOKUP($B$21&amp;ROWS($B$23:B23),Rosters!$B$2:$D$163,3,0),"?")</f>
        <v>Knight III</v>
      </c>
      <c r="C23" s="9">
        <f>_xlfn.IFNA(VLOOKUP($B$21&amp;ROWS($C$23:C23),Rosters!$B$2:$E$163,4,0),"")</f>
        <v>23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>
        <f t="shared" si="0"/>
        <v>0</v>
      </c>
    </row>
    <row r="24" spans="1:25" x14ac:dyDescent="0.2">
      <c r="A24" t="str">
        <f>_xlfn.IFNA(VLOOKUP($B$21&amp;ROWS($A$23:A24),Rosters!$B$2:$C$163,2,0),"?")</f>
        <v>Isaac</v>
      </c>
      <c r="B24" t="str">
        <f>_xlfn.IFNA(VLOOKUP($B$21&amp;ROWS($B$23:B24),Rosters!$B$2:$D$163,3,0),"?")</f>
        <v>Johnson</v>
      </c>
      <c r="C24" s="2">
        <f>_xlfn.IFNA(VLOOKUP($B$21&amp;ROWS($C$23:C24),Rosters!$B$2:$E$163,4,0),"")</f>
        <v>20</v>
      </c>
      <c r="D24" s="6"/>
      <c r="E24" s="6">
        <v>11</v>
      </c>
      <c r="F24" s="6"/>
      <c r="G24" s="6"/>
      <c r="H24" s="6">
        <v>6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3</v>
      </c>
      <c r="R24" s="6"/>
      <c r="S24" s="6"/>
      <c r="T24" s="6">
        <v>3</v>
      </c>
      <c r="U24" s="6"/>
      <c r="V24" s="6"/>
      <c r="W24" s="6">
        <v>0</v>
      </c>
      <c r="X24" s="6"/>
      <c r="Y24" s="6">
        <f t="shared" si="0"/>
        <v>15</v>
      </c>
    </row>
    <row r="25" spans="1:25" s="6" customFormat="1" x14ac:dyDescent="0.2">
      <c r="A25" s="5" t="str">
        <f>_xlfn.IFNA(VLOOKUP($B$21&amp;ROWS($A$23:A25),Rosters!$B$2:$C$163,2,0),"?")</f>
        <v>Seena</v>
      </c>
      <c r="B25" s="5" t="str">
        <f>_xlfn.IFNA(VLOOKUP($B$21&amp;ROWS($B$23:B25),Rosters!$B$2:$D$163,3,0),"?")</f>
        <v>Namdar</v>
      </c>
      <c r="C25" s="9">
        <f>_xlfn.IFNA(VLOOKUP($B$21&amp;ROWS($C$23:C25),Rosters!$B$2:$E$163,4,0),"")</f>
        <v>13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3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  <c r="Y25" s="6">
        <f t="shared" si="0"/>
        <v>0</v>
      </c>
    </row>
    <row r="26" spans="1:25" x14ac:dyDescent="0.2">
      <c r="A26" t="str">
        <f>_xlfn.IFNA(VLOOKUP($B$21&amp;ROWS($A$23:A26),Rosters!$B$2:$C$163,2,0),"?")</f>
        <v>Hunter</v>
      </c>
      <c r="B26" t="str">
        <f>_xlfn.IFNA(VLOOKUP($B$21&amp;ROWS($B$23:B26),Rosters!$B$2:$D$163,3,0),"?")</f>
        <v>Humpherys</v>
      </c>
      <c r="C26" s="2">
        <f>_xlfn.IFNA(VLOOKUP($B$21&amp;ROWS($C$23:C26),Rosters!$B$2:$E$163,4,0),"")</f>
        <v>11</v>
      </c>
      <c r="D26" s="6"/>
      <c r="E26" s="6">
        <v>6</v>
      </c>
      <c r="F26" s="6"/>
      <c r="G26" s="6"/>
      <c r="H26" s="6">
        <v>1</v>
      </c>
      <c r="I26" s="6"/>
      <c r="J26" s="6"/>
      <c r="K26" s="6">
        <v>2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  <c r="Y26" s="6">
        <f t="shared" si="0"/>
        <v>5</v>
      </c>
    </row>
    <row r="27" spans="1:25" s="6" customFormat="1" x14ac:dyDescent="0.2">
      <c r="A27" s="5" t="str">
        <f>_xlfn.IFNA(VLOOKUP($B$21&amp;ROWS($A$23:A27),Rosters!$B$2:$C$163,2,0),"?")</f>
        <v>Mark</v>
      </c>
      <c r="B27" s="5" t="str">
        <f>_xlfn.IFNA(VLOOKUP($B$21&amp;ROWS($B$23:B27),Rosters!$B$2:$D$163,3,0),"?")</f>
        <v>Burton</v>
      </c>
      <c r="C27" s="9">
        <f>_xlfn.IFNA(VLOOKUP($B$21&amp;ROWS($C$23:C27),Rosters!$B$2:$E$163,4,0),"")</f>
        <v>3</v>
      </c>
      <c r="D27" s="5"/>
      <c r="E27" s="5">
        <v>7</v>
      </c>
      <c r="F27" s="5"/>
      <c r="G27" s="5"/>
      <c r="H27" s="5">
        <v>3</v>
      </c>
      <c r="I27" s="5"/>
      <c r="J27" s="5"/>
      <c r="K27" s="5">
        <v>13</v>
      </c>
      <c r="L27" s="5"/>
      <c r="M27" s="5"/>
      <c r="N27" s="5">
        <v>6</v>
      </c>
      <c r="O27" s="5"/>
      <c r="P27" s="5"/>
      <c r="Q27" s="5">
        <v>3</v>
      </c>
      <c r="R27" s="5"/>
      <c r="S27" s="5"/>
      <c r="T27" s="5">
        <v>2</v>
      </c>
      <c r="U27" s="5"/>
      <c r="V27" s="5"/>
      <c r="W27" s="5">
        <v>0</v>
      </c>
      <c r="X27" s="5"/>
      <c r="Y27" s="6">
        <f t="shared" si="0"/>
        <v>26</v>
      </c>
    </row>
    <row r="28" spans="1:25" x14ac:dyDescent="0.2">
      <c r="A28" t="str">
        <f>_xlfn.IFNA(VLOOKUP($B$21&amp;ROWS($A$23:A28),Rosters!$B$2:$C$163,2,0),"?")</f>
        <v>Gabe</v>
      </c>
      <c r="B28" t="str">
        <f>_xlfn.IFNA(VLOOKUP($B$21&amp;ROWS($B$23:B28),Rosters!$B$2:$D$163,3,0),"?")</f>
        <v>Madsen</v>
      </c>
      <c r="C28" s="2">
        <f>_xlfn.IFNA(VLOOKUP($B$21&amp;ROWS($C$23:C28),Rosters!$B$2:$E$163,4,0),"")</f>
        <v>55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 s="6">
        <f t="shared" si="0"/>
        <v>0</v>
      </c>
    </row>
    <row r="29" spans="1:25" s="6" customFormat="1" x14ac:dyDescent="0.2">
      <c r="A29" s="5" t="str">
        <f>_xlfn.IFNA(VLOOKUP($B$21&amp;ROWS($A$23:A29),Rosters!$B$2:$C$163,2,0),"?")</f>
        <v>Marco</v>
      </c>
      <c r="B29" s="5" t="str">
        <f>_xlfn.IFNA(VLOOKUP($B$21&amp;ROWS($B$23:B29),Rosters!$B$2:$D$163,3,0),"?")</f>
        <v>Anthony</v>
      </c>
      <c r="C29" s="9">
        <f>_xlfn.IFNA(VLOOKUP($B$21&amp;ROWS($C$23:C29),Rosters!$B$2:$E$163,4,0),"")</f>
        <v>99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  <c r="Y29" s="6">
        <f t="shared" si="0"/>
        <v>0</v>
      </c>
    </row>
    <row r="30" spans="1:25" x14ac:dyDescent="0.2">
      <c r="A30" t="str">
        <f>_xlfn.IFNA(VLOOKUP($B$21&amp;ROWS($A$23:A30),Rosters!$B$2:$C$163,2,0),"?")</f>
        <v>Dee</v>
      </c>
      <c r="B30" t="str">
        <f>_xlfn.IFNA(VLOOKUP($B$21&amp;ROWS($B$23:B30),Rosters!$B$2:$D$163,3,0),"?")</f>
        <v>Barnes</v>
      </c>
      <c r="C30" s="2">
        <f>_xlfn.IFNA(VLOOKUP($B$21&amp;ROWS($C$23:C30),Rosters!$B$2:$E$163,4,0),"")</f>
        <v>22</v>
      </c>
      <c r="D30" s="6"/>
      <c r="E30" s="6">
        <v>5</v>
      </c>
      <c r="F30" s="6"/>
      <c r="G30" s="6"/>
      <c r="H30" s="6">
        <v>4</v>
      </c>
      <c r="I30" s="6"/>
      <c r="J30" s="6"/>
      <c r="K30" s="6">
        <v>7</v>
      </c>
      <c r="L30" s="6"/>
      <c r="M30" s="6"/>
      <c r="N30" s="6">
        <v>2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s="6">
        <f t="shared" si="0"/>
        <v>14</v>
      </c>
    </row>
    <row r="31" spans="1:25" s="6" customFormat="1" x14ac:dyDescent="0.2">
      <c r="A31" s="5" t="str">
        <f>_xlfn.IFNA(VLOOKUP($B$21&amp;ROWS($A$23:A31),Rosters!$B$2:$C$163,2,0),"?")</f>
        <v>Zack</v>
      </c>
      <c r="B31" s="5" t="str">
        <f>_xlfn.IFNA(VLOOKUP($B$21&amp;ROWS($B$23:B31),Rosters!$B$2:$D$163,3,0),"?")</f>
        <v>Visentin</v>
      </c>
      <c r="C31" s="9">
        <f>_xlfn.IFNA(VLOOKUP($B$21&amp;ROWS($C$23:C31),Rosters!$B$2:$E$163,4,0),"")</f>
        <v>32</v>
      </c>
      <c r="D31" s="5"/>
      <c r="E31" s="5">
        <v>10</v>
      </c>
      <c r="F31" s="5"/>
      <c r="G31" s="5"/>
      <c r="H31" s="5">
        <v>7</v>
      </c>
      <c r="I31" s="5"/>
      <c r="J31" s="5"/>
      <c r="K31" s="5">
        <v>2</v>
      </c>
      <c r="L31" s="5"/>
      <c r="M31" s="5"/>
      <c r="N31" s="5">
        <v>1</v>
      </c>
      <c r="O31" s="5"/>
      <c r="P31" s="5"/>
      <c r="Q31" s="5">
        <v>4</v>
      </c>
      <c r="R31" s="5"/>
      <c r="S31" s="5"/>
      <c r="T31" s="5">
        <v>1</v>
      </c>
      <c r="U31" s="5"/>
      <c r="V31" s="5"/>
      <c r="W31" s="5">
        <v>0</v>
      </c>
      <c r="X31" s="5"/>
      <c r="Y31" s="6">
        <f t="shared" si="0"/>
        <v>18</v>
      </c>
    </row>
    <row r="32" spans="1:25" x14ac:dyDescent="0.2">
      <c r="A32" t="str">
        <f>_xlfn.IFNA(VLOOKUP($B$21&amp;ROWS($A$23:A32),Rosters!$B$2:$C$163,2,0),"?")</f>
        <v>Demarcus</v>
      </c>
      <c r="B32" t="str">
        <f>_xlfn.IFNA(VLOOKUP($B$21&amp;ROWS($B$23:B32),Rosters!$B$2:$D$163,3,0),"?")</f>
        <v>Harrison</v>
      </c>
      <c r="C32" s="2">
        <f>_xlfn.IFNA(VLOOKUP($B$21&amp;ROWS($C$23:C32),Rosters!$B$2:$E$163,4,0),"")</f>
        <v>31</v>
      </c>
      <c r="D32" s="6"/>
      <c r="E32" s="6">
        <v>6</v>
      </c>
      <c r="F32" s="6"/>
      <c r="G32" s="6"/>
      <c r="H32" s="6">
        <v>2</v>
      </c>
      <c r="I32" s="6"/>
      <c r="J32" s="6"/>
      <c r="K32" s="6">
        <v>8</v>
      </c>
      <c r="L32" s="6"/>
      <c r="M32" s="6"/>
      <c r="N32" s="6">
        <v>4</v>
      </c>
      <c r="O32" s="6"/>
      <c r="P32" s="6"/>
      <c r="Q32" s="6">
        <v>1</v>
      </c>
      <c r="R32" s="6"/>
      <c r="S32" s="6"/>
      <c r="T32" s="6">
        <v>1</v>
      </c>
      <c r="U32" s="6"/>
      <c r="V32" s="6"/>
      <c r="W32" s="6">
        <v>0</v>
      </c>
      <c r="X32" s="6"/>
      <c r="Y32" s="6">
        <f t="shared" si="0"/>
        <v>17</v>
      </c>
    </row>
    <row r="33" spans="1:25" s="6" customFormat="1" x14ac:dyDescent="0.2">
      <c r="A33" s="5" t="str">
        <f>_xlfn.IFNA(VLOOKUP($B$21&amp;ROWS($A$23:A33),Rosters!$B$2:$C$163,2,0),"?")</f>
        <v>Trey</v>
      </c>
      <c r="B33" s="5" t="str">
        <f>_xlfn.IFNA(VLOOKUP($B$21&amp;ROWS($B$23:B33),Rosters!$B$2:$D$163,3,0),"?")</f>
        <v>Anderson</v>
      </c>
      <c r="C33" s="9">
        <f>_xlfn.IFNA(VLOOKUP($B$21&amp;ROWS($C$23:C33),Rosters!$B$2:$E$163,4,0),"")</f>
        <v>5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  <c r="Y33" s="6">
        <f t="shared" si="0"/>
        <v>0</v>
      </c>
    </row>
    <row r="34" spans="1:25" x14ac:dyDescent="0.2">
      <c r="A34" t="str">
        <f>_xlfn.IFNA(VLOOKUP($B$21&amp;ROWS($A$23:A34),Rosters!$B$2:$C$163,2,0),"?")</f>
        <v>Lual</v>
      </c>
      <c r="B34" t="str">
        <f>_xlfn.IFNA(VLOOKUP($B$21&amp;ROWS($B$23:B34),Rosters!$B$2:$D$163,3,0),"?")</f>
        <v>Arok</v>
      </c>
      <c r="C34" s="2">
        <f>_xlfn.IFNA(VLOOKUP($B$21&amp;ROWS($C$23:C34),Rosters!$B$2:$E$163,4,0),"")</f>
        <v>9</v>
      </c>
      <c r="D34" s="6"/>
      <c r="E34" s="6">
        <v>1</v>
      </c>
      <c r="F34" s="6"/>
      <c r="G34" s="6"/>
      <c r="H34" s="6">
        <v>1</v>
      </c>
      <c r="I34" s="6"/>
      <c r="J34" s="6"/>
      <c r="K34" s="6">
        <v>1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 s="6">
        <f t="shared" si="0"/>
        <v>2</v>
      </c>
    </row>
    <row r="35" spans="1:25" s="6" customFormat="1" x14ac:dyDescent="0.2">
      <c r="A35" s="5" t="str">
        <f>_xlfn.IFNA(VLOOKUP($B$21&amp;ROWS($A$23:A35),Rosters!$B$2:$C$163,2,0),"?")</f>
        <v>Zach</v>
      </c>
      <c r="B35" s="5" t="str">
        <f>_xlfn.IFNA(VLOOKUP($B$21&amp;ROWS($B$23:B35),Rosters!$B$2:$D$163,3,0),"?")</f>
        <v>Mogbo</v>
      </c>
      <c r="C35" s="9">
        <f>_xlfn.IFNA(VLOOKUP($B$21&amp;ROWS($C$23:C35),Rosters!$B$2:$E$163,4,0),"")</f>
        <v>4</v>
      </c>
      <c r="D35" s="5"/>
      <c r="E35" s="5">
        <v>13</v>
      </c>
      <c r="F35" s="5"/>
      <c r="G35" s="5"/>
      <c r="H35" s="5">
        <v>2</v>
      </c>
      <c r="I35" s="5"/>
      <c r="J35" s="5"/>
      <c r="K35" s="5">
        <v>5</v>
      </c>
      <c r="L35" s="5"/>
      <c r="M35" s="5"/>
      <c r="N35" s="5">
        <v>1</v>
      </c>
      <c r="O35" s="5"/>
      <c r="P35" s="5"/>
      <c r="Q35" s="5">
        <v>4</v>
      </c>
      <c r="R35" s="5"/>
      <c r="S35" s="5"/>
      <c r="T35" s="5">
        <v>3</v>
      </c>
      <c r="U35" s="5"/>
      <c r="V35" s="5"/>
      <c r="W35" s="5">
        <v>0</v>
      </c>
      <c r="X35" s="5"/>
      <c r="Y35" s="6">
        <f t="shared" si="0"/>
        <v>10</v>
      </c>
    </row>
    <row r="36" spans="1:25" x14ac:dyDescent="0.2">
      <c r="A36" t="str">
        <f>_xlfn.IFNA(VLOOKUP($B$21&amp;ROWS($A$23:A36),Rosters!$B$2:$C$163,2,0),"?")</f>
        <v>Kyle</v>
      </c>
      <c r="B36" t="str">
        <f>_xlfn.IFNA(VLOOKUP($B$21&amp;ROWS($B$23:B36),Rosters!$B$2:$D$163,3,0),"?")</f>
        <v>Nielsen</v>
      </c>
      <c r="C36" s="2">
        <f>_xlfn.IFNA(VLOOKUP($B$21&amp;ROWS($C$23:C36),Rosters!$B$2:$E$163,4,0),"")</f>
        <v>1</v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 s="6">
        <f t="shared" si="0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9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 s="6">
        <f t="shared" si="0"/>
        <v>0</v>
      </c>
    </row>
    <row r="38" spans="1:25" x14ac:dyDescent="0.2">
      <c r="E38">
        <f>SUM(E23:E37)</f>
        <v>59</v>
      </c>
      <c r="H38">
        <f>SUM(H23:H37)</f>
        <v>26</v>
      </c>
      <c r="K38">
        <f>SUM(K23:K37)</f>
        <v>42</v>
      </c>
      <c r="N38">
        <f>SUM(N23:N37)</f>
        <v>15</v>
      </c>
      <c r="Q38">
        <f>SUM(Q23:Q37)</f>
        <v>15</v>
      </c>
      <c r="T38">
        <f>SUM(T23:T37)</f>
        <v>10</v>
      </c>
      <c r="W38">
        <f>SUM(W23:W37)</f>
        <v>0</v>
      </c>
      <c r="Y38" s="6">
        <f t="shared" si="0"/>
        <v>107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2022-07-12T14:04:55Z</dcterms:modified>
</cp:coreProperties>
</file>