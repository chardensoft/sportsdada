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8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harden/Downloads/drive-download-20220714T123751Z-001/"/>
    </mc:Choice>
  </mc:AlternateContent>
  <xr:revisionPtr revIDLastSave="0" documentId="13_ncr:1_{FBA79F2D-370D-A748-9403-02D135D73F63}" xr6:coauthVersionLast="47" xr6:coauthVersionMax="47" xr10:uidLastSave="{00000000-0000-0000-0000-000000000000}"/>
  <bookViews>
    <workbookView xWindow="0" yWindow="500" windowWidth="12680" windowHeight="15940" activeTab="1" xr2:uid="{00000000-000D-0000-FFFF-FFFF00000000}"/>
  </bookViews>
  <sheets>
    <sheet name="G2 Box Score" sheetId="1" r:id="rId1"/>
    <sheet name="Stats G2" sheetId="2" r:id="rId2"/>
    <sheet name="Roster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8" roundtripDataSignature="AMtx7mgUENE43MKEx5YWsziSOK3T2I39Mg=="/>
    </ext>
  </extLst>
</workbook>
</file>

<file path=xl/calcChain.xml><?xml version="1.0" encoding="utf-8"?>
<calcChain xmlns="http://schemas.openxmlformats.org/spreadsheetml/2006/main">
  <c r="C35" i="2" l="1"/>
  <c r="B35" i="2"/>
  <c r="A35" i="2"/>
  <c r="C34" i="2"/>
  <c r="B34" i="2"/>
  <c r="A34" i="2"/>
  <c r="A23" i="2"/>
  <c r="B23" i="2"/>
  <c r="C23" i="2"/>
  <c r="A24" i="2"/>
  <c r="B24" i="2"/>
  <c r="C24" i="2"/>
  <c r="A25" i="2"/>
  <c r="B25" i="2"/>
  <c r="C25" i="2"/>
  <c r="A26" i="2"/>
  <c r="B26" i="2"/>
  <c r="C26" i="2"/>
  <c r="C27" i="2"/>
  <c r="A28" i="2"/>
  <c r="B28" i="2"/>
  <c r="C28" i="2"/>
  <c r="A29" i="2"/>
  <c r="B29" i="2"/>
  <c r="C29" i="2"/>
  <c r="A30" i="2"/>
  <c r="B30" i="2"/>
  <c r="C30" i="2"/>
  <c r="A31" i="2"/>
  <c r="B31" i="2"/>
  <c r="C31" i="2"/>
  <c r="A32" i="2"/>
  <c r="B32" i="2"/>
  <c r="C32" i="2"/>
  <c r="C22" i="2"/>
  <c r="B22" i="2"/>
  <c r="A22" i="2"/>
  <c r="C21" i="2"/>
  <c r="B21" i="2"/>
  <c r="A21" i="2"/>
  <c r="C17" i="2"/>
  <c r="B17" i="2"/>
  <c r="A17" i="2"/>
  <c r="C16" i="2"/>
  <c r="B16" i="2"/>
  <c r="A16" i="2"/>
  <c r="A5" i="2"/>
  <c r="B5" i="2"/>
  <c r="C5" i="2"/>
  <c r="A6" i="2"/>
  <c r="B6" i="2"/>
  <c r="C6" i="2"/>
  <c r="A7" i="2"/>
  <c r="B7" i="2"/>
  <c r="C7" i="2"/>
  <c r="A8" i="2"/>
  <c r="B8" i="2"/>
  <c r="C8" i="2"/>
  <c r="A9" i="2"/>
  <c r="B9" i="2"/>
  <c r="C9" i="2"/>
  <c r="A10" i="2"/>
  <c r="B10" i="2"/>
  <c r="C10" i="2"/>
  <c r="C4" i="2"/>
  <c r="B4" i="2"/>
  <c r="A4" i="2"/>
  <c r="C3" i="2"/>
  <c r="B3" i="2"/>
  <c r="A3" i="2"/>
  <c r="B102" i="3" l="1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G16" i="1" s="1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F35" i="1" s="1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H31" i="1" s="1"/>
  <c r="B11" i="3"/>
  <c r="G10" i="3"/>
  <c r="B10" i="3"/>
  <c r="G9" i="3"/>
  <c r="B9" i="3"/>
  <c r="G8" i="3"/>
  <c r="B8" i="3"/>
  <c r="G7" i="3"/>
  <c r="B7" i="3"/>
  <c r="G6" i="3"/>
  <c r="B6" i="3"/>
  <c r="G5" i="3"/>
  <c r="B5" i="3"/>
  <c r="G4" i="3"/>
  <c r="B4" i="3"/>
  <c r="H36" i="1" s="1"/>
  <c r="G3" i="3"/>
  <c r="B3" i="3"/>
  <c r="G2" i="3"/>
  <c r="B2" i="3"/>
  <c r="H35" i="1" s="1"/>
  <c r="W36" i="2"/>
  <c r="T36" i="2"/>
  <c r="Q36" i="2"/>
  <c r="N36" i="2"/>
  <c r="K36" i="2"/>
  <c r="H36" i="2"/>
  <c r="E36" i="2"/>
  <c r="G31" i="1"/>
  <c r="H28" i="1"/>
  <c r="F26" i="1"/>
  <c r="G23" i="1"/>
  <c r="H22" i="1"/>
  <c r="G22" i="1"/>
  <c r="W18" i="2"/>
  <c r="T18" i="2"/>
  <c r="Q18" i="2"/>
  <c r="N18" i="2"/>
  <c r="K18" i="2"/>
  <c r="H18" i="2"/>
  <c r="E18" i="2"/>
  <c r="H8" i="1"/>
  <c r="F6" i="1"/>
  <c r="G3" i="1"/>
  <c r="L36" i="1"/>
  <c r="J36" i="1"/>
  <c r="K36" i="1" s="1"/>
  <c r="I36" i="1"/>
  <c r="L35" i="1"/>
  <c r="J35" i="1"/>
  <c r="K35" i="1" s="1"/>
  <c r="I35" i="1"/>
  <c r="L34" i="1"/>
  <c r="J34" i="1"/>
  <c r="K34" i="1" s="1"/>
  <c r="I34" i="1"/>
  <c r="H34" i="1"/>
  <c r="G34" i="1"/>
  <c r="F34" i="1"/>
  <c r="L33" i="1"/>
  <c r="K33" i="1"/>
  <c r="J33" i="1"/>
  <c r="I33" i="1"/>
  <c r="L32" i="1"/>
  <c r="K32" i="1"/>
  <c r="J32" i="1"/>
  <c r="I32" i="1"/>
  <c r="L31" i="1"/>
  <c r="J31" i="1"/>
  <c r="K31" i="1" s="1"/>
  <c r="I31" i="1"/>
  <c r="L30" i="1"/>
  <c r="J30" i="1"/>
  <c r="K30" i="1" s="1"/>
  <c r="I30" i="1"/>
  <c r="L29" i="1"/>
  <c r="K29" i="1"/>
  <c r="J29" i="1"/>
  <c r="I29" i="1"/>
  <c r="L28" i="1"/>
  <c r="J28" i="1"/>
  <c r="K28" i="1" s="1"/>
  <c r="I28" i="1"/>
  <c r="L27" i="1"/>
  <c r="J27" i="1"/>
  <c r="K27" i="1" s="1"/>
  <c r="I27" i="1"/>
  <c r="L26" i="1"/>
  <c r="J26" i="1"/>
  <c r="K26" i="1" s="1"/>
  <c r="I26" i="1"/>
  <c r="L25" i="1"/>
  <c r="K25" i="1"/>
  <c r="J25" i="1"/>
  <c r="I25" i="1"/>
  <c r="L24" i="1"/>
  <c r="K24" i="1"/>
  <c r="J24" i="1"/>
  <c r="I24" i="1"/>
  <c r="L23" i="1"/>
  <c r="J23" i="1"/>
  <c r="K23" i="1" s="1"/>
  <c r="I23" i="1"/>
  <c r="L22" i="1"/>
  <c r="L37" i="1" s="1"/>
  <c r="J22" i="1"/>
  <c r="K22" i="1" s="1"/>
  <c r="I22" i="1"/>
  <c r="I37" i="1" s="1"/>
  <c r="D3" i="1" s="1"/>
  <c r="G20" i="1"/>
  <c r="L17" i="1"/>
  <c r="J17" i="1"/>
  <c r="K17" i="1" s="1"/>
  <c r="I17" i="1"/>
  <c r="L16" i="1"/>
  <c r="K16" i="1"/>
  <c r="J16" i="1"/>
  <c r="I16" i="1"/>
  <c r="L15" i="1"/>
  <c r="K15" i="1"/>
  <c r="J15" i="1"/>
  <c r="I15" i="1"/>
  <c r="H15" i="1"/>
  <c r="G15" i="1"/>
  <c r="F15" i="1"/>
  <c r="L14" i="1"/>
  <c r="J14" i="1"/>
  <c r="K14" i="1" s="1"/>
  <c r="I14" i="1"/>
  <c r="H14" i="1"/>
  <c r="G14" i="1"/>
  <c r="F14" i="1"/>
  <c r="L13" i="1"/>
  <c r="J13" i="1"/>
  <c r="K13" i="1" s="1"/>
  <c r="I13" i="1"/>
  <c r="H13" i="1"/>
  <c r="G13" i="1"/>
  <c r="F13" i="1"/>
  <c r="L12" i="1"/>
  <c r="K12" i="1"/>
  <c r="J12" i="1"/>
  <c r="I12" i="1"/>
  <c r="H12" i="1"/>
  <c r="G12" i="1"/>
  <c r="F12" i="1"/>
  <c r="L11" i="1"/>
  <c r="J11" i="1"/>
  <c r="K11" i="1" s="1"/>
  <c r="I11" i="1"/>
  <c r="H11" i="1"/>
  <c r="G11" i="1"/>
  <c r="F11" i="1"/>
  <c r="L10" i="1"/>
  <c r="J10" i="1"/>
  <c r="K10" i="1" s="1"/>
  <c r="I10" i="1"/>
  <c r="L9" i="1"/>
  <c r="J9" i="1"/>
  <c r="I9" i="1"/>
  <c r="K9" i="1" s="1"/>
  <c r="L8" i="1"/>
  <c r="K8" i="1"/>
  <c r="J8" i="1"/>
  <c r="I8" i="1"/>
  <c r="L7" i="1"/>
  <c r="K7" i="1"/>
  <c r="J7" i="1"/>
  <c r="I7" i="1"/>
  <c r="L6" i="1"/>
  <c r="J6" i="1"/>
  <c r="K6" i="1" s="1"/>
  <c r="I6" i="1"/>
  <c r="L5" i="1"/>
  <c r="L18" i="1" s="1"/>
  <c r="J5" i="1"/>
  <c r="K5" i="1" s="1"/>
  <c r="I5" i="1"/>
  <c r="I18" i="1" s="1"/>
  <c r="B3" i="1" s="1"/>
  <c r="L4" i="1"/>
  <c r="K4" i="1"/>
  <c r="J4" i="1"/>
  <c r="I4" i="1"/>
  <c r="L3" i="1"/>
  <c r="J3" i="1"/>
  <c r="K3" i="1" s="1"/>
  <c r="I3" i="1"/>
  <c r="D2" i="1"/>
  <c r="B2" i="1"/>
  <c r="G1" i="1"/>
  <c r="K18" i="1" l="1"/>
  <c r="K37" i="1"/>
  <c r="H3" i="1"/>
  <c r="F9" i="1"/>
  <c r="G26" i="1"/>
  <c r="G35" i="1"/>
  <c r="G4" i="1"/>
  <c r="F7" i="1"/>
  <c r="H9" i="1"/>
  <c r="G17" i="1"/>
  <c r="G24" i="1"/>
  <c r="F27" i="1"/>
  <c r="H29" i="1"/>
  <c r="G32" i="1"/>
  <c r="F36" i="1"/>
  <c r="J37" i="1"/>
  <c r="H4" i="1"/>
  <c r="G7" i="1"/>
  <c r="F10" i="1"/>
  <c r="H17" i="1"/>
  <c r="F22" i="1"/>
  <c r="H24" i="1"/>
  <c r="G27" i="1"/>
  <c r="F30" i="1"/>
  <c r="H32" i="1"/>
  <c r="G36" i="1"/>
  <c r="F5" i="1"/>
  <c r="H7" i="1"/>
  <c r="G10" i="1"/>
  <c r="F25" i="1"/>
  <c r="H27" i="1"/>
  <c r="G30" i="1"/>
  <c r="F33" i="1"/>
  <c r="G5" i="1"/>
  <c r="H10" i="1"/>
  <c r="H30" i="1"/>
  <c r="J18" i="1"/>
  <c r="F8" i="1"/>
  <c r="G25" i="1"/>
  <c r="F28" i="1"/>
  <c r="G33" i="1"/>
  <c r="F3" i="1"/>
  <c r="H5" i="1"/>
  <c r="G8" i="1"/>
  <c r="F16" i="1"/>
  <c r="F23" i="1"/>
  <c r="H25" i="1"/>
  <c r="G28" i="1"/>
  <c r="F31" i="1"/>
  <c r="H33" i="1"/>
  <c r="F29" i="1"/>
  <c r="G6" i="1"/>
  <c r="H16" i="1"/>
  <c r="H23" i="1"/>
  <c r="F4" i="1"/>
  <c r="H6" i="1"/>
  <c r="G9" i="1"/>
  <c r="F17" i="1"/>
  <c r="F24" i="1"/>
  <c r="H26" i="1"/>
  <c r="G29" i="1"/>
  <c r="F32" i="1"/>
</calcChain>
</file>

<file path=xl/sharedStrings.xml><?xml version="1.0" encoding="utf-8"?>
<sst xmlns="http://schemas.openxmlformats.org/spreadsheetml/2006/main" count="359" uniqueCount="227">
  <si>
    <t>GAME 2</t>
  </si>
  <si>
    <t>Home Team (Gray)</t>
  </si>
  <si>
    <t>First</t>
  </si>
  <si>
    <t>Last</t>
  </si>
  <si>
    <t>#</t>
  </si>
  <si>
    <t>OREB</t>
  </si>
  <si>
    <t>DREB</t>
  </si>
  <si>
    <t>TREB</t>
  </si>
  <si>
    <t>STL</t>
  </si>
  <si>
    <t>-</t>
  </si>
  <si>
    <t>Total:</t>
  </si>
  <si>
    <t>Away Team (Black)</t>
  </si>
  <si>
    <t>Gray Team (Home)</t>
  </si>
  <si>
    <t>Team Erickson</t>
  </si>
  <si>
    <t>Trey</t>
  </si>
  <si>
    <t>Stewart</t>
  </si>
  <si>
    <t>Layannick</t>
  </si>
  <si>
    <t>Illunga</t>
  </si>
  <si>
    <t>Stefan</t>
  </si>
  <si>
    <t>Briggs</t>
  </si>
  <si>
    <t>Sam</t>
  </si>
  <si>
    <t>Jex</t>
  </si>
  <si>
    <t>Tejon</t>
  </si>
  <si>
    <t>Lucas</t>
  </si>
  <si>
    <t>Black Team (Away)</t>
  </si>
  <si>
    <t>Team Covington</t>
  </si>
  <si>
    <t>Cam</t>
  </si>
  <si>
    <t>Clarke</t>
  </si>
  <si>
    <t>Team</t>
  </si>
  <si>
    <t>Helper</t>
  </si>
  <si>
    <t>Number</t>
  </si>
  <si>
    <t>Select Team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</si>
  <si>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</si>
  <si>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</si>
  <si>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</si>
  <si>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</si>
  <si>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</si>
  <si>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</si>
  <si>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</si>
  <si>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</si>
  <si>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</si>
  <si>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</si>
  <si>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</si>
  <si>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</si>
  <si>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</si>
  <si>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</si>
  <si>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</si>
  <si>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</si>
  <si>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</si>
  <si>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</si>
  <si>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</si>
  <si>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</si>
  <si>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</si>
  <si>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</si>
  <si>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</si>
  <si>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</si>
  <si>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</si>
  <si>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</si>
  <si>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</si>
  <si>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</si>
  <si>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</si>
  <si>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</si>
  <si>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</si>
  <si>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</si>
  <si>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</si>
  <si>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</si>
  <si>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</si>
  <si>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</si>
  <si>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</si>
  <si>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</si>
  <si>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</si>
  <si>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</si>
  <si>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</si>
  <si>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</si>
  <si>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</si>
  <si>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</si>
  <si>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</si>
  <si>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</si>
  <si>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</si>
  <si>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</si>
  <si>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</si>
  <si>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</si>
  <si>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</si>
  <si>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</si>
  <si>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</si>
  <si>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</si>
  <si>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</si>
  <si>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</si>
  <si>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</si>
  <si>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</si>
  <si>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</si>
  <si>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</si>
  <si>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</si>
  <si>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</si>
  <si>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</si>
  <si>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</si>
  <si>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</si>
  <si>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</si>
  <si>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</si>
  <si>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</si>
  <si>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</si>
  <si>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</si>
  <si>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</si>
  <si>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</si>
  <si>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</si>
  <si>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</si>
  <si>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</si>
  <si>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</si>
  <si>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</si>
  <si>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</si>
  <si>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</si>
  <si>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</si>
  <si>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</si>
  <si>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</si>
  <si>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</si>
  <si>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</si>
  <si>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</si>
  <si>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</si>
  <si>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</si>
  <si>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</si>
  <si>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</si>
  <si>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</si>
  <si>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</si>
  <si>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</si>
  <si>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</si>
  <si>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</si>
  <si>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</si>
  <si>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</si>
  <si>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</si>
  <si>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</si>
  <si>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</si>
  <si>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</si>
  <si>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</si>
  <si>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</si>
  <si>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</si>
  <si>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</si>
  <si>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</si>
  <si>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</si>
  <si>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</si>
  <si>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</si>
  <si>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</si>
  <si>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</si>
  <si>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</si>
  <si>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</si>
  <si>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</si>
  <si>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Farrer</t>
  </si>
  <si>
    <t>Connor</t>
  </si>
  <si>
    <t>Harding</t>
  </si>
  <si>
    <t>Evan</t>
  </si>
  <si>
    <t>Troy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</si>
  <si>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</si>
  <si>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</si>
  <si>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</si>
  <si>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</si>
  <si>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</si>
  <si>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</si>
  <si>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</si>
  <si>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</si>
  <si>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</si>
  <si>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</si>
  <si>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</si>
  <si>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</si>
  <si>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</si>
  <si>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</si>
  <si>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</si>
  <si>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</si>
  <si>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</si>
  <si>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</si>
  <si>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</si>
  <si>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</si>
  <si>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</si>
  <si>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</si>
  <si>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Noma'aea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</si>
  <si>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</si>
  <si>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</si>
  <si>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</si>
  <si>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</si>
  <si>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</si>
  <si>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</si>
  <si>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</si>
  <si>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</si>
  <si>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</si>
  <si>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</si>
  <si>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</si>
  <si>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</si>
  <si>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</si>
  <si>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</si>
  <si>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</si>
  <si>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</si>
  <si>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</si>
  <si>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</si>
  <si>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</si>
  <si>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</si>
  <si>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</si>
  <si>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</si>
  <si>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</si>
  <si>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</si>
  <si>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</si>
  <si>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</si>
  <si>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</si>
  <si>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</si>
  <si>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</si>
  <si>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</si>
  <si>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</si>
  <si>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</si>
  <si>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</si>
  <si>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</si>
  <si>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</si>
  <si>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</si>
  <si>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</si>
  <si>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</si>
  <si>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</si>
  <si>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</si>
  <si>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</si>
  <si>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</si>
  <si>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</si>
  <si>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</si>
  <si>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</si>
  <si>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</si>
  <si>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</si>
  <si>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Arok</t>
  </si>
  <si>
    <t>Zach</t>
  </si>
  <si>
    <t>Mogbo</t>
  </si>
  <si>
    <t>Kyle</t>
  </si>
  <si>
    <t>Nielsen</t>
  </si>
  <si>
    <t>Hayden</t>
  </si>
  <si>
    <t>Fransen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</si>
</sst>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scheme val="minor"/>
    </font>
    <font>
      <b/>
      <sz val="12"/>
      <color theme="1"/>
      <name val="Calibri"/>
      <family val="2"/>
    </font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i/>
      <sz val="12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E2EFD9"/>
        <bgColor rgb="FFE2EFD9"/>
      </patternFill>
    </fill>
    <fill>
      <patternFill patternType="solid">
        <fgColor rgb="FF757070"/>
        <bgColor rgb="FF757070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 applyFont="1" applyAlignment="1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/>
    <xf numFmtId="0" fontId="3" fillId="2" borderId="1" xfId="0" applyFont="1" applyFill="1" applyBorder="1"/>
    <xf numFmtId="0" fontId="3" fillId="0" borderId="0" xfId="0" applyFont="1"/>
    <xf numFmtId="0" fontId="3" fillId="0" borderId="0" xfId="0" applyFont="1" applyAlignment="1"/>
    <xf numFmtId="0" fontId="3" fillId="2" borderId="1" xfId="0" applyFont="1" applyFill="1" applyBorder="1" applyAlignment="1"/>
    <xf numFmtId="0" fontId="3" fillId="3" borderId="1" xfId="0" applyFont="1" applyFill="1" applyBorder="1"/>
    <xf numFmtId="0" fontId="3" fillId="0" borderId="0" xfId="0" applyFont="1" applyAlignment="1">
      <alignment horizontal="right"/>
    </xf>
    <xf numFmtId="0" fontId="0" fillId="4" borderId="0" xfId="0" applyFill="1"/>
  </cellXfs>
  <cellStyles count="1">
    <cellStyle name="Normal" xfId="0" builtinId="0"/>
  </cellStyles>
  <dxfs count="2"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L1000"/>
  <sheetViews>
    <sheetView workbookViewId="0">
      <selection activeCell="I18" sqref="I18"/>
    </sheetView>
  </sheetViews>
  <sheetFormatPr baseColWidth="10" defaultColWidth="11.1640625" defaultRowHeight="15" customHeight="1" x14ac:dyDescent="0.2"/>
  <cols>
    <col min="1" max="1" width="3.1640625" customWidth="1"/>
    <col min="2" max="2" width="10.5" customWidth="1"/>
    <col min="3" max="3" width="2.83203125" customWidth="1"/>
    <col min="4" max="4" width="10.5" customWidth="1"/>
    <col min="5" max="5" width="3.5" customWidth="1"/>
    <col min="6" max="7" width="10.5" customWidth="1"/>
    <col min="8" max="8" width="5.83203125" customWidth="1"/>
    <col min="9" max="26" width="10.5" customWidth="1"/>
  </cols>
  <sheetData>
    <row r="1" spans="2:12" ht="15.75" customHeight="1" x14ac:dyDescent="0.2">
      <c r="B1" s="1" t="s">
        <v>0</v>
      </c>
      <c r="F1" s="2" t="s">
        <v>1</v>
      </c>
      <c r="G1" s="2" t="str">
        <f>'Stats G2'!B1</f>
        <v>Team Erickson</v>
      </c>
    </row>
    <row r="2" spans="2:12" ht="15.75" customHeight="1" x14ac:dyDescent="0.2">
      <c r="B2" s="2" t="str">
        <f>G1</f>
        <v>Team Erickson</v>
      </c>
      <c r="D2" s="2" t="str">
        <f>G20</f>
        <v>Team Covington</v>
      </c>
      <c r="F2" s="2" t="s">
        <v>2</v>
      </c>
      <c r="G2" s="2" t="s">
        <v>3</v>
      </c>
      <c r="H2" s="2" t="s">
        <v>4</v>
      </c>
      <c r="I2" s="2" t="s">
        <v>5</v>
      </c>
      <c r="J2" s="2" t="s">
        <v>6</v>
      </c>
      <c r="K2" s="2" t="s">
        <v>7</v>
      </c>
      <c r="L2" s="2" t="s">
        <v>8</v>
      </c>
    </row>
    <row r="3" spans="2:12" ht="15.75" customHeight="1" x14ac:dyDescent="0.2">
      <c r="B3" s="2">
        <f>I18</f>
        <v>18</v>
      </c>
      <c r="C3" s="3" t="s">
        <v>9</v>
      </c>
      <c r="D3" s="4">
        <f>I37</f>
        <v>11</v>
      </c>
      <c r="F3" s="2" t="str">
        <f>'Stats G2'!A3</f>
        <v>Taylor</v>
      </c>
      <c r="G3" s="2" t="str">
        <f>'Stats G2'!B3</f>
        <v>Miller</v>
      </c>
      <c r="H3" s="2">
        <f>'Stats G2'!C3</f>
        <v>20</v>
      </c>
      <c r="I3" s="2">
        <f>'Stats G2'!E3</f>
        <v>0</v>
      </c>
      <c r="J3" s="2">
        <f>'Stats G2'!H3</f>
        <v>0</v>
      </c>
      <c r="K3" s="2">
        <f t="shared" ref="K3:K17" si="0">J3+I3</f>
        <v>0</v>
      </c>
      <c r="L3" s="2">
        <f>'Stats G2'!K3</f>
        <v>0</v>
      </c>
    </row>
    <row r="4" spans="2:12" ht="15.75" customHeight="1" x14ac:dyDescent="0.2">
      <c r="F4" s="2" t="str">
        <f>'Stats G2'!A4</f>
        <v>Alrek</v>
      </c>
      <c r="G4" s="2" t="str">
        <f>'Stats G2'!B4</f>
        <v>Greenhalgh</v>
      </c>
      <c r="H4" s="2">
        <f>'Stats G2'!C4</f>
        <v>3</v>
      </c>
      <c r="I4" s="2">
        <f>'Stats G2'!E4</f>
        <v>1</v>
      </c>
      <c r="J4" s="2">
        <f>'Stats G2'!H4</f>
        <v>3</v>
      </c>
      <c r="K4" s="2">
        <f t="shared" si="0"/>
        <v>4</v>
      </c>
      <c r="L4" s="2">
        <f>'Stats G2'!K4</f>
        <v>0</v>
      </c>
    </row>
    <row r="5" spans="2:12" ht="15.75" customHeight="1" x14ac:dyDescent="0.2">
      <c r="F5" s="2" t="str">
        <f>'Stats G2'!A5</f>
        <v>Gideon</v>
      </c>
      <c r="G5" s="2" t="str">
        <f>'Stats G2'!B5</f>
        <v>George</v>
      </c>
      <c r="H5" s="2">
        <f>'Stats G2'!C5</f>
        <v>5</v>
      </c>
      <c r="I5" s="2">
        <f>'Stats G2'!E5</f>
        <v>0</v>
      </c>
      <c r="J5" s="2">
        <f>'Stats G2'!H5</f>
        <v>0</v>
      </c>
      <c r="K5" s="2">
        <f t="shared" si="0"/>
        <v>0</v>
      </c>
      <c r="L5" s="2">
        <f>'Stats G2'!K5</f>
        <v>0</v>
      </c>
    </row>
    <row r="6" spans="2:12" ht="15.75" customHeight="1" x14ac:dyDescent="0.2">
      <c r="F6" s="2" t="str">
        <f>'Stats G2'!A6</f>
        <v>Brock</v>
      </c>
      <c r="G6" s="2" t="str">
        <f>'Stats G2'!B6</f>
        <v>Anderson</v>
      </c>
      <c r="H6" s="2">
        <f>'Stats G2'!C6</f>
        <v>30</v>
      </c>
      <c r="I6" s="2">
        <f>'Stats G2'!E6</f>
        <v>0</v>
      </c>
      <c r="J6" s="2">
        <f>'Stats G2'!H6</f>
        <v>0</v>
      </c>
      <c r="K6" s="2">
        <f t="shared" si="0"/>
        <v>0</v>
      </c>
      <c r="L6" s="2">
        <f>'Stats G2'!K6</f>
        <v>0</v>
      </c>
    </row>
    <row r="7" spans="2:12" ht="15.75" customHeight="1" x14ac:dyDescent="0.2">
      <c r="F7" s="2" t="str">
        <f>'Stats G2'!A7</f>
        <v>Dalton</v>
      </c>
      <c r="G7" s="2" t="str">
        <f>'Stats G2'!B7</f>
        <v>Nixon</v>
      </c>
      <c r="H7" s="2">
        <f>'Stats G2'!C7</f>
        <v>4</v>
      </c>
      <c r="I7" s="2">
        <f>'Stats G2'!E7</f>
        <v>4</v>
      </c>
      <c r="J7" s="2">
        <f>'Stats G2'!H7</f>
        <v>8</v>
      </c>
      <c r="K7" s="2">
        <f t="shared" si="0"/>
        <v>12</v>
      </c>
      <c r="L7" s="2">
        <f>'Stats G2'!K7</f>
        <v>6</v>
      </c>
    </row>
    <row r="8" spans="2:12" ht="15.75" customHeight="1" x14ac:dyDescent="0.2">
      <c r="F8" s="2" t="str">
        <f>'Stats G2'!A8</f>
        <v>Taylor</v>
      </c>
      <c r="G8" s="2" t="str">
        <f>'Stats G2'!B8</f>
        <v>Funk</v>
      </c>
      <c r="H8" s="2">
        <f>'Stats G2'!C8</f>
        <v>13</v>
      </c>
      <c r="I8" s="2">
        <f>'Stats G2'!E8</f>
        <v>0</v>
      </c>
      <c r="J8" s="2">
        <f>'Stats G2'!H8</f>
        <v>0</v>
      </c>
      <c r="K8" s="2">
        <f t="shared" si="0"/>
        <v>0</v>
      </c>
      <c r="L8" s="2">
        <f>'Stats G2'!K8</f>
        <v>1</v>
      </c>
    </row>
    <row r="9" spans="2:12" ht="15.75" customHeight="1" x14ac:dyDescent="0.2">
      <c r="F9" s="2" t="str">
        <f>'Stats G2'!A9</f>
        <v>Hunter</v>
      </c>
      <c r="G9" s="2" t="str">
        <f>'Stats G2'!B9</f>
        <v>Erickson</v>
      </c>
      <c r="H9" s="2">
        <f>'Stats G2'!C9</f>
        <v>0</v>
      </c>
      <c r="I9" s="2">
        <f>'Stats G2'!E9</f>
        <v>5</v>
      </c>
      <c r="J9" s="2">
        <f>'Stats G2'!H9</f>
        <v>6</v>
      </c>
      <c r="K9" s="2">
        <f t="shared" si="0"/>
        <v>11</v>
      </c>
      <c r="L9" s="2">
        <f>'Stats G2'!K9</f>
        <v>4</v>
      </c>
    </row>
    <row r="10" spans="2:12" ht="15.75" customHeight="1" x14ac:dyDescent="0.2">
      <c r="F10" s="2" t="str">
        <f>'Stats G2'!A10</f>
        <v>Dayon</v>
      </c>
      <c r="G10" s="2" t="str">
        <f>'Stats G2'!B10</f>
        <v>Goodman</v>
      </c>
      <c r="H10" s="2">
        <f>'Stats G2'!C10</f>
        <v>35</v>
      </c>
      <c r="I10" s="2">
        <f>'Stats G2'!E10</f>
        <v>0</v>
      </c>
      <c r="J10" s="2">
        <f>'Stats G2'!H10</f>
        <v>0</v>
      </c>
      <c r="K10" s="2">
        <f t="shared" si="0"/>
        <v>0</v>
      </c>
      <c r="L10" s="2">
        <f>'Stats G2'!K10</f>
        <v>0</v>
      </c>
    </row>
    <row r="11" spans="2:12" ht="15.75" customHeight="1" x14ac:dyDescent="0.2">
      <c r="F11" s="2" t="str">
        <f>'Stats G2'!A11</f>
        <v>Trey</v>
      </c>
      <c r="G11" s="2" t="str">
        <f>'Stats G2'!B11</f>
        <v>Stewart</v>
      </c>
      <c r="H11" s="2">
        <f>'Stats G2'!C11</f>
        <v>1</v>
      </c>
      <c r="I11" s="2">
        <f>'Stats G2'!E11</f>
        <v>1</v>
      </c>
      <c r="J11" s="2">
        <f>'Stats G2'!H11</f>
        <v>5</v>
      </c>
      <c r="K11" s="2">
        <f t="shared" si="0"/>
        <v>6</v>
      </c>
      <c r="L11" s="2">
        <f>'Stats G2'!K11</f>
        <v>5</v>
      </c>
    </row>
    <row r="12" spans="2:12" ht="15.75" customHeight="1" x14ac:dyDescent="0.2">
      <c r="F12" s="2" t="str">
        <f>'Stats G2'!A12</f>
        <v>Layannick</v>
      </c>
      <c r="G12" s="2" t="str">
        <f>'Stats G2'!B12</f>
        <v>Illunga</v>
      </c>
      <c r="H12" s="2">
        <f>'Stats G2'!C12</f>
        <v>13</v>
      </c>
      <c r="I12" s="2">
        <f>'Stats G2'!E12</f>
        <v>0</v>
      </c>
      <c r="J12" s="2">
        <f>'Stats G2'!H12</f>
        <v>3</v>
      </c>
      <c r="K12" s="2">
        <f t="shared" si="0"/>
        <v>3</v>
      </c>
      <c r="L12" s="2">
        <f>'Stats G2'!K12</f>
        <v>2</v>
      </c>
    </row>
    <row r="13" spans="2:12" ht="15.75" customHeight="1" x14ac:dyDescent="0.2">
      <c r="F13" s="2" t="str">
        <f>'Stats G2'!A13</f>
        <v>Stefan</v>
      </c>
      <c r="G13" s="2" t="str">
        <f>'Stats G2'!B13</f>
        <v>Briggs</v>
      </c>
      <c r="H13" s="2">
        <f>'Stats G2'!C13</f>
        <v>45</v>
      </c>
      <c r="I13" s="2">
        <f>'Stats G2'!E13</f>
        <v>2</v>
      </c>
      <c r="J13" s="2">
        <f>'Stats G2'!H13</f>
        <v>0</v>
      </c>
      <c r="K13" s="2">
        <f t="shared" si="0"/>
        <v>2</v>
      </c>
      <c r="L13" s="2">
        <f>'Stats G2'!K13</f>
        <v>0</v>
      </c>
    </row>
    <row r="14" spans="2:12" ht="15.75" customHeight="1" x14ac:dyDescent="0.2">
      <c r="F14" s="2" t="str">
        <f>'Stats G2'!A14</f>
        <v>Sam</v>
      </c>
      <c r="G14" s="2" t="str">
        <f>'Stats G2'!B14</f>
        <v>Jex</v>
      </c>
      <c r="H14" s="2">
        <f>'Stats G2'!C14</f>
        <v>0</v>
      </c>
      <c r="I14" s="2">
        <f>'Stats G2'!E14</f>
        <v>2</v>
      </c>
      <c r="J14" s="2">
        <f>'Stats G2'!H14</f>
        <v>0</v>
      </c>
      <c r="K14" s="2">
        <f t="shared" si="0"/>
        <v>2</v>
      </c>
      <c r="L14" s="2">
        <f>'Stats G2'!K14</f>
        <v>0</v>
      </c>
    </row>
    <row r="15" spans="2:12" ht="15.75" customHeight="1" x14ac:dyDescent="0.2">
      <c r="F15" s="2" t="str">
        <f>'Stats G2'!A15</f>
        <v>Tejon</v>
      </c>
      <c r="G15" s="2" t="str">
        <f>'Stats G2'!B15</f>
        <v>Lucas</v>
      </c>
      <c r="H15" s="2">
        <f>'Stats G2'!C15</f>
        <v>23</v>
      </c>
      <c r="I15" s="2">
        <f>'Stats G2'!E15</f>
        <v>3</v>
      </c>
      <c r="J15" s="2">
        <f>'Stats G2'!H15</f>
        <v>1</v>
      </c>
      <c r="K15" s="2">
        <f t="shared" si="0"/>
        <v>4</v>
      </c>
      <c r="L15" s="2">
        <f>'Stats G2'!K15</f>
        <v>1</v>
      </c>
    </row>
    <row r="16" spans="2:12" ht="15.75" customHeight="1" x14ac:dyDescent="0.2">
      <c r="F16" s="2" t="str">
        <f>'Stats G2'!A16</f>
        <v>?</v>
      </c>
      <c r="G16" s="2" t="str">
        <f>'Stats G2'!B16</f>
        <v>?</v>
      </c>
      <c r="H16" s="2" t="str">
        <f>'Stats G2'!C16</f>
        <v/>
      </c>
      <c r="I16" s="2">
        <f>'Stats G2'!E16</f>
        <v>0</v>
      </c>
      <c r="J16" s="2">
        <f>'Stats G2'!H16</f>
        <v>0</v>
      </c>
      <c r="K16" s="2">
        <f t="shared" si="0"/>
        <v>0</v>
      </c>
      <c r="L16" s="2">
        <f>'Stats G2'!K16</f>
        <v>0</v>
      </c>
    </row>
    <row r="17" spans="6:12" ht="15.75" customHeight="1" x14ac:dyDescent="0.2">
      <c r="F17" s="2" t="str">
        <f>'Stats G2'!A17</f>
        <v>?</v>
      </c>
      <c r="G17" s="2" t="str">
        <f>'Stats G2'!B17</f>
        <v>?</v>
      </c>
      <c r="H17" s="2" t="str">
        <f>'Stats G2'!C17</f>
        <v/>
      </c>
      <c r="I17" s="2">
        <f>'Stats G2'!E17</f>
        <v>0</v>
      </c>
      <c r="J17" s="2">
        <f>'Stats G2'!H17</f>
        <v>0</v>
      </c>
      <c r="K17" s="2">
        <f t="shared" si="0"/>
        <v>0</v>
      </c>
      <c r="L17" s="2">
        <f>'Stats G2'!K17</f>
        <v>0</v>
      </c>
    </row>
    <row r="18" spans="6:12" ht="15.75" customHeight="1" x14ac:dyDescent="0.2">
      <c r="H18" s="1" t="s">
        <v>10</v>
      </c>
      <c r="I18" s="2">
        <f t="shared" ref="I18:L18" si="1">SUM(I3:I17)</f>
        <v>18</v>
      </c>
      <c r="J18" s="2">
        <f t="shared" si="1"/>
        <v>26</v>
      </c>
      <c r="K18" s="2">
        <f t="shared" si="1"/>
        <v>44</v>
      </c>
      <c r="L18" s="2">
        <f t="shared" si="1"/>
        <v>19</v>
      </c>
    </row>
    <row r="19" spans="6:12" ht="15.75" customHeight="1" x14ac:dyDescent="0.2"/>
    <row r="20" spans="6:12" ht="15.75" customHeight="1" x14ac:dyDescent="0.2">
      <c r="F20" s="2" t="s">
        <v>11</v>
      </c>
      <c r="G20" s="2" t="str">
        <f>'Stats G2'!B19</f>
        <v>Team Covington</v>
      </c>
    </row>
    <row r="21" spans="6:12" ht="15.75" customHeight="1" x14ac:dyDescent="0.2">
      <c r="F21" s="2" t="s">
        <v>2</v>
      </c>
      <c r="G21" s="2" t="s">
        <v>3</v>
      </c>
      <c r="H21" s="2" t="s">
        <v>4</v>
      </c>
      <c r="I21" s="2" t="s">
        <v>5</v>
      </c>
      <c r="J21" s="2" t="s">
        <v>6</v>
      </c>
      <c r="K21" s="2" t="s">
        <v>7</v>
      </c>
      <c r="L21" s="2" t="s">
        <v>8</v>
      </c>
    </row>
    <row r="22" spans="6:12" ht="15.75" customHeight="1" x14ac:dyDescent="0.2">
      <c r="F22" s="2" t="str">
        <f>'Stats G2'!A21</f>
        <v>Andre</v>
      </c>
      <c r="G22" s="2" t="str">
        <f>'Stats G2'!B21</f>
        <v>Mulibea</v>
      </c>
      <c r="H22" s="2">
        <f>'Stats G2'!C21</f>
        <v>34</v>
      </c>
      <c r="I22" s="2">
        <f>'Stats G2'!E21</f>
        <v>0</v>
      </c>
      <c r="J22" s="2">
        <f>'Stats G2'!H21</f>
        <v>1</v>
      </c>
      <c r="K22" s="2">
        <f t="shared" ref="K22:K36" si="2">J22+I22</f>
        <v>1</v>
      </c>
      <c r="L22" s="2">
        <f>'Stats G2'!K21</f>
        <v>0</v>
      </c>
    </row>
    <row r="23" spans="6:12" ht="15.75" customHeight="1" x14ac:dyDescent="0.2">
      <c r="F23" s="2" t="str">
        <f>'Stats G2'!A22</f>
        <v>Jaxon</v>
      </c>
      <c r="G23" s="2" t="str">
        <f>'Stats G2'!B22</f>
        <v>Pollard</v>
      </c>
      <c r="H23" s="2">
        <f>'Stats G2'!C22</f>
        <v>4</v>
      </c>
      <c r="I23" s="2">
        <f>'Stats G2'!E22</f>
        <v>2</v>
      </c>
      <c r="J23" s="2">
        <f>'Stats G2'!H22</f>
        <v>4</v>
      </c>
      <c r="K23" s="2">
        <f t="shared" si="2"/>
        <v>6</v>
      </c>
      <c r="L23" s="2">
        <f>'Stats G2'!K22</f>
        <v>4</v>
      </c>
    </row>
    <row r="24" spans="6:12" ht="15.75" customHeight="1" x14ac:dyDescent="0.2">
      <c r="F24" s="2" t="str">
        <f>'Stats G2'!A23</f>
        <v>Tyson</v>
      </c>
      <c r="G24" s="2" t="str">
        <f>'Stats G2'!B23</f>
        <v>Garff</v>
      </c>
      <c r="H24" s="2">
        <f>'Stats G2'!C23</f>
        <v>21</v>
      </c>
      <c r="I24" s="2">
        <f>'Stats G2'!E23</f>
        <v>0</v>
      </c>
      <c r="J24" s="2">
        <f>'Stats G2'!H23</f>
        <v>4</v>
      </c>
      <c r="K24" s="2">
        <f t="shared" si="2"/>
        <v>4</v>
      </c>
      <c r="L24" s="2">
        <f>'Stats G2'!K23</f>
        <v>2</v>
      </c>
    </row>
    <row r="25" spans="6:12" ht="15.75" customHeight="1" x14ac:dyDescent="0.2">
      <c r="F25" s="2" t="str">
        <f>'Stats G2'!A24</f>
        <v>Tanner</v>
      </c>
      <c r="G25" s="2" t="str">
        <f>'Stats G2'!B24</f>
        <v>Cuff</v>
      </c>
      <c r="H25" s="2">
        <f>'Stats G2'!C24</f>
        <v>87</v>
      </c>
      <c r="I25" s="2">
        <f>'Stats G2'!E24</f>
        <v>0</v>
      </c>
      <c r="J25" s="2">
        <f>'Stats G2'!H24</f>
        <v>0</v>
      </c>
      <c r="K25" s="2">
        <f t="shared" si="2"/>
        <v>0</v>
      </c>
      <c r="L25" s="2">
        <f>'Stats G2'!K24</f>
        <v>0</v>
      </c>
    </row>
    <row r="26" spans="6:12" ht="15.75" customHeight="1" x14ac:dyDescent="0.2">
      <c r="F26" s="2" t="str">
        <f>'Stats G2'!A25</f>
        <v>Brady</v>
      </c>
      <c r="G26" s="2" t="str">
        <f>'Stats G2'!B25</f>
        <v>Smith</v>
      </c>
      <c r="H26" s="2">
        <f>'Stats G2'!C25</f>
        <v>23</v>
      </c>
      <c r="I26" s="2">
        <f>'Stats G2'!E25</f>
        <v>1</v>
      </c>
      <c r="J26" s="2">
        <f>'Stats G2'!H25</f>
        <v>4</v>
      </c>
      <c r="K26" s="2">
        <f t="shared" si="2"/>
        <v>5</v>
      </c>
      <c r="L26" s="2">
        <f>'Stats G2'!K25</f>
        <v>1</v>
      </c>
    </row>
    <row r="27" spans="6:12" ht="15.75" customHeight="1" x14ac:dyDescent="0.2">
      <c r="F27" s="2" t="str">
        <f>'Stats G2'!A26</f>
        <v>Nick</v>
      </c>
      <c r="G27" s="2" t="str">
        <f>'Stats G2'!B26</f>
        <v>Covington</v>
      </c>
      <c r="H27" s="2">
        <f>'Stats G2'!C26</f>
        <v>2</v>
      </c>
      <c r="I27" s="2">
        <f>'Stats G2'!E26</f>
        <v>0</v>
      </c>
      <c r="J27" s="2">
        <f>'Stats G2'!H26</f>
        <v>0</v>
      </c>
      <c r="K27" s="2">
        <f t="shared" si="2"/>
        <v>0</v>
      </c>
      <c r="L27" s="2">
        <f>'Stats G2'!K26</f>
        <v>0</v>
      </c>
    </row>
    <row r="28" spans="6:12" ht="15.75" customHeight="1" x14ac:dyDescent="0.2">
      <c r="F28" s="2" t="str">
        <f>'Stats G2'!A27</f>
        <v>Hayden</v>
      </c>
      <c r="G28" s="2" t="str">
        <f>'Stats G2'!B27</f>
        <v>Fransen</v>
      </c>
      <c r="H28" s="2">
        <f>'Stats G2'!C27</f>
        <v>10</v>
      </c>
      <c r="I28" s="2">
        <f>'Stats G2'!E27</f>
        <v>0</v>
      </c>
      <c r="J28" s="2">
        <f>'Stats G2'!H27</f>
        <v>2</v>
      </c>
      <c r="K28" s="2">
        <f t="shared" si="2"/>
        <v>2</v>
      </c>
      <c r="L28" s="2">
        <f>'Stats G2'!K27</f>
        <v>0</v>
      </c>
    </row>
    <row r="29" spans="6:12" ht="15.75" customHeight="1" x14ac:dyDescent="0.2">
      <c r="F29" s="2" t="str">
        <f>'Stats G2'!A28</f>
        <v>Jared</v>
      </c>
      <c r="G29" s="2" t="str">
        <f>'Stats G2'!B28</f>
        <v>Garcia</v>
      </c>
      <c r="H29" s="2">
        <f>'Stats G2'!C28</f>
        <v>25</v>
      </c>
      <c r="I29" s="2">
        <f>'Stats G2'!E28</f>
        <v>3</v>
      </c>
      <c r="J29" s="2">
        <f>'Stats G2'!H28</f>
        <v>8</v>
      </c>
      <c r="K29" s="2">
        <f t="shared" si="2"/>
        <v>11</v>
      </c>
      <c r="L29" s="2">
        <f>'Stats G2'!K28</f>
        <v>1</v>
      </c>
    </row>
    <row r="30" spans="6:12" ht="15.75" customHeight="1" x14ac:dyDescent="0.2">
      <c r="F30" s="2" t="str">
        <f>'Stats G2'!A29</f>
        <v>Macea</v>
      </c>
      <c r="G30" s="2" t="str">
        <f>'Stats G2'!B29</f>
        <v>Austin</v>
      </c>
      <c r="H30" s="2">
        <f>'Stats G2'!C29</f>
        <v>3</v>
      </c>
      <c r="I30" s="2">
        <f>'Stats G2'!E29</f>
        <v>1</v>
      </c>
      <c r="J30" s="2">
        <f>'Stats G2'!H29</f>
        <v>0</v>
      </c>
      <c r="K30" s="2">
        <f t="shared" si="2"/>
        <v>1</v>
      </c>
      <c r="L30" s="2">
        <f>'Stats G2'!K29</f>
        <v>0</v>
      </c>
    </row>
    <row r="31" spans="6:12" ht="15.75" customHeight="1" x14ac:dyDescent="0.2">
      <c r="F31" s="2" t="str">
        <f>'Stats G2'!A30</f>
        <v>Austin</v>
      </c>
      <c r="G31" s="2" t="str">
        <f>'Stats G2'!B30</f>
        <v>Hayhurst</v>
      </c>
      <c r="H31" s="2">
        <f>'Stats G2'!C30</f>
        <v>33</v>
      </c>
      <c r="I31" s="2">
        <f>'Stats G2'!E30</f>
        <v>1</v>
      </c>
      <c r="J31" s="2">
        <f>'Stats G2'!H30</f>
        <v>0</v>
      </c>
      <c r="K31" s="2">
        <f t="shared" si="2"/>
        <v>1</v>
      </c>
      <c r="L31" s="2">
        <f>'Stats G2'!K30</f>
        <v>1</v>
      </c>
    </row>
    <row r="32" spans="6:12" ht="15.75" customHeight="1" x14ac:dyDescent="0.2">
      <c r="F32" s="2" t="str">
        <f>'Stats G2'!A31</f>
        <v>Dwayne</v>
      </c>
      <c r="G32" s="2" t="str">
        <f>'Stats G2'!B31</f>
        <v>Koroma</v>
      </c>
      <c r="H32" s="2">
        <f>'Stats G2'!C31</f>
        <v>16</v>
      </c>
      <c r="I32" s="2">
        <f>'Stats G2'!E31</f>
        <v>2</v>
      </c>
      <c r="J32" s="2">
        <f>'Stats G2'!H31</f>
        <v>5</v>
      </c>
      <c r="K32" s="2">
        <f t="shared" si="2"/>
        <v>7</v>
      </c>
      <c r="L32" s="2">
        <f>'Stats G2'!K31</f>
        <v>1</v>
      </c>
    </row>
    <row r="33" spans="6:12" ht="15.75" customHeight="1" x14ac:dyDescent="0.2">
      <c r="F33" s="2" t="str">
        <f>'Stats G2'!A32</f>
        <v>Jaxon</v>
      </c>
      <c r="G33" s="2" t="str">
        <f>'Stats G2'!B32</f>
        <v>Heiden</v>
      </c>
      <c r="H33" s="2">
        <f>'Stats G2'!C32</f>
        <v>14</v>
      </c>
      <c r="I33" s="2">
        <f>'Stats G2'!E32</f>
        <v>1</v>
      </c>
      <c r="J33" s="2">
        <f>'Stats G2'!H32</f>
        <v>4</v>
      </c>
      <c r="K33" s="2">
        <f t="shared" si="2"/>
        <v>5</v>
      </c>
      <c r="L33" s="2">
        <f>'Stats G2'!K32</f>
        <v>1</v>
      </c>
    </row>
    <row r="34" spans="6:12" ht="15.75" customHeight="1" x14ac:dyDescent="0.2">
      <c r="F34" s="2" t="str">
        <f>'Stats G2'!A33</f>
        <v>Cam</v>
      </c>
      <c r="G34" s="2" t="str">
        <f>'Stats G2'!B33</f>
        <v>Clarke</v>
      </c>
      <c r="H34" s="2">
        <f>'Stats G2'!C33</f>
        <v>1</v>
      </c>
      <c r="I34" s="2">
        <f>'Stats G2'!E33</f>
        <v>0</v>
      </c>
      <c r="J34" s="2">
        <f>'Stats G2'!H33</f>
        <v>2</v>
      </c>
      <c r="K34" s="2">
        <f t="shared" si="2"/>
        <v>2</v>
      </c>
      <c r="L34" s="2">
        <f>'Stats G2'!K33</f>
        <v>0</v>
      </c>
    </row>
    <row r="35" spans="6:12" ht="15.75" customHeight="1" x14ac:dyDescent="0.2">
      <c r="F35" s="2" t="str">
        <f>'Stats G2'!A34</f>
        <v>?</v>
      </c>
      <c r="G35" s="2" t="str">
        <f>'Stats G2'!B34</f>
        <v>?</v>
      </c>
      <c r="H35" s="2" t="str">
        <f>'Stats G2'!C34</f>
        <v/>
      </c>
      <c r="I35" s="2">
        <f>'Stats G2'!E34</f>
        <v>0</v>
      </c>
      <c r="J35" s="2">
        <f>'Stats G2'!H34</f>
        <v>0</v>
      </c>
      <c r="K35" s="2">
        <f t="shared" si="2"/>
        <v>0</v>
      </c>
      <c r="L35" s="2">
        <f>'Stats G2'!K34</f>
        <v>0</v>
      </c>
    </row>
    <row r="36" spans="6:12" ht="15.75" customHeight="1" x14ac:dyDescent="0.2">
      <c r="F36" s="2" t="str">
        <f>'Stats G2'!A35</f>
        <v>?</v>
      </c>
      <c r="G36" s="2" t="str">
        <f>'Stats G2'!B35</f>
        <v>?</v>
      </c>
      <c r="H36" s="2" t="str">
        <f>'Stats G2'!C35</f>
        <v/>
      </c>
      <c r="I36" s="2">
        <f>'Stats G2'!E35</f>
        <v>0</v>
      </c>
      <c r="J36" s="2">
        <f>'Stats G2'!H35</f>
        <v>0</v>
      </c>
      <c r="K36" s="2">
        <f t="shared" si="2"/>
        <v>0</v>
      </c>
      <c r="L36" s="2">
        <f>'Stats G2'!K35</f>
        <v>0</v>
      </c>
    </row>
    <row r="37" spans="6:12" ht="15.75" customHeight="1" x14ac:dyDescent="0.2">
      <c r="H37" s="1" t="s">
        <v>10</v>
      </c>
      <c r="I37" s="2">
        <f t="shared" ref="I37:L37" si="3">SUM(I22:I36)</f>
        <v>11</v>
      </c>
      <c r="J37" s="2">
        <f t="shared" si="3"/>
        <v>34</v>
      </c>
      <c r="K37" s="2">
        <f t="shared" si="3"/>
        <v>45</v>
      </c>
      <c r="L37" s="2">
        <f t="shared" si="3"/>
        <v>11</v>
      </c>
    </row>
    <row r="38" spans="6:12" ht="15.75" customHeight="1" x14ac:dyDescent="0.2"/>
    <row r="39" spans="6:12" ht="15.75" customHeight="1" x14ac:dyDescent="0.2"/>
    <row r="40" spans="6:12" ht="15.75" customHeight="1" x14ac:dyDescent="0.2"/>
    <row r="41" spans="6:12" ht="15.75" customHeight="1" x14ac:dyDescent="0.2"/>
    <row r="42" spans="6:12" ht="15.75" customHeight="1" x14ac:dyDescent="0.2"/>
    <row r="43" spans="6:12" ht="15.75" customHeight="1" x14ac:dyDescent="0.2"/>
    <row r="44" spans="6:12" ht="15.75" customHeight="1" x14ac:dyDescent="0.2"/>
    <row r="45" spans="6:12" ht="15.75" customHeight="1" x14ac:dyDescent="0.2"/>
    <row r="46" spans="6:12" ht="15.75" customHeight="1" x14ac:dyDescent="0.2"/>
    <row r="47" spans="6:12" ht="15.75" customHeight="1" x14ac:dyDescent="0.2"/>
    <row r="48" spans="6:12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conditionalFormatting sqref="B3">
    <cfRule type="cellIs" dxfId="1" priority="1" operator="greaterThan">
      <formula>$D$3</formula>
    </cfRule>
  </conditionalFormatting>
  <conditionalFormatting sqref="D3">
    <cfRule type="cellIs" dxfId="0" priority="2" operator="greaterThan">
      <formula>$B$3</formula>
    </cfRule>
  </conditionalFormatting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Z1000"/>
  <sheetViews>
    <sheetView tabSelected="1" workbookViewId="0">
      <selection activeCell="B12" sqref="B12"/>
    </sheetView>
  </sheetViews>
  <sheetFormatPr baseColWidth="10" defaultColWidth="11.1640625" defaultRowHeight="15" customHeight="1" x14ac:dyDescent="0.2"/>
  <cols>
    <col min="1" max="1" width="10.5" customWidth="1"/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  <col min="25" max="26" width="10.5" customWidth="1"/>
  </cols>
  <sheetData>
    <row r="1" spans="1:26" ht="15.75" customHeight="1" x14ac:dyDescent="0.2">
      <c r="A1" s="1" t="s">
        <v>12</v>
      </c>
      <c r="B1" s="5" t="s">
        <v>13</v>
      </c>
    </row>
    <row r="2" spans="1:26" ht="15.75" customHeight="1" x14ac:dyDescent="0.2">
      <c r="A2" s="2" t="s">
        <v>2</v>
      </c>
      <c r="B2" s="2" t="s">
        <v>3</v>
      </c>
      <c r="C2" s="2" t="s">
        <v>4</v>
      </c>
      <c r="E2" s="2" t="s">
        <v>5</v>
      </c>
      <c r="H2" s="2" t="s">
        <v>6</v>
      </c>
      <c r="K2" s="2" t="s">
        <v>8</v>
      </c>
    </row>
    <row r="3" spans="1:26" ht="15.75" customHeight="1" x14ac:dyDescent="0.2">
      <c r="A3" s="6" t="str">
        <f>_xlfn.IFNA(VLOOKUP($B$1&amp;ROWS($A$3:A3),Rosters!$B$2:$C$163,2,0),"?")</f>
        <v>Taylor</v>
      </c>
      <c r="B3" s="6" t="str">
        <f>_xlfn.IFNA(VLOOKUP($B$1&amp;ROWS($B$3:B3),Rosters!$B$2:$D$163,3,0),"?")</f>
        <v>Miller</v>
      </c>
      <c r="C3" s="6">
        <f>_xlfn.IFNA(VLOOKUP($B$1&amp;ROWS($C$3:C3),Rosters!$B$2:$E$163,4,0),"")</f>
        <v>20</v>
      </c>
      <c r="D3" s="6"/>
      <c r="E3" s="6">
        <v>0</v>
      </c>
      <c r="F3" s="6"/>
      <c r="G3" s="6"/>
      <c r="H3" s="6">
        <v>0</v>
      </c>
      <c r="I3" s="6"/>
      <c r="J3" s="6"/>
      <c r="K3" s="6">
        <v>0</v>
      </c>
      <c r="L3" s="6"/>
      <c r="M3" s="6"/>
      <c r="N3" s="6">
        <v>0</v>
      </c>
      <c r="O3" s="6"/>
      <c r="P3" s="6"/>
      <c r="Q3" s="6">
        <v>0</v>
      </c>
      <c r="R3" s="6"/>
      <c r="S3" s="6"/>
      <c r="T3" s="6">
        <v>0</v>
      </c>
      <c r="U3" s="6"/>
      <c r="V3" s="6"/>
      <c r="W3" s="6">
        <v>0</v>
      </c>
      <c r="X3" s="6"/>
      <c r="Y3" s="7"/>
      <c r="Z3" s="7"/>
    </row>
    <row r="4" spans="1:26" ht="15.75" customHeight="1" x14ac:dyDescent="0.2">
      <c r="A4" s="7" t="str">
        <f>_xlfn.IFNA(VLOOKUP($B$1&amp;ROWS($A$3:A4),Rosters!$B$2:$C$163,2,0),"?")</f>
        <v>Alrek</v>
      </c>
      <c r="B4" s="7" t="str">
        <f>_xlfn.IFNA(VLOOKUP($B$1&amp;ROWS($B$3:B4),Rosters!$B$2:$D$163,3,0),"?")</f>
        <v>Greenhalgh</v>
      </c>
      <c r="C4" s="7">
        <f>_xlfn.IFNA(VLOOKUP($B$1&amp;ROWS($C$3:C4),Rosters!$B$2:$E$163,4,0),"")</f>
        <v>3</v>
      </c>
      <c r="D4" s="7"/>
      <c r="E4" s="8">
        <v>1</v>
      </c>
      <c r="F4" s="7"/>
      <c r="G4" s="7"/>
      <c r="H4" s="8">
        <v>3</v>
      </c>
      <c r="I4" s="7"/>
      <c r="J4" s="7"/>
      <c r="K4" s="7">
        <v>0</v>
      </c>
      <c r="L4" s="7"/>
      <c r="M4" s="7"/>
      <c r="N4" s="7">
        <v>0</v>
      </c>
      <c r="O4" s="7"/>
      <c r="P4" s="7"/>
      <c r="Q4" s="7">
        <v>0</v>
      </c>
      <c r="R4" s="7"/>
      <c r="S4" s="7"/>
      <c r="T4" s="7">
        <v>0</v>
      </c>
      <c r="U4" s="7"/>
      <c r="V4" s="7"/>
      <c r="W4" s="7">
        <v>0</v>
      </c>
      <c r="X4" s="7"/>
      <c r="Y4" s="7"/>
      <c r="Z4" s="7"/>
    </row>
    <row r="5" spans="1:26" ht="15.75" customHeight="1" x14ac:dyDescent="0.2">
      <c r="A5" s="6" t="str">
        <f>_xlfn.IFNA(VLOOKUP($B$1&amp;ROWS($A$3:A5),Rosters!$B$2:$C$163,2,0),"?")</f>
        <v>Gideon</v>
      </c>
      <c r="B5" s="6" t="str">
        <f>_xlfn.IFNA(VLOOKUP($B$1&amp;ROWS($B$3:B5),Rosters!$B$2:$D$163,3,0),"?")</f>
        <v>George</v>
      </c>
      <c r="C5" s="6">
        <f>_xlfn.IFNA(VLOOKUP($B$1&amp;ROWS($C$3:C5),Rosters!$B$2:$E$163,4,0),"")</f>
        <v>5</v>
      </c>
      <c r="D5" s="6"/>
      <c r="E5" s="6">
        <v>0</v>
      </c>
      <c r="F5" s="6"/>
      <c r="G5" s="6"/>
      <c r="H5" s="6">
        <v>0</v>
      </c>
      <c r="I5" s="6"/>
      <c r="J5" s="6"/>
      <c r="K5" s="6">
        <v>0</v>
      </c>
      <c r="L5" s="6"/>
      <c r="M5" s="6"/>
      <c r="N5" s="6">
        <v>0</v>
      </c>
      <c r="O5" s="6"/>
      <c r="P5" s="6"/>
      <c r="Q5" s="6">
        <v>0</v>
      </c>
      <c r="R5" s="6"/>
      <c r="S5" s="6"/>
      <c r="T5" s="6">
        <v>0</v>
      </c>
      <c r="U5" s="6"/>
      <c r="V5" s="6"/>
      <c r="W5" s="6">
        <v>0</v>
      </c>
      <c r="X5" s="6"/>
      <c r="Y5" s="7"/>
      <c r="Z5" s="7"/>
    </row>
    <row r="6" spans="1:26" ht="15.75" customHeight="1" x14ac:dyDescent="0.2">
      <c r="A6" s="7" t="str">
        <f>_xlfn.IFNA(VLOOKUP($B$1&amp;ROWS($A$3:A6),Rosters!$B$2:$C$163,2,0),"?")</f>
        <v>Brock</v>
      </c>
      <c r="B6" s="7" t="str">
        <f>_xlfn.IFNA(VLOOKUP($B$1&amp;ROWS($B$3:B6),Rosters!$B$2:$D$163,3,0),"?")</f>
        <v>Anderson</v>
      </c>
      <c r="C6" s="7">
        <f>_xlfn.IFNA(VLOOKUP($B$1&amp;ROWS($C$3:C6),Rosters!$B$2:$E$163,4,0),"")</f>
        <v>30</v>
      </c>
      <c r="D6" s="7"/>
      <c r="E6" s="7">
        <v>0</v>
      </c>
      <c r="F6" s="7"/>
      <c r="G6" s="7"/>
      <c r="H6" s="7">
        <v>0</v>
      </c>
      <c r="I6" s="7"/>
      <c r="J6" s="7"/>
      <c r="K6" s="7">
        <v>0</v>
      </c>
      <c r="L6" s="7"/>
      <c r="M6" s="7"/>
      <c r="N6" s="7">
        <v>0</v>
      </c>
      <c r="O6" s="7"/>
      <c r="P6" s="7"/>
      <c r="Q6" s="7">
        <v>0</v>
      </c>
      <c r="R6" s="7"/>
      <c r="S6" s="7"/>
      <c r="T6" s="7">
        <v>0</v>
      </c>
      <c r="U6" s="7"/>
      <c r="V6" s="7"/>
      <c r="W6" s="7">
        <v>0</v>
      </c>
      <c r="X6" s="7"/>
      <c r="Y6" s="7"/>
      <c r="Z6" s="7"/>
    </row>
    <row r="7" spans="1:26" ht="15.75" customHeight="1" x14ac:dyDescent="0.2">
      <c r="A7" s="6" t="str">
        <f>_xlfn.IFNA(VLOOKUP($B$1&amp;ROWS($A$3:A7),Rosters!$B$2:$C$163,2,0),"?")</f>
        <v>Dalton</v>
      </c>
      <c r="B7" s="6" t="str">
        <f>_xlfn.IFNA(VLOOKUP($B$1&amp;ROWS($B$3:B7),Rosters!$B$2:$D$163,3,0),"?")</f>
        <v>Nixon</v>
      </c>
      <c r="C7" s="6">
        <f>_xlfn.IFNA(VLOOKUP($B$1&amp;ROWS($C$3:C7),Rosters!$B$2:$E$163,4,0),"")</f>
        <v>4</v>
      </c>
      <c r="D7" s="6"/>
      <c r="E7" s="9">
        <v>4</v>
      </c>
      <c r="F7" s="6"/>
      <c r="G7" s="6"/>
      <c r="H7" s="9">
        <v>8</v>
      </c>
      <c r="I7" s="6"/>
      <c r="J7" s="6"/>
      <c r="K7" s="9">
        <v>6</v>
      </c>
      <c r="L7" s="6"/>
      <c r="M7" s="6"/>
      <c r="N7" s="6">
        <v>0</v>
      </c>
      <c r="O7" s="6"/>
      <c r="P7" s="6"/>
      <c r="Q7" s="6">
        <v>0</v>
      </c>
      <c r="R7" s="6"/>
      <c r="S7" s="6"/>
      <c r="T7" s="6">
        <v>0</v>
      </c>
      <c r="U7" s="6"/>
      <c r="V7" s="6"/>
      <c r="W7" s="6">
        <v>0</v>
      </c>
      <c r="X7" s="6"/>
      <c r="Y7" s="7"/>
      <c r="Z7" s="7"/>
    </row>
    <row r="8" spans="1:26" ht="15.75" customHeight="1" x14ac:dyDescent="0.2">
      <c r="A8" s="7" t="str">
        <f>_xlfn.IFNA(VLOOKUP($B$1&amp;ROWS($A$3:A8),Rosters!$B$2:$C$163,2,0),"?")</f>
        <v>Taylor</v>
      </c>
      <c r="B8" s="7" t="str">
        <f>_xlfn.IFNA(VLOOKUP($B$1&amp;ROWS($B$3:B8),Rosters!$B$2:$D$163,3,0),"?")</f>
        <v>Funk</v>
      </c>
      <c r="C8" s="7">
        <f>_xlfn.IFNA(VLOOKUP($B$1&amp;ROWS($C$3:C8),Rosters!$B$2:$E$163,4,0),"")</f>
        <v>13</v>
      </c>
      <c r="D8" s="7"/>
      <c r="E8" s="7">
        <v>0</v>
      </c>
      <c r="F8" s="7"/>
      <c r="G8" s="7"/>
      <c r="H8" s="7">
        <v>0</v>
      </c>
      <c r="I8" s="7"/>
      <c r="J8" s="7"/>
      <c r="K8" s="8">
        <v>1</v>
      </c>
      <c r="L8" s="7"/>
      <c r="M8" s="7"/>
      <c r="N8" s="7">
        <v>0</v>
      </c>
      <c r="O8" s="7"/>
      <c r="P8" s="7"/>
      <c r="Q8" s="7">
        <v>0</v>
      </c>
      <c r="R8" s="7"/>
      <c r="S8" s="7"/>
      <c r="T8" s="7">
        <v>0</v>
      </c>
      <c r="U8" s="7"/>
      <c r="V8" s="7"/>
      <c r="W8" s="7">
        <v>0</v>
      </c>
      <c r="X8" s="7"/>
      <c r="Y8" s="7"/>
      <c r="Z8" s="7"/>
    </row>
    <row r="9" spans="1:26" ht="15.75" customHeight="1" x14ac:dyDescent="0.2">
      <c r="A9" s="6" t="str">
        <f>_xlfn.IFNA(VLOOKUP($B$1&amp;ROWS($A$3:A9),Rosters!$B$2:$C$163,2,0),"?")</f>
        <v>Hunter</v>
      </c>
      <c r="B9" s="6" t="str">
        <f>_xlfn.IFNA(VLOOKUP($B$1&amp;ROWS($B$3:B9),Rosters!$B$2:$D$163,3,0),"?")</f>
        <v>Erickson</v>
      </c>
      <c r="C9" s="6">
        <f>_xlfn.IFNA(VLOOKUP($B$1&amp;ROWS($C$3:C9),Rosters!$B$2:$E$163,4,0),"")</f>
        <v>0</v>
      </c>
      <c r="D9" s="6"/>
      <c r="E9" s="9">
        <v>5</v>
      </c>
      <c r="F9" s="6"/>
      <c r="G9" s="6"/>
      <c r="H9" s="9">
        <v>6</v>
      </c>
      <c r="I9" s="6"/>
      <c r="J9" s="6"/>
      <c r="K9" s="9">
        <v>4</v>
      </c>
      <c r="L9" s="6"/>
      <c r="M9" s="6"/>
      <c r="N9" s="6">
        <v>0</v>
      </c>
      <c r="O9" s="6"/>
      <c r="P9" s="6"/>
      <c r="Q9" s="6">
        <v>0</v>
      </c>
      <c r="R9" s="6"/>
      <c r="S9" s="6"/>
      <c r="T9" s="6">
        <v>0</v>
      </c>
      <c r="U9" s="6"/>
      <c r="V9" s="6"/>
      <c r="W9" s="6">
        <v>0</v>
      </c>
      <c r="X9" s="6"/>
      <c r="Y9" s="7"/>
      <c r="Z9" s="7"/>
    </row>
    <row r="10" spans="1:26" ht="15.75" customHeight="1" x14ac:dyDescent="0.2">
      <c r="A10" s="7" t="str">
        <f>_xlfn.IFNA(VLOOKUP($B$1&amp;ROWS($A$3:A10),Rosters!$B$2:$C$163,2,0),"?")</f>
        <v>Dayon</v>
      </c>
      <c r="B10" s="7" t="str">
        <f>_xlfn.IFNA(VLOOKUP($B$1&amp;ROWS($B$3:B10),Rosters!$B$2:$D$163,3,0),"?")</f>
        <v>Goodman</v>
      </c>
      <c r="C10" s="7">
        <f>_xlfn.IFNA(VLOOKUP($B$1&amp;ROWS($C$3:C10),Rosters!$B$2:$E$163,4,0),"")</f>
        <v>35</v>
      </c>
      <c r="D10" s="7"/>
      <c r="E10" s="7">
        <v>0</v>
      </c>
      <c r="F10" s="7"/>
      <c r="G10" s="7"/>
      <c r="H10" s="7">
        <v>0</v>
      </c>
      <c r="I10" s="7"/>
      <c r="J10" s="7"/>
      <c r="K10" s="7">
        <v>0</v>
      </c>
      <c r="L10" s="7"/>
      <c r="M10" s="7"/>
      <c r="N10" s="7">
        <v>0</v>
      </c>
      <c r="O10" s="7"/>
      <c r="P10" s="7"/>
      <c r="Q10" s="7">
        <v>0</v>
      </c>
      <c r="R10" s="7"/>
      <c r="S10" s="7"/>
      <c r="T10" s="7">
        <v>0</v>
      </c>
      <c r="U10" s="7"/>
      <c r="V10" s="7"/>
      <c r="W10" s="7">
        <v>0</v>
      </c>
      <c r="X10" s="7"/>
      <c r="Y10" s="7"/>
      <c r="Z10" s="7"/>
    </row>
    <row r="11" spans="1:26" ht="15.75" customHeight="1" x14ac:dyDescent="0.2">
      <c r="A11" s="9" t="s">
        <v>14</v>
      </c>
      <c r="B11" s="9" t="s">
        <v>15</v>
      </c>
      <c r="C11" s="9">
        <v>1</v>
      </c>
      <c r="D11" s="6"/>
      <c r="E11" s="9">
        <v>1</v>
      </c>
      <c r="F11" s="6"/>
      <c r="G11" s="6"/>
      <c r="H11" s="9">
        <v>5</v>
      </c>
      <c r="I11" s="6"/>
      <c r="J11" s="6"/>
      <c r="K11" s="9">
        <v>5</v>
      </c>
      <c r="L11" s="6"/>
      <c r="M11" s="6"/>
      <c r="N11" s="6">
        <v>0</v>
      </c>
      <c r="O11" s="6"/>
      <c r="P11" s="6"/>
      <c r="Q11" s="6">
        <v>0</v>
      </c>
      <c r="R11" s="6"/>
      <c r="S11" s="6"/>
      <c r="T11" s="6">
        <v>0</v>
      </c>
      <c r="U11" s="6"/>
      <c r="V11" s="6"/>
      <c r="W11" s="6">
        <v>0</v>
      </c>
      <c r="X11" s="6"/>
      <c r="Y11" s="7"/>
      <c r="Z11" s="7"/>
    </row>
    <row r="12" spans="1:26" ht="15.75" customHeight="1" x14ac:dyDescent="0.2">
      <c r="A12" s="8" t="s">
        <v>16</v>
      </c>
      <c r="B12" s="8" t="s">
        <v>17</v>
      </c>
      <c r="C12" s="8">
        <v>13</v>
      </c>
      <c r="D12" s="7"/>
      <c r="E12" s="7">
        <v>0</v>
      </c>
      <c r="F12" s="7"/>
      <c r="G12" s="7"/>
      <c r="H12" s="8">
        <v>3</v>
      </c>
      <c r="I12" s="7"/>
      <c r="J12" s="7"/>
      <c r="K12" s="8">
        <v>2</v>
      </c>
      <c r="L12" s="7"/>
      <c r="M12" s="7"/>
      <c r="N12" s="7">
        <v>0</v>
      </c>
      <c r="O12" s="7"/>
      <c r="P12" s="7"/>
      <c r="Q12" s="7">
        <v>0</v>
      </c>
      <c r="R12" s="7"/>
      <c r="S12" s="7"/>
      <c r="T12" s="7">
        <v>0</v>
      </c>
      <c r="U12" s="7"/>
      <c r="V12" s="7"/>
      <c r="W12" s="7">
        <v>0</v>
      </c>
      <c r="X12" s="7"/>
      <c r="Y12" s="7"/>
      <c r="Z12" s="7"/>
    </row>
    <row r="13" spans="1:26" ht="15.75" customHeight="1" x14ac:dyDescent="0.2">
      <c r="A13" s="9" t="s">
        <v>18</v>
      </c>
      <c r="B13" s="9" t="s">
        <v>19</v>
      </c>
      <c r="C13" s="9">
        <v>45</v>
      </c>
      <c r="D13" s="6"/>
      <c r="E13" s="9">
        <v>2</v>
      </c>
      <c r="F13" s="6"/>
      <c r="G13" s="6"/>
      <c r="H13" s="6">
        <v>0</v>
      </c>
      <c r="I13" s="6"/>
      <c r="J13" s="6"/>
      <c r="K13" s="6">
        <v>0</v>
      </c>
      <c r="L13" s="6"/>
      <c r="M13" s="6"/>
      <c r="N13" s="6">
        <v>0</v>
      </c>
      <c r="O13" s="6"/>
      <c r="P13" s="6"/>
      <c r="Q13" s="6">
        <v>0</v>
      </c>
      <c r="R13" s="6"/>
      <c r="S13" s="6"/>
      <c r="T13" s="6">
        <v>0</v>
      </c>
      <c r="U13" s="6"/>
      <c r="V13" s="6"/>
      <c r="W13" s="6">
        <v>0</v>
      </c>
      <c r="X13" s="6"/>
      <c r="Y13" s="7"/>
      <c r="Z13" s="7"/>
    </row>
    <row r="14" spans="1:26" ht="15.75" customHeight="1" x14ac:dyDescent="0.2">
      <c r="A14" s="8" t="s">
        <v>20</v>
      </c>
      <c r="B14" s="8" t="s">
        <v>21</v>
      </c>
      <c r="C14" s="8">
        <v>0</v>
      </c>
      <c r="D14" s="7"/>
      <c r="E14" s="8">
        <v>2</v>
      </c>
      <c r="F14" s="7"/>
      <c r="G14" s="7"/>
      <c r="H14" s="7">
        <v>0</v>
      </c>
      <c r="I14" s="7"/>
      <c r="J14" s="7"/>
      <c r="K14" s="7">
        <v>0</v>
      </c>
      <c r="L14" s="7"/>
      <c r="M14" s="7"/>
      <c r="N14" s="7">
        <v>0</v>
      </c>
      <c r="O14" s="7"/>
      <c r="P14" s="7"/>
      <c r="Q14" s="7">
        <v>0</v>
      </c>
      <c r="R14" s="7"/>
      <c r="S14" s="7"/>
      <c r="T14" s="7">
        <v>0</v>
      </c>
      <c r="U14" s="7"/>
      <c r="V14" s="7"/>
      <c r="W14" s="7">
        <v>0</v>
      </c>
      <c r="X14" s="7"/>
      <c r="Y14" s="7"/>
      <c r="Z14" s="7"/>
    </row>
    <row r="15" spans="1:26" ht="15.75" customHeight="1" x14ac:dyDescent="0.2">
      <c r="A15" s="9" t="s">
        <v>22</v>
      </c>
      <c r="B15" s="9" t="s">
        <v>23</v>
      </c>
      <c r="C15" s="9">
        <v>23</v>
      </c>
      <c r="D15" s="6"/>
      <c r="E15" s="9">
        <v>3</v>
      </c>
      <c r="F15" s="6"/>
      <c r="G15" s="6"/>
      <c r="H15" s="9">
        <v>1</v>
      </c>
      <c r="I15" s="6"/>
      <c r="J15" s="6"/>
      <c r="K15" s="9">
        <v>1</v>
      </c>
      <c r="L15" s="6"/>
      <c r="M15" s="6"/>
      <c r="N15" s="6">
        <v>0</v>
      </c>
      <c r="O15" s="6"/>
      <c r="P15" s="6"/>
      <c r="Q15" s="6">
        <v>0</v>
      </c>
      <c r="R15" s="6"/>
      <c r="S15" s="6"/>
      <c r="T15" s="6">
        <v>0</v>
      </c>
      <c r="U15" s="6"/>
      <c r="V15" s="6"/>
      <c r="W15" s="6">
        <v>0</v>
      </c>
      <c r="X15" s="6"/>
      <c r="Y15" s="7"/>
      <c r="Z15" s="7"/>
    </row>
    <row r="16" spans="1:26" ht="15.75" customHeight="1" x14ac:dyDescent="0.2">
      <c r="A16" s="7" t="str">
        <f>_xlfn.IFNA(VLOOKUP($B$1&amp;ROWS($A$3:A16),Rosters!$B$2:$C$163,2,0),"?")</f>
        <v>?</v>
      </c>
      <c r="B16" s="7" t="str">
        <f>_xlfn.IFNA(VLOOKUP($B$1&amp;ROWS($B$3:B16),Rosters!$B$2:$D$163,3,0),"?")</f>
        <v>?</v>
      </c>
      <c r="C16" s="7" t="str">
        <f>_xlfn.IFNA(VLOOKUP($B$1&amp;ROWS($C$3:C16),Rosters!$B$2:$E$163,4,0),"")</f>
        <v/>
      </c>
      <c r="D16" s="7"/>
      <c r="E16" s="7">
        <v>0</v>
      </c>
      <c r="F16" s="7"/>
      <c r="G16" s="7"/>
      <c r="H16" s="7">
        <v>0</v>
      </c>
      <c r="I16" s="7"/>
      <c r="J16" s="7"/>
      <c r="K16" s="7">
        <v>0</v>
      </c>
      <c r="L16" s="7"/>
      <c r="M16" s="7"/>
      <c r="N16" s="7">
        <v>0</v>
      </c>
      <c r="O16" s="7"/>
      <c r="P16" s="7"/>
      <c r="Q16" s="7">
        <v>0</v>
      </c>
      <c r="R16" s="7"/>
      <c r="S16" s="7"/>
      <c r="T16" s="7">
        <v>0</v>
      </c>
      <c r="U16" s="7"/>
      <c r="V16" s="7"/>
      <c r="W16" s="7">
        <v>0</v>
      </c>
      <c r="X16" s="7"/>
      <c r="Y16" s="7"/>
      <c r="Z16" s="7"/>
    </row>
    <row r="17" spans="1:26" ht="15.75" customHeight="1" x14ac:dyDescent="0.2">
      <c r="A17" s="6" t="str">
        <f>_xlfn.IFNA(VLOOKUP($B$1&amp;ROWS($A$3:A17),Rosters!$B$2:$C$163,2,0),"?")</f>
        <v>?</v>
      </c>
      <c r="B17" s="6" t="str">
        <f>_xlfn.IFNA(VLOOKUP($B$1&amp;ROWS($B$3:B17),Rosters!$B$2:$D$163,3,0),"?")</f>
        <v>?</v>
      </c>
      <c r="C17" s="6" t="str">
        <f>_xlfn.IFNA(VLOOKUP($B$1&amp;ROWS($C$3:C17),Rosters!$B$2:$E$163,4,0),"")</f>
        <v/>
      </c>
      <c r="D17" s="6"/>
      <c r="E17" s="6">
        <v>0</v>
      </c>
      <c r="F17" s="6"/>
      <c r="G17" s="6"/>
      <c r="H17" s="6">
        <v>0</v>
      </c>
      <c r="I17" s="6"/>
      <c r="J17" s="6"/>
      <c r="K17" s="6">
        <v>0</v>
      </c>
      <c r="L17" s="6"/>
      <c r="M17" s="6"/>
      <c r="N17" s="6">
        <v>0</v>
      </c>
      <c r="O17" s="6"/>
      <c r="P17" s="6"/>
      <c r="Q17" s="6">
        <v>0</v>
      </c>
      <c r="R17" s="6"/>
      <c r="S17" s="6"/>
      <c r="T17" s="6">
        <v>0</v>
      </c>
      <c r="U17" s="6"/>
      <c r="V17" s="6"/>
      <c r="W17" s="6">
        <v>0</v>
      </c>
      <c r="X17" s="6"/>
      <c r="Y17" s="7"/>
      <c r="Z17" s="7"/>
    </row>
    <row r="18" spans="1:26" ht="15.75" customHeight="1" x14ac:dyDescent="0.2">
      <c r="A18" s="7"/>
      <c r="B18" s="7"/>
      <c r="C18" s="7"/>
      <c r="D18" s="7"/>
      <c r="E18" s="7">
        <f>SUM(E3:E17)</f>
        <v>18</v>
      </c>
      <c r="F18" s="7"/>
      <c r="G18" s="7"/>
      <c r="H18" s="7">
        <f>SUM(H3:H17)</f>
        <v>26</v>
      </c>
      <c r="I18" s="7"/>
      <c r="J18" s="7"/>
      <c r="K18" s="7">
        <f>SUM(K3:K17)</f>
        <v>19</v>
      </c>
      <c r="L18" s="7"/>
      <c r="M18" s="7"/>
      <c r="N18" s="7">
        <f>SUM(N3:N17)</f>
        <v>0</v>
      </c>
      <c r="O18" s="7"/>
      <c r="P18" s="7"/>
      <c r="Q18" s="7">
        <f>SUM(Q3:Q17)</f>
        <v>0</v>
      </c>
      <c r="R18" s="7"/>
      <c r="S18" s="7"/>
      <c r="T18" s="7">
        <f>SUM(T3:T17)</f>
        <v>0</v>
      </c>
      <c r="U18" s="7"/>
      <c r="V18" s="7"/>
      <c r="W18" s="7">
        <f>SUM(W3:W17)</f>
        <v>0</v>
      </c>
      <c r="X18" s="7"/>
      <c r="Y18" s="7"/>
      <c r="Z18" s="7"/>
    </row>
    <row r="19" spans="1:26" ht="15.75" customHeight="1" x14ac:dyDescent="0.2">
      <c r="A19" s="1" t="s">
        <v>24</v>
      </c>
      <c r="B19" s="5" t="s">
        <v>25</v>
      </c>
    </row>
    <row r="20" spans="1:26" ht="15.75" customHeight="1" x14ac:dyDescent="0.2">
      <c r="A20" s="2" t="s">
        <v>2</v>
      </c>
      <c r="B20" s="2" t="s">
        <v>3</v>
      </c>
      <c r="C20" s="2" t="s">
        <v>4</v>
      </c>
      <c r="E20" s="2" t="s">
        <v>5</v>
      </c>
      <c r="H20" s="2" t="s">
        <v>6</v>
      </c>
      <c r="K20" s="2" t="s">
        <v>8</v>
      </c>
    </row>
    <row r="21" spans="1:26" ht="15.75" customHeight="1" x14ac:dyDescent="0.2">
      <c r="A21" s="6" t="str">
        <f>_xlfn.IFNA(VLOOKUP($B$19&amp;ROWS($A$21:A21),Rosters!$B$2:$C$163,2,0),"?")</f>
        <v>Andre</v>
      </c>
      <c r="B21" s="6" t="str">
        <f>_xlfn.IFNA(VLOOKUP($B$19&amp;ROWS($B$21:B21),Rosters!$B$2:$D$163,3,0),"?")</f>
        <v>Mulibea</v>
      </c>
      <c r="C21" s="6">
        <f>_xlfn.IFNA(VLOOKUP($B$19&amp;ROWS($C$21:C21),Rosters!$B$2:$E$163,4,0),"")</f>
        <v>34</v>
      </c>
      <c r="D21" s="6"/>
      <c r="E21" s="6">
        <v>0</v>
      </c>
      <c r="F21" s="6"/>
      <c r="G21" s="6"/>
      <c r="H21" s="9">
        <v>1</v>
      </c>
      <c r="I21" s="6"/>
      <c r="J21" s="6"/>
      <c r="K21" s="6">
        <v>0</v>
      </c>
      <c r="L21" s="6"/>
      <c r="M21" s="6"/>
      <c r="N21" s="6">
        <v>0</v>
      </c>
      <c r="O21" s="6"/>
      <c r="P21" s="6"/>
      <c r="Q21" s="6">
        <v>0</v>
      </c>
      <c r="R21" s="6"/>
      <c r="S21" s="6"/>
      <c r="T21" s="6">
        <v>0</v>
      </c>
      <c r="U21" s="6"/>
      <c r="V21" s="6"/>
      <c r="W21" s="6">
        <v>0</v>
      </c>
      <c r="X21" s="6"/>
      <c r="Y21" s="7"/>
      <c r="Z21" s="7"/>
    </row>
    <row r="22" spans="1:26" ht="15.75" customHeight="1" x14ac:dyDescent="0.2">
      <c r="A22" s="2" t="str">
        <f>_xlfn.IFNA(VLOOKUP($B$19&amp;ROWS($A$21:A22),Rosters!$B$2:$C$163,2,0),"?")</f>
        <v>Jaxon</v>
      </c>
      <c r="B22" s="2" t="str">
        <f>_xlfn.IFNA(VLOOKUP($B$19&amp;ROWS($B$21:B22),Rosters!$B$2:$D$163,3,0),"?")</f>
        <v>Pollard</v>
      </c>
      <c r="C22" s="2">
        <f>_xlfn.IFNA(VLOOKUP($B$19&amp;ROWS($C$21:C22),Rosters!$B$2:$E$163,4,0),"")</f>
        <v>4</v>
      </c>
      <c r="D22" s="7"/>
      <c r="E22" s="8">
        <v>2</v>
      </c>
      <c r="F22" s="7"/>
      <c r="G22" s="7"/>
      <c r="H22" s="8">
        <v>4</v>
      </c>
      <c r="I22" s="7"/>
      <c r="J22" s="7"/>
      <c r="K22" s="8">
        <v>4</v>
      </c>
      <c r="L22" s="7"/>
      <c r="M22" s="7"/>
      <c r="N22" s="7">
        <v>0</v>
      </c>
      <c r="O22" s="7"/>
      <c r="P22" s="7"/>
      <c r="Q22" s="7">
        <v>0</v>
      </c>
      <c r="R22" s="7"/>
      <c r="S22" s="7"/>
      <c r="T22" s="7">
        <v>0</v>
      </c>
      <c r="U22" s="7"/>
      <c r="V22" s="7"/>
      <c r="W22" s="7">
        <v>0</v>
      </c>
      <c r="X22" s="7"/>
    </row>
    <row r="23" spans="1:26" ht="15.75" customHeight="1" x14ac:dyDescent="0.2">
      <c r="A23" s="6" t="str">
        <f>_xlfn.IFNA(VLOOKUP($B$19&amp;ROWS($A$21:A23),Rosters!$B$2:$C$163,2,0),"?")</f>
        <v>Tyson</v>
      </c>
      <c r="B23" s="6" t="str">
        <f>_xlfn.IFNA(VLOOKUP($B$19&amp;ROWS($B$21:B23),Rosters!$B$2:$D$163,3,0),"?")</f>
        <v>Garff</v>
      </c>
      <c r="C23" s="6">
        <f>_xlfn.IFNA(VLOOKUP($B$19&amp;ROWS($C$21:C23),Rosters!$B$2:$E$163,4,0),"")</f>
        <v>21</v>
      </c>
      <c r="D23" s="6"/>
      <c r="E23" s="6">
        <v>0</v>
      </c>
      <c r="F23" s="6"/>
      <c r="G23" s="6"/>
      <c r="H23" s="9">
        <v>4</v>
      </c>
      <c r="I23" s="6"/>
      <c r="J23" s="6"/>
      <c r="K23" s="9">
        <v>2</v>
      </c>
      <c r="L23" s="6"/>
      <c r="M23" s="6"/>
      <c r="N23" s="6">
        <v>0</v>
      </c>
      <c r="O23" s="6"/>
      <c r="P23" s="6"/>
      <c r="Q23" s="6">
        <v>0</v>
      </c>
      <c r="R23" s="6"/>
      <c r="S23" s="6"/>
      <c r="T23" s="6">
        <v>0</v>
      </c>
      <c r="U23" s="6"/>
      <c r="V23" s="6"/>
      <c r="W23" s="6">
        <v>0</v>
      </c>
      <c r="X23" s="6"/>
      <c r="Y23" s="7"/>
      <c r="Z23" s="7"/>
    </row>
    <row r="24" spans="1:26" ht="15.75" customHeight="1" x14ac:dyDescent="0.2">
      <c r="A24" s="2" t="str">
        <f>_xlfn.IFNA(VLOOKUP($B$19&amp;ROWS($A$21:A24),Rosters!$B$2:$C$163,2,0),"?")</f>
        <v>Tanner</v>
      </c>
      <c r="B24" s="2" t="str">
        <f>_xlfn.IFNA(VLOOKUP($B$19&amp;ROWS($B$21:B24),Rosters!$B$2:$D$163,3,0),"?")</f>
        <v>Cuff</v>
      </c>
      <c r="C24" s="2">
        <f>_xlfn.IFNA(VLOOKUP($B$19&amp;ROWS($C$21:C24),Rosters!$B$2:$E$163,4,0),"")</f>
        <v>87</v>
      </c>
      <c r="D24" s="7"/>
      <c r="E24" s="7">
        <v>0</v>
      </c>
      <c r="F24" s="7"/>
      <c r="G24" s="7"/>
      <c r="H24" s="7">
        <v>0</v>
      </c>
      <c r="I24" s="7"/>
      <c r="J24" s="7"/>
      <c r="K24" s="7">
        <v>0</v>
      </c>
      <c r="L24" s="7"/>
      <c r="M24" s="7"/>
      <c r="N24" s="7">
        <v>0</v>
      </c>
      <c r="O24" s="7"/>
      <c r="P24" s="7"/>
      <c r="Q24" s="7">
        <v>0</v>
      </c>
      <c r="R24" s="7"/>
      <c r="S24" s="7"/>
      <c r="T24" s="7">
        <v>0</v>
      </c>
      <c r="U24" s="7"/>
      <c r="V24" s="7"/>
      <c r="W24" s="7">
        <v>0</v>
      </c>
      <c r="X24" s="7"/>
    </row>
    <row r="25" spans="1:26" ht="15.75" customHeight="1" x14ac:dyDescent="0.2">
      <c r="A25" s="6" t="str">
        <f>_xlfn.IFNA(VLOOKUP($B$19&amp;ROWS($A$21:A25),Rosters!$B$2:$C$163,2,0),"?")</f>
        <v>Brady</v>
      </c>
      <c r="B25" s="6" t="str">
        <f>_xlfn.IFNA(VLOOKUP($B$19&amp;ROWS($B$21:B25),Rosters!$B$2:$D$163,3,0),"?")</f>
        <v>Smith</v>
      </c>
      <c r="C25" s="6">
        <f>_xlfn.IFNA(VLOOKUP($B$19&amp;ROWS($C$21:C25),Rosters!$B$2:$E$163,4,0),"")</f>
        <v>23</v>
      </c>
      <c r="D25" s="6"/>
      <c r="E25" s="9">
        <v>1</v>
      </c>
      <c r="F25" s="6"/>
      <c r="G25" s="6"/>
      <c r="H25" s="9">
        <v>4</v>
      </c>
      <c r="I25" s="6"/>
      <c r="J25" s="6"/>
      <c r="K25" s="9">
        <v>1</v>
      </c>
      <c r="L25" s="6"/>
      <c r="M25" s="6"/>
      <c r="N25" s="6">
        <v>0</v>
      </c>
      <c r="O25" s="6"/>
      <c r="P25" s="6"/>
      <c r="Q25" s="6">
        <v>0</v>
      </c>
      <c r="R25" s="6"/>
      <c r="S25" s="6"/>
      <c r="T25" s="6">
        <v>0</v>
      </c>
      <c r="U25" s="6"/>
      <c r="V25" s="6"/>
      <c r="W25" s="6">
        <v>0</v>
      </c>
      <c r="X25" s="6"/>
      <c r="Y25" s="7"/>
      <c r="Z25" s="7"/>
    </row>
    <row r="26" spans="1:26" ht="15.75" customHeight="1" x14ac:dyDescent="0.2">
      <c r="A26" s="2" t="str">
        <f>_xlfn.IFNA(VLOOKUP($B$19&amp;ROWS($A$21:A26),Rosters!$B$2:$C$163,2,0),"?")</f>
        <v>Nick</v>
      </c>
      <c r="B26" s="2" t="str">
        <f>_xlfn.IFNA(VLOOKUP($B$19&amp;ROWS($B$21:B26),Rosters!$B$2:$D$163,3,0),"?")</f>
        <v>Covington</v>
      </c>
      <c r="C26" s="2">
        <f>_xlfn.IFNA(VLOOKUP($B$19&amp;ROWS($C$21:C26),Rosters!$B$2:$E$163,4,0),"")</f>
        <v>2</v>
      </c>
      <c r="D26" s="7"/>
      <c r="E26" s="7">
        <v>0</v>
      </c>
      <c r="F26" s="7"/>
      <c r="G26" s="7"/>
      <c r="H26" s="7">
        <v>0</v>
      </c>
      <c r="I26" s="7"/>
      <c r="J26" s="7"/>
      <c r="K26" s="7">
        <v>0</v>
      </c>
      <c r="L26" s="7"/>
      <c r="M26" s="7"/>
      <c r="N26" s="7">
        <v>0</v>
      </c>
      <c r="O26" s="7"/>
      <c r="P26" s="7"/>
      <c r="Q26" s="7">
        <v>0</v>
      </c>
      <c r="R26" s="7"/>
      <c r="S26" s="7"/>
      <c r="T26" s="7">
        <v>0</v>
      </c>
      <c r="U26" s="7"/>
      <c r="V26" s="7"/>
      <c r="W26" s="7">
        <v>0</v>
      </c>
      <c r="X26" s="7"/>
    </row>
    <row r="27" spans="1:26" ht="15.75" customHeight="1" x14ac:dyDescent="0.2">
      <c r="A27" s="12" t="s">
        <v>225</v>
      </c>
      <c r="B27" s="12" t="s">
        <v>226</v>
      </c>
      <c r="C27" s="6">
        <f>_xlfn.IFNA(VLOOKUP($B$19&amp;ROWS($C$21:C27),Rosters!$B$2:$E$163,4,0),"")</f>
        <v>10</v>
      </c>
      <c r="D27" s="6"/>
      <c r="E27" s="6">
        <v>0</v>
      </c>
      <c r="F27" s="6"/>
      <c r="G27" s="6"/>
      <c r="H27" s="9">
        <v>2</v>
      </c>
      <c r="I27" s="6"/>
      <c r="J27" s="6"/>
      <c r="K27" s="6">
        <v>0</v>
      </c>
      <c r="L27" s="6"/>
      <c r="M27" s="6"/>
      <c r="N27" s="6">
        <v>0</v>
      </c>
      <c r="O27" s="6"/>
      <c r="P27" s="6"/>
      <c r="Q27" s="6">
        <v>0</v>
      </c>
      <c r="R27" s="6"/>
      <c r="S27" s="6"/>
      <c r="T27" s="6">
        <v>0</v>
      </c>
      <c r="U27" s="6"/>
      <c r="V27" s="6"/>
      <c r="W27" s="6">
        <v>0</v>
      </c>
      <c r="X27" s="6"/>
      <c r="Y27" s="7"/>
      <c r="Z27" s="7"/>
    </row>
    <row r="28" spans="1:26" ht="15.75" customHeight="1" x14ac:dyDescent="0.2">
      <c r="A28" s="2" t="str">
        <f>_xlfn.IFNA(VLOOKUP($B$19&amp;ROWS($A$21:A28),Rosters!$B$2:$C$163,2,0),"?")</f>
        <v>Jared</v>
      </c>
      <c r="B28" s="2" t="str">
        <f>_xlfn.IFNA(VLOOKUP($B$19&amp;ROWS($B$21:B28),Rosters!$B$2:$D$163,3,0),"?")</f>
        <v>Garcia</v>
      </c>
      <c r="C28" s="2">
        <f>_xlfn.IFNA(VLOOKUP($B$19&amp;ROWS($C$21:C28),Rosters!$B$2:$E$163,4,0),"")</f>
        <v>25</v>
      </c>
      <c r="D28" s="7"/>
      <c r="E28" s="8">
        <v>3</v>
      </c>
      <c r="F28" s="7"/>
      <c r="G28" s="7"/>
      <c r="H28" s="8">
        <v>8</v>
      </c>
      <c r="I28" s="7"/>
      <c r="J28" s="7"/>
      <c r="K28" s="8">
        <v>1</v>
      </c>
      <c r="L28" s="7"/>
      <c r="M28" s="7"/>
      <c r="N28" s="7">
        <v>0</v>
      </c>
      <c r="O28" s="7"/>
      <c r="P28" s="7"/>
      <c r="Q28" s="7">
        <v>0</v>
      </c>
      <c r="R28" s="7"/>
      <c r="S28" s="7"/>
      <c r="T28" s="7">
        <v>0</v>
      </c>
      <c r="U28" s="7"/>
      <c r="V28" s="7"/>
      <c r="W28" s="7">
        <v>0</v>
      </c>
      <c r="X28" s="7"/>
    </row>
    <row r="29" spans="1:26" ht="15.75" customHeight="1" x14ac:dyDescent="0.2">
      <c r="A29" s="6" t="str">
        <f>_xlfn.IFNA(VLOOKUP($B$19&amp;ROWS($A$21:A29),Rosters!$B$2:$C$163,2,0),"?")</f>
        <v>Macea</v>
      </c>
      <c r="B29" s="6" t="str">
        <f>_xlfn.IFNA(VLOOKUP($B$19&amp;ROWS($B$21:B29),Rosters!$B$2:$D$163,3,0),"?")</f>
        <v>Austin</v>
      </c>
      <c r="C29" s="6">
        <f>_xlfn.IFNA(VLOOKUP($B$19&amp;ROWS($C$21:C29),Rosters!$B$2:$E$163,4,0),"")</f>
        <v>3</v>
      </c>
      <c r="D29" s="6"/>
      <c r="E29" s="9">
        <v>1</v>
      </c>
      <c r="F29" s="6"/>
      <c r="G29" s="6"/>
      <c r="H29" s="6">
        <v>0</v>
      </c>
      <c r="I29" s="6"/>
      <c r="J29" s="6"/>
      <c r="K29" s="6">
        <v>0</v>
      </c>
      <c r="L29" s="6"/>
      <c r="M29" s="6"/>
      <c r="N29" s="6">
        <v>0</v>
      </c>
      <c r="O29" s="6"/>
      <c r="P29" s="6"/>
      <c r="Q29" s="6">
        <v>0</v>
      </c>
      <c r="R29" s="6"/>
      <c r="S29" s="6"/>
      <c r="T29" s="6">
        <v>0</v>
      </c>
      <c r="U29" s="6"/>
      <c r="V29" s="6"/>
      <c r="W29" s="6">
        <v>0</v>
      </c>
      <c r="X29" s="6"/>
      <c r="Y29" s="7"/>
      <c r="Z29" s="7"/>
    </row>
    <row r="30" spans="1:26" ht="15.75" customHeight="1" x14ac:dyDescent="0.2">
      <c r="A30" s="2" t="str">
        <f>_xlfn.IFNA(VLOOKUP($B$19&amp;ROWS($A$21:A30),Rosters!$B$2:$C$163,2,0),"?")</f>
        <v>Austin</v>
      </c>
      <c r="B30" s="2" t="str">
        <f>_xlfn.IFNA(VLOOKUP($B$19&amp;ROWS($B$21:B30),Rosters!$B$2:$D$163,3,0),"?")</f>
        <v>Hayhurst</v>
      </c>
      <c r="C30" s="2">
        <f>_xlfn.IFNA(VLOOKUP($B$19&amp;ROWS($C$21:C30),Rosters!$B$2:$E$163,4,0),"")</f>
        <v>33</v>
      </c>
      <c r="D30" s="7"/>
      <c r="E30" s="8">
        <v>1</v>
      </c>
      <c r="F30" s="7"/>
      <c r="G30" s="7"/>
      <c r="H30" s="7">
        <v>0</v>
      </c>
      <c r="I30" s="7"/>
      <c r="J30" s="7"/>
      <c r="K30" s="8">
        <v>1</v>
      </c>
      <c r="L30" s="7"/>
      <c r="M30" s="7"/>
      <c r="N30" s="7">
        <v>0</v>
      </c>
      <c r="O30" s="7"/>
      <c r="P30" s="7"/>
      <c r="Q30" s="7">
        <v>0</v>
      </c>
      <c r="R30" s="7"/>
      <c r="S30" s="7"/>
      <c r="T30" s="7">
        <v>0</v>
      </c>
      <c r="U30" s="7"/>
      <c r="V30" s="7"/>
      <c r="W30" s="7">
        <v>0</v>
      </c>
      <c r="X30" s="7"/>
    </row>
    <row r="31" spans="1:26" ht="15.75" customHeight="1" x14ac:dyDescent="0.2">
      <c r="A31" s="6" t="str">
        <f>_xlfn.IFNA(VLOOKUP($B$19&amp;ROWS($A$21:A31),Rosters!$B$2:$C$163,2,0),"?")</f>
        <v>Dwayne</v>
      </c>
      <c r="B31" s="6" t="str">
        <f>_xlfn.IFNA(VLOOKUP($B$19&amp;ROWS($B$21:B31),Rosters!$B$2:$D$163,3,0),"?")</f>
        <v>Koroma</v>
      </c>
      <c r="C31" s="6">
        <f>_xlfn.IFNA(VLOOKUP($B$19&amp;ROWS($C$21:C31),Rosters!$B$2:$E$163,4,0),"")</f>
        <v>16</v>
      </c>
      <c r="D31" s="6"/>
      <c r="E31" s="9">
        <v>2</v>
      </c>
      <c r="F31" s="6"/>
      <c r="G31" s="6"/>
      <c r="H31" s="9">
        <v>5</v>
      </c>
      <c r="I31" s="6"/>
      <c r="J31" s="6"/>
      <c r="K31" s="9">
        <v>1</v>
      </c>
      <c r="L31" s="6"/>
      <c r="M31" s="6"/>
      <c r="N31" s="6">
        <v>0</v>
      </c>
      <c r="O31" s="6"/>
      <c r="P31" s="6"/>
      <c r="Q31" s="6">
        <v>0</v>
      </c>
      <c r="R31" s="6"/>
      <c r="S31" s="6"/>
      <c r="T31" s="6">
        <v>0</v>
      </c>
      <c r="U31" s="6"/>
      <c r="V31" s="6"/>
      <c r="W31" s="6">
        <v>0</v>
      </c>
      <c r="X31" s="6"/>
      <c r="Y31" s="7"/>
      <c r="Z31" s="7"/>
    </row>
    <row r="32" spans="1:26" ht="15.75" customHeight="1" x14ac:dyDescent="0.2">
      <c r="A32" s="2" t="str">
        <f>_xlfn.IFNA(VLOOKUP($B$19&amp;ROWS($A$21:A32),Rosters!$B$2:$C$163,2,0),"?")</f>
        <v>Jaxon</v>
      </c>
      <c r="B32" s="2" t="str">
        <f>_xlfn.IFNA(VLOOKUP($B$19&amp;ROWS($B$21:B32),Rosters!$B$2:$D$163,3,0),"?")</f>
        <v>Heiden</v>
      </c>
      <c r="C32" s="2">
        <f>_xlfn.IFNA(VLOOKUP($B$19&amp;ROWS($C$21:C32),Rosters!$B$2:$E$163,4,0),"")</f>
        <v>14</v>
      </c>
      <c r="D32" s="7"/>
      <c r="E32" s="8">
        <v>1</v>
      </c>
      <c r="F32" s="7"/>
      <c r="G32" s="7"/>
      <c r="H32" s="8">
        <v>4</v>
      </c>
      <c r="I32" s="7"/>
      <c r="J32" s="7"/>
      <c r="K32" s="8">
        <v>1</v>
      </c>
      <c r="L32" s="7"/>
      <c r="M32" s="7"/>
      <c r="N32" s="7">
        <v>0</v>
      </c>
      <c r="O32" s="7"/>
      <c r="P32" s="7"/>
      <c r="Q32" s="7">
        <v>0</v>
      </c>
      <c r="R32" s="7"/>
      <c r="S32" s="7"/>
      <c r="T32" s="7">
        <v>0</v>
      </c>
      <c r="U32" s="7"/>
      <c r="V32" s="7"/>
      <c r="W32" s="7">
        <v>0</v>
      </c>
      <c r="X32" s="7"/>
    </row>
    <row r="33" spans="1:26" ht="15.75" customHeight="1" x14ac:dyDescent="0.2">
      <c r="A33" s="9" t="s">
        <v>26</v>
      </c>
      <c r="B33" s="9" t="s">
        <v>27</v>
      </c>
      <c r="C33" s="9">
        <v>1</v>
      </c>
      <c r="D33" s="6"/>
      <c r="E33" s="6">
        <v>0</v>
      </c>
      <c r="F33" s="6"/>
      <c r="G33" s="6"/>
      <c r="H33" s="9">
        <v>2</v>
      </c>
      <c r="I33" s="6"/>
      <c r="J33" s="6"/>
      <c r="K33" s="6">
        <v>0</v>
      </c>
      <c r="L33" s="6"/>
      <c r="M33" s="6"/>
      <c r="N33" s="6">
        <v>0</v>
      </c>
      <c r="O33" s="6"/>
      <c r="P33" s="6"/>
      <c r="Q33" s="6">
        <v>0</v>
      </c>
      <c r="R33" s="6"/>
      <c r="S33" s="6"/>
      <c r="T33" s="6">
        <v>0</v>
      </c>
      <c r="U33" s="6"/>
      <c r="V33" s="6"/>
      <c r="W33" s="6">
        <v>0</v>
      </c>
      <c r="X33" s="6"/>
      <c r="Y33" s="7"/>
      <c r="Z33" s="7"/>
    </row>
    <row r="34" spans="1:26" ht="15.75" customHeight="1" x14ac:dyDescent="0.2">
      <c r="A34" s="2" t="str">
        <f>_xlfn.IFNA(VLOOKUP($B$19&amp;ROWS($A$21:A34),Rosters!$B$2:$C$163,2,0),"?")</f>
        <v>?</v>
      </c>
      <c r="B34" s="2" t="str">
        <f>_xlfn.IFNA(VLOOKUP($B$19&amp;ROWS($B$21:B34),Rosters!$B$2:$D$163,3,0),"?")</f>
        <v>?</v>
      </c>
      <c r="C34" s="2" t="str">
        <f>_xlfn.IFNA(VLOOKUP($B$19&amp;ROWS($C$21:C34),Rosters!$B$2:$E$163,4,0),"")</f>
        <v/>
      </c>
      <c r="D34" s="7"/>
      <c r="E34" s="7">
        <v>0</v>
      </c>
      <c r="F34" s="7"/>
      <c r="G34" s="7"/>
      <c r="H34" s="7"/>
      <c r="I34" s="7"/>
      <c r="J34" s="7"/>
      <c r="K34" s="7">
        <v>0</v>
      </c>
      <c r="L34" s="7"/>
      <c r="M34" s="7"/>
      <c r="N34" s="7">
        <v>0</v>
      </c>
      <c r="O34" s="7"/>
      <c r="P34" s="7"/>
      <c r="Q34" s="7">
        <v>0</v>
      </c>
      <c r="R34" s="7"/>
      <c r="S34" s="7"/>
      <c r="T34" s="7">
        <v>0</v>
      </c>
      <c r="U34" s="7"/>
      <c r="V34" s="7"/>
      <c r="W34" s="7">
        <v>0</v>
      </c>
      <c r="X34" s="7"/>
    </row>
    <row r="35" spans="1:26" ht="15.75" customHeight="1" x14ac:dyDescent="0.2">
      <c r="A35" s="6" t="str">
        <f>_xlfn.IFNA(VLOOKUP($B$19&amp;ROWS($A$21:A35),Rosters!$B$2:$C$163,2,0),"?")</f>
        <v>?</v>
      </c>
      <c r="B35" s="6" t="str">
        <f>_xlfn.IFNA(VLOOKUP($B$19&amp;ROWS($B$21:B35),Rosters!$B$2:$D$163,3,0),"?")</f>
        <v>?</v>
      </c>
      <c r="C35" s="6" t="str">
        <f>_xlfn.IFNA(VLOOKUP($B$19&amp;ROWS($C$21:C35),Rosters!$B$2:$E$163,4,0),"")</f>
        <v/>
      </c>
      <c r="D35" s="6"/>
      <c r="E35" s="6">
        <v>0</v>
      </c>
      <c r="F35" s="6"/>
      <c r="G35" s="6"/>
      <c r="H35" s="6">
        <v>0</v>
      </c>
      <c r="I35" s="6"/>
      <c r="J35" s="6"/>
      <c r="K35" s="6">
        <v>0</v>
      </c>
      <c r="L35" s="6"/>
      <c r="M35" s="6"/>
      <c r="N35" s="6">
        <v>0</v>
      </c>
      <c r="O35" s="6"/>
      <c r="P35" s="6"/>
      <c r="Q35" s="6">
        <v>0</v>
      </c>
      <c r="R35" s="6"/>
      <c r="S35" s="6"/>
      <c r="T35" s="6">
        <v>0</v>
      </c>
      <c r="U35" s="6"/>
      <c r="V35" s="6"/>
      <c r="W35" s="6">
        <v>0</v>
      </c>
      <c r="X35" s="6"/>
      <c r="Y35" s="7"/>
      <c r="Z35" s="7"/>
    </row>
    <row r="36" spans="1:26" ht="15.75" customHeight="1" x14ac:dyDescent="0.2">
      <c r="E36" s="2">
        <f>SUM(E21:E35)</f>
        <v>11</v>
      </c>
      <c r="H36" s="2">
        <f>SUM(H21:H35)</f>
        <v>34</v>
      </c>
      <c r="K36" s="2">
        <f>SUM(K21:K35)</f>
        <v>11</v>
      </c>
      <c r="N36" s="2">
        <f>SUM(N21:N35)</f>
        <v>0</v>
      </c>
      <c r="Q36" s="2">
        <f>SUM(Q21:Q35)</f>
        <v>0</v>
      </c>
      <c r="T36" s="2">
        <f>SUM(T21:T35)</f>
        <v>0</v>
      </c>
      <c r="W36" s="2">
        <f>SUM(W21:W35)</f>
        <v>0</v>
      </c>
    </row>
    <row r="37" spans="1:26" ht="15.75" customHeight="1" x14ac:dyDescent="0.2"/>
    <row r="38" spans="1:26" ht="15.75" customHeight="1" x14ac:dyDescent="0.2"/>
    <row r="39" spans="1:26" ht="15.75" customHeight="1" x14ac:dyDescent="0.2"/>
    <row r="40" spans="1:26" ht="15.75" customHeight="1" x14ac:dyDescent="0.2"/>
    <row r="41" spans="1:26" ht="15.75" customHeight="1" x14ac:dyDescent="0.2"/>
    <row r="42" spans="1:26" ht="15.75" customHeight="1" x14ac:dyDescent="0.2"/>
    <row r="43" spans="1:26" ht="15.75" customHeight="1" x14ac:dyDescent="0.2"/>
    <row r="44" spans="1:26" ht="15.75" customHeight="1" x14ac:dyDescent="0.2"/>
    <row r="45" spans="1:26" ht="15.75" customHeight="1" x14ac:dyDescent="0.2"/>
    <row r="46" spans="1:26" ht="15.75" customHeight="1" x14ac:dyDescent="0.2"/>
    <row r="47" spans="1:26" ht="15.75" customHeight="1" x14ac:dyDescent="0.2"/>
    <row r="48" spans="1:26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100-000000000000}">
          <x14:formula1>
            <xm:f>Rosters!$G:$G</xm:f>
          </x14:formula1>
          <xm:sqref>B1 B19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000"/>
  <sheetViews>
    <sheetView workbookViewId="0"/>
  </sheetViews>
  <sheetFormatPr baseColWidth="10" defaultColWidth="11.1640625" defaultRowHeight="15" customHeight="1" x14ac:dyDescent="0.2"/>
  <cols>
    <col min="1" max="1" width="14.83203125" customWidth="1"/>
    <col min="2" max="2" width="2.33203125" customWidth="1"/>
    <col min="3" max="6" width="10.5" customWidth="1"/>
    <col min="7" max="7" width="15.1640625" customWidth="1"/>
    <col min="8" max="26" width="10.5" customWidth="1"/>
  </cols>
  <sheetData>
    <row r="1" spans="1:7" ht="15.75" customHeight="1" x14ac:dyDescent="0.2">
      <c r="A1" s="2" t="s">
        <v>28</v>
      </c>
      <c r="B1" s="10" t="s">
        <v>29</v>
      </c>
      <c r="C1" s="2" t="s">
        <v>2</v>
      </c>
      <c r="D1" s="2" t="s">
        <v>3</v>
      </c>
      <c r="E1" s="2" t="s">
        <v>30</v>
      </c>
      <c r="G1" s="10" t="s">
        <v>31</v>
      </c>
    </row>
    <row r="2" spans="1:7" ht="15.75" customHeight="1" x14ac:dyDescent="0.2">
      <c r="A2" s="2" t="s">
        <v>32</v>
      </c>
      <c r="B2" s="10" t="str">
        <f t="shared" ref="B2:B102" si="0">A2&amp;COUNTIF($A$2:$A2,A2)</f>
        <v>Team Egan1</v>
      </c>
      <c r="C2" s="2" t="s">
        <v>33</v>
      </c>
      <c r="D2" s="2" t="s">
        <v>34</v>
      </c>
      <c r="E2" s="2">
        <v>22</v>
      </c>
      <c r="G2" s="10" t="str">
        <f ca="1">IFERROR(__xludf.DUMMYFUNCTION("ARRAY_CONSTRAIN(ARRAYFORMULA(UNIQUE(A2:A100)), 9, 1)"),"Team Egan")</f>
        <v>Team Egan</v>
      </c>
    </row>
    <row r="3" spans="1:7" ht="15.75" customHeight="1" x14ac:dyDescent="0.2">
      <c r="A3" s="2" t="s">
        <v>32</v>
      </c>
      <c r="B3" s="10" t="str">
        <f t="shared" si="0"/>
        <v>Team Egan2</v>
      </c>
      <c r="C3" s="2" t="s">
        <v>35</v>
      </c>
      <c r="D3" s="2" t="s">
        <v>36</v>
      </c>
      <c r="E3" s="2">
        <v>13</v>
      </c>
      <c r="G3" s="10" t="str">
        <f ca="1">IFERROR(__xludf.DUMMYFUNCTION("""COMPUTED_VALUE"""),"Team Covington")</f>
        <v>Team Covington</v>
      </c>
    </row>
    <row r="4" spans="1:7" ht="15.75" customHeight="1" x14ac:dyDescent="0.2">
      <c r="A4" s="2" t="s">
        <v>32</v>
      </c>
      <c r="B4" s="10" t="str">
        <f t="shared" si="0"/>
        <v>Team Egan3</v>
      </c>
      <c r="C4" s="2" t="s">
        <v>37</v>
      </c>
      <c r="D4" s="2" t="s">
        <v>38</v>
      </c>
      <c r="E4" s="2">
        <v>0</v>
      </c>
      <c r="G4" s="10" t="str">
        <f ca="1">IFERROR(__xludf.DUMMYFUNCTION("""COMPUTED_VALUE"""),"Team Drisdom")</f>
        <v>Team Drisdom</v>
      </c>
    </row>
    <row r="5" spans="1:7" ht="15.75" customHeight="1" x14ac:dyDescent="0.2">
      <c r="A5" s="2" t="s">
        <v>32</v>
      </c>
      <c r="B5" s="10" t="str">
        <f t="shared" si="0"/>
        <v>Team Egan4</v>
      </c>
      <c r="C5" s="2" t="s">
        <v>39</v>
      </c>
      <c r="D5" s="2" t="s">
        <v>40</v>
      </c>
      <c r="E5" s="2">
        <v>1</v>
      </c>
      <c r="G5" s="10" t="str">
        <f ca="1">IFERROR(__xludf.DUMMYFUNCTION("""COMPUTED_VALUE"""),"Team Bullock")</f>
        <v>Team Bullock</v>
      </c>
    </row>
    <row r="6" spans="1:7" ht="15.75" customHeight="1" x14ac:dyDescent="0.2">
      <c r="A6" s="2" t="s">
        <v>32</v>
      </c>
      <c r="B6" s="10" t="str">
        <f t="shared" si="0"/>
        <v>Team Egan5</v>
      </c>
      <c r="C6" s="2" t="s">
        <v>41</v>
      </c>
      <c r="D6" s="2" t="s">
        <v>42</v>
      </c>
      <c r="E6" s="2">
        <v>15</v>
      </c>
      <c r="G6" s="10" t="str">
        <f ca="1">IFERROR(__xludf.DUMMYFUNCTION("""COMPUTED_VALUE"""),"Team Erickson")</f>
        <v>Team Erickson</v>
      </c>
    </row>
    <row r="7" spans="1:7" ht="15.75" customHeight="1" x14ac:dyDescent="0.2">
      <c r="A7" s="2" t="s">
        <v>32</v>
      </c>
      <c r="B7" s="10" t="str">
        <f t="shared" si="0"/>
        <v>Team Egan6</v>
      </c>
      <c r="C7" s="2" t="s">
        <v>43</v>
      </c>
      <c r="D7" s="2" t="s">
        <v>44</v>
      </c>
      <c r="E7" s="2">
        <v>7</v>
      </c>
      <c r="G7" s="10" t="str">
        <f ca="1">IFERROR(__xludf.DUMMYFUNCTION("""COMPUTED_VALUE"""),"Team Joyce")</f>
        <v>Team Joyce</v>
      </c>
    </row>
    <row r="8" spans="1:7" ht="15.75" customHeight="1" x14ac:dyDescent="0.2">
      <c r="A8" s="2" t="s">
        <v>32</v>
      </c>
      <c r="B8" s="10" t="str">
        <f t="shared" si="0"/>
        <v>Team Egan7</v>
      </c>
      <c r="C8" s="2" t="s">
        <v>45</v>
      </c>
      <c r="D8" s="2" t="s">
        <v>46</v>
      </c>
      <c r="E8" s="2">
        <v>4</v>
      </c>
      <c r="G8" s="10" t="str">
        <f ca="1">IFERROR(__xludf.DUMMYFUNCTION("""COMPUTED_VALUE"""),"Team Berger")</f>
        <v>Team Berger</v>
      </c>
    </row>
    <row r="9" spans="1:7" ht="15.75" customHeight="1" x14ac:dyDescent="0.2">
      <c r="A9" s="2" t="s">
        <v>32</v>
      </c>
      <c r="B9" s="10" t="str">
        <f t="shared" si="0"/>
        <v>Team Egan8</v>
      </c>
      <c r="C9" s="2" t="s">
        <v>47</v>
      </c>
      <c r="D9" s="2" t="s">
        <v>48</v>
      </c>
      <c r="E9" s="2">
        <v>13</v>
      </c>
      <c r="G9" s="10" t="str">
        <f ca="1">IFERROR(__xludf.DUMMYFUNCTION("""COMPUTED_VALUE"""),"Team Stan")</f>
        <v>Team Stan</v>
      </c>
    </row>
    <row r="10" spans="1:7" ht="15.75" customHeight="1" x14ac:dyDescent="0.2">
      <c r="A10" s="2" t="s">
        <v>32</v>
      </c>
      <c r="B10" s="10" t="str">
        <f t="shared" si="0"/>
        <v>Team Egan9</v>
      </c>
      <c r="C10" s="2" t="s">
        <v>49</v>
      </c>
      <c r="D10" s="2" t="s">
        <v>50</v>
      </c>
      <c r="E10" s="2">
        <v>21</v>
      </c>
      <c r="G10" s="10" t="str">
        <f ca="1">IFERROR(__xludf.DUMMYFUNCTION("""COMPUTED_VALUE"""),"Team Humpherys")</f>
        <v>Team Humpherys</v>
      </c>
    </row>
    <row r="11" spans="1:7" ht="15.75" customHeight="1" x14ac:dyDescent="0.2">
      <c r="A11" s="2" t="s">
        <v>25</v>
      </c>
      <c r="B11" s="10" t="str">
        <f t="shared" si="0"/>
        <v>Team Covington1</v>
      </c>
      <c r="C11" s="2" t="s">
        <v>51</v>
      </c>
      <c r="D11" s="2" t="s">
        <v>52</v>
      </c>
      <c r="E11" s="2">
        <v>34</v>
      </c>
      <c r="G11" s="10"/>
    </row>
    <row r="12" spans="1:7" ht="15.75" customHeight="1" x14ac:dyDescent="0.2">
      <c r="A12" s="2" t="s">
        <v>25</v>
      </c>
      <c r="B12" s="10" t="str">
        <f t="shared" si="0"/>
        <v>Team Covington2</v>
      </c>
      <c r="C12" s="2" t="s">
        <v>53</v>
      </c>
      <c r="D12" s="2" t="s">
        <v>54</v>
      </c>
      <c r="E12" s="2">
        <v>4</v>
      </c>
      <c r="G12" s="10"/>
    </row>
    <row r="13" spans="1:7" ht="15.75" customHeight="1" x14ac:dyDescent="0.2">
      <c r="A13" s="2" t="s">
        <v>25</v>
      </c>
      <c r="B13" s="10" t="str">
        <f t="shared" si="0"/>
        <v>Team Covington3</v>
      </c>
      <c r="C13" s="2" t="s">
        <v>55</v>
      </c>
      <c r="D13" s="2" t="s">
        <v>56</v>
      </c>
      <c r="E13" s="2">
        <v>21</v>
      </c>
      <c r="G13" s="10"/>
    </row>
    <row r="14" spans="1:7" ht="15.75" customHeight="1" x14ac:dyDescent="0.2">
      <c r="A14" s="2" t="s">
        <v>25</v>
      </c>
      <c r="B14" s="10" t="str">
        <f t="shared" si="0"/>
        <v>Team Covington4</v>
      </c>
      <c r="C14" s="2" t="s">
        <v>57</v>
      </c>
      <c r="D14" s="2" t="s">
        <v>58</v>
      </c>
      <c r="E14" s="2">
        <v>87</v>
      </c>
      <c r="G14" s="10"/>
    </row>
    <row r="15" spans="1:7" ht="15.75" customHeight="1" x14ac:dyDescent="0.2">
      <c r="A15" s="2" t="s">
        <v>25</v>
      </c>
      <c r="B15" s="10" t="str">
        <f t="shared" si="0"/>
        <v>Team Covington5</v>
      </c>
      <c r="C15" s="2" t="s">
        <v>59</v>
      </c>
      <c r="D15" s="2" t="s">
        <v>60</v>
      </c>
      <c r="E15" s="2">
        <v>23</v>
      </c>
      <c r="G15" s="10"/>
    </row>
    <row r="16" spans="1:7" ht="15.75" customHeight="1" x14ac:dyDescent="0.2">
      <c r="A16" s="2" t="s">
        <v>25</v>
      </c>
      <c r="B16" s="10" t="str">
        <f t="shared" si="0"/>
        <v>Team Covington6</v>
      </c>
      <c r="C16" s="2" t="s">
        <v>61</v>
      </c>
      <c r="D16" s="2" t="s">
        <v>62</v>
      </c>
      <c r="E16" s="2">
        <v>2</v>
      </c>
      <c r="G16" s="10"/>
    </row>
    <row r="17" spans="1:7" ht="15.75" customHeight="1" x14ac:dyDescent="0.2">
      <c r="A17" s="2" t="s">
        <v>25</v>
      </c>
      <c r="B17" s="10" t="str">
        <f t="shared" si="0"/>
        <v>Team Covington7</v>
      </c>
      <c r="C17" s="2" t="s">
        <v>63</v>
      </c>
      <c r="D17" s="2" t="s">
        <v>64</v>
      </c>
      <c r="E17" s="2">
        <v>10</v>
      </c>
      <c r="G17" s="10"/>
    </row>
    <row r="18" spans="1:7" ht="15.75" customHeight="1" x14ac:dyDescent="0.2">
      <c r="A18" s="2" t="s">
        <v>25</v>
      </c>
      <c r="B18" s="10" t="str">
        <f t="shared" si="0"/>
        <v>Team Covington8</v>
      </c>
      <c r="C18" s="2" t="s">
        <v>65</v>
      </c>
      <c r="D18" s="2" t="s">
        <v>66</v>
      </c>
      <c r="E18" s="2">
        <v>25</v>
      </c>
      <c r="G18" s="10"/>
    </row>
    <row r="19" spans="1:7" ht="15.75" customHeight="1" x14ac:dyDescent="0.2">
      <c r="A19" s="2" t="s">
        <v>25</v>
      </c>
      <c r="B19" s="10" t="str">
        <f t="shared" si="0"/>
        <v>Team Covington9</v>
      </c>
      <c r="C19" s="2" t="s">
        <v>67</v>
      </c>
      <c r="D19" s="2" t="s">
        <v>68</v>
      </c>
      <c r="E19" s="2">
        <v>3</v>
      </c>
      <c r="G19" s="10"/>
    </row>
    <row r="20" spans="1:7" ht="15.75" customHeight="1" x14ac:dyDescent="0.2">
      <c r="A20" s="2" t="s">
        <v>25</v>
      </c>
      <c r="B20" s="10" t="str">
        <f t="shared" si="0"/>
        <v>Team Covington10</v>
      </c>
      <c r="C20" s="2" t="s">
        <v>68</v>
      </c>
      <c r="D20" s="2" t="s">
        <v>69</v>
      </c>
      <c r="E20" s="2">
        <v>33</v>
      </c>
      <c r="G20" s="10"/>
    </row>
    <row r="21" spans="1:7" ht="15.75" customHeight="1" x14ac:dyDescent="0.2">
      <c r="A21" s="2" t="s">
        <v>25</v>
      </c>
      <c r="B21" s="10" t="str">
        <f t="shared" si="0"/>
        <v>Team Covington11</v>
      </c>
      <c r="C21" s="2" t="s">
        <v>70</v>
      </c>
      <c r="D21" s="2" t="s">
        <v>71</v>
      </c>
      <c r="E21" s="2">
        <v>16</v>
      </c>
      <c r="G21" s="10"/>
    </row>
    <row r="22" spans="1:7" ht="15.75" customHeight="1" x14ac:dyDescent="0.2">
      <c r="A22" s="2" t="s">
        <v>25</v>
      </c>
      <c r="B22" s="10" t="str">
        <f t="shared" si="0"/>
        <v>Team Covington12</v>
      </c>
      <c r="C22" s="2" t="s">
        <v>53</v>
      </c>
      <c r="D22" s="2" t="s">
        <v>72</v>
      </c>
      <c r="E22" s="2">
        <v>14</v>
      </c>
      <c r="G22" s="10"/>
    </row>
    <row r="23" spans="1:7" ht="15.75" customHeight="1" x14ac:dyDescent="0.2">
      <c r="A23" s="2" t="s">
        <v>73</v>
      </c>
      <c r="B23" s="10" t="str">
        <f t="shared" si="0"/>
        <v>Team Drisdom1</v>
      </c>
      <c r="C23" s="2" t="s">
        <v>74</v>
      </c>
      <c r="D23" s="2" t="s">
        <v>75</v>
      </c>
      <c r="E23" s="2">
        <v>7</v>
      </c>
      <c r="G23" s="10"/>
    </row>
    <row r="24" spans="1:7" ht="15.75" customHeight="1" x14ac:dyDescent="0.2">
      <c r="A24" s="2" t="s">
        <v>73</v>
      </c>
      <c r="B24" s="10" t="str">
        <f t="shared" si="0"/>
        <v>Team Drisdom2</v>
      </c>
      <c r="C24" s="2" t="s">
        <v>76</v>
      </c>
      <c r="D24" s="2" t="s">
        <v>77</v>
      </c>
      <c r="E24" s="2">
        <v>5</v>
      </c>
      <c r="G24" s="10"/>
    </row>
    <row r="25" spans="1:7" ht="15.75" customHeight="1" x14ac:dyDescent="0.2">
      <c r="A25" s="2" t="s">
        <v>73</v>
      </c>
      <c r="B25" s="10" t="str">
        <f t="shared" si="0"/>
        <v>Team Drisdom3</v>
      </c>
      <c r="C25" s="2" t="s">
        <v>78</v>
      </c>
      <c r="D25" s="2" t="s">
        <v>60</v>
      </c>
      <c r="E25" s="2">
        <v>10</v>
      </c>
      <c r="G25" s="10"/>
    </row>
    <row r="26" spans="1:7" ht="15.75" customHeight="1" x14ac:dyDescent="0.2">
      <c r="A26" s="2" t="s">
        <v>73</v>
      </c>
      <c r="B26" s="10" t="str">
        <f t="shared" si="0"/>
        <v>Team Drisdom4</v>
      </c>
      <c r="C26" s="2" t="s">
        <v>79</v>
      </c>
      <c r="D26" s="2" t="s">
        <v>80</v>
      </c>
      <c r="E26" s="2">
        <v>11</v>
      </c>
      <c r="G26" s="10"/>
    </row>
    <row r="27" spans="1:7" ht="15.75" customHeight="1" x14ac:dyDescent="0.2">
      <c r="A27" s="2" t="s">
        <v>73</v>
      </c>
      <c r="B27" s="10" t="str">
        <f t="shared" si="0"/>
        <v>Team Drisdom5</v>
      </c>
      <c r="C27" s="2" t="s">
        <v>81</v>
      </c>
      <c r="D27" s="2" t="s">
        <v>80</v>
      </c>
      <c r="E27" s="2">
        <v>2</v>
      </c>
      <c r="G27" s="10"/>
    </row>
    <row r="28" spans="1:7" ht="15.75" customHeight="1" x14ac:dyDescent="0.2">
      <c r="A28" s="2" t="s">
        <v>73</v>
      </c>
      <c r="B28" s="10" t="str">
        <f t="shared" si="0"/>
        <v>Team Drisdom6</v>
      </c>
      <c r="C28" s="2" t="s">
        <v>65</v>
      </c>
      <c r="D28" s="2" t="s">
        <v>82</v>
      </c>
      <c r="E28" s="2">
        <v>0</v>
      </c>
      <c r="G28" s="10"/>
    </row>
    <row r="29" spans="1:7" ht="15.75" customHeight="1" x14ac:dyDescent="0.2">
      <c r="A29" s="2" t="s">
        <v>73</v>
      </c>
      <c r="B29" s="10" t="str">
        <f t="shared" si="0"/>
        <v>Team Drisdom7</v>
      </c>
      <c r="C29" s="2" t="s">
        <v>83</v>
      </c>
      <c r="D29" s="2" t="s">
        <v>75</v>
      </c>
      <c r="E29" s="2">
        <v>13</v>
      </c>
      <c r="G29" s="10"/>
    </row>
    <row r="30" spans="1:7" ht="15.75" customHeight="1" x14ac:dyDescent="0.2">
      <c r="A30" s="2" t="s">
        <v>73</v>
      </c>
      <c r="B30" s="10" t="str">
        <f t="shared" si="0"/>
        <v>Team Drisdom8</v>
      </c>
      <c r="C30" s="2" t="s">
        <v>84</v>
      </c>
      <c r="D30" s="2" t="s">
        <v>85</v>
      </c>
      <c r="E30" s="2">
        <v>1</v>
      </c>
      <c r="G30" s="10"/>
    </row>
    <row r="31" spans="1:7" ht="15.75" customHeight="1" x14ac:dyDescent="0.2">
      <c r="A31" s="2" t="s">
        <v>73</v>
      </c>
      <c r="B31" s="10" t="str">
        <f t="shared" si="0"/>
        <v>Team Drisdom9</v>
      </c>
      <c r="C31" s="2" t="s">
        <v>86</v>
      </c>
      <c r="D31" s="2" t="s">
        <v>87</v>
      </c>
      <c r="E31" s="2">
        <v>4</v>
      </c>
      <c r="G31" s="10"/>
    </row>
    <row r="32" spans="1:7" ht="15.75" customHeight="1" x14ac:dyDescent="0.2">
      <c r="A32" s="2" t="s">
        <v>73</v>
      </c>
      <c r="B32" s="10" t="str">
        <f t="shared" si="0"/>
        <v>Team Drisdom10</v>
      </c>
      <c r="C32" s="2" t="s">
        <v>88</v>
      </c>
      <c r="D32" s="2" t="s">
        <v>89</v>
      </c>
      <c r="E32" s="2">
        <v>6</v>
      </c>
      <c r="G32" s="10"/>
    </row>
    <row r="33" spans="1:7" ht="15.75" customHeight="1" x14ac:dyDescent="0.2">
      <c r="A33" s="2" t="s">
        <v>73</v>
      </c>
      <c r="B33" s="10" t="str">
        <f t="shared" si="0"/>
        <v>Team Drisdom11</v>
      </c>
      <c r="C33" s="2" t="s">
        <v>90</v>
      </c>
      <c r="D33" s="2" t="s">
        <v>91</v>
      </c>
      <c r="E33" s="2">
        <v>20</v>
      </c>
      <c r="G33" s="10"/>
    </row>
    <row r="34" spans="1:7" ht="15.75" customHeight="1" x14ac:dyDescent="0.2">
      <c r="A34" s="2" t="s">
        <v>92</v>
      </c>
      <c r="B34" s="10" t="str">
        <f t="shared" si="0"/>
        <v>Team Bullock1</v>
      </c>
      <c r="C34" s="2" t="s">
        <v>93</v>
      </c>
      <c r="D34" s="2" t="s">
        <v>94</v>
      </c>
      <c r="E34" s="2">
        <v>3</v>
      </c>
      <c r="G34" s="10"/>
    </row>
    <row r="35" spans="1:7" ht="15.75" customHeight="1" x14ac:dyDescent="0.2">
      <c r="A35" s="2" t="s">
        <v>92</v>
      </c>
      <c r="B35" s="10" t="str">
        <f t="shared" si="0"/>
        <v>Team Bullock2</v>
      </c>
      <c r="C35" s="2" t="s">
        <v>95</v>
      </c>
      <c r="D35" s="2" t="s">
        <v>96</v>
      </c>
      <c r="E35" s="2">
        <v>21</v>
      </c>
      <c r="G35" s="10"/>
    </row>
    <row r="36" spans="1:7" ht="15.75" customHeight="1" x14ac:dyDescent="0.2">
      <c r="A36" s="2" t="s">
        <v>92</v>
      </c>
      <c r="B36" s="10" t="str">
        <f t="shared" si="0"/>
        <v>Team Bullock3</v>
      </c>
      <c r="C36" s="2" t="s">
        <v>97</v>
      </c>
      <c r="D36" s="2" t="s">
        <v>98</v>
      </c>
      <c r="E36" s="2">
        <v>15</v>
      </c>
      <c r="G36" s="10"/>
    </row>
    <row r="37" spans="1:7" ht="15.75" customHeight="1" x14ac:dyDescent="0.2">
      <c r="A37" s="2" t="s">
        <v>92</v>
      </c>
      <c r="B37" s="10" t="str">
        <f t="shared" si="0"/>
        <v>Team Bullock4</v>
      </c>
      <c r="C37" s="2" t="s">
        <v>99</v>
      </c>
      <c r="D37" s="2" t="s">
        <v>100</v>
      </c>
      <c r="E37" s="2">
        <v>5</v>
      </c>
      <c r="G37" s="10"/>
    </row>
    <row r="38" spans="1:7" ht="15.75" customHeight="1" x14ac:dyDescent="0.2">
      <c r="A38" s="2" t="s">
        <v>92</v>
      </c>
      <c r="B38" s="10" t="str">
        <f t="shared" si="0"/>
        <v>Team Bullock5</v>
      </c>
      <c r="C38" s="2" t="s">
        <v>101</v>
      </c>
      <c r="D38" s="2" t="s">
        <v>102</v>
      </c>
      <c r="E38" s="2">
        <v>7</v>
      </c>
      <c r="G38" s="10"/>
    </row>
    <row r="39" spans="1:7" ht="15.75" customHeight="1" x14ac:dyDescent="0.2">
      <c r="A39" s="2" t="s">
        <v>92</v>
      </c>
      <c r="B39" s="10" t="str">
        <f t="shared" si="0"/>
        <v>Team Bullock6</v>
      </c>
      <c r="C39" s="2" t="s">
        <v>103</v>
      </c>
      <c r="D39" s="2" t="s">
        <v>104</v>
      </c>
      <c r="E39" s="2">
        <v>24</v>
      </c>
      <c r="G39" s="10"/>
    </row>
    <row r="40" spans="1:7" ht="15.75" customHeight="1" x14ac:dyDescent="0.2">
      <c r="A40" s="2" t="s">
        <v>92</v>
      </c>
      <c r="B40" s="10" t="str">
        <f t="shared" si="0"/>
        <v>Team Bullock7</v>
      </c>
      <c r="C40" s="2" t="s">
        <v>105</v>
      </c>
      <c r="D40" s="2" t="s">
        <v>106</v>
      </c>
      <c r="E40" s="2">
        <v>8</v>
      </c>
      <c r="G40" s="10"/>
    </row>
    <row r="41" spans="1:7" ht="15.75" customHeight="1" x14ac:dyDescent="0.2">
      <c r="A41" s="2" t="s">
        <v>92</v>
      </c>
      <c r="B41" s="10" t="str">
        <f t="shared" si="0"/>
        <v>Team Bullock8</v>
      </c>
      <c r="C41" s="2" t="s">
        <v>107</v>
      </c>
      <c r="D41" s="2" t="s">
        <v>108</v>
      </c>
      <c r="E41" s="2">
        <v>20</v>
      </c>
      <c r="G41" s="10"/>
    </row>
    <row r="42" spans="1:7" ht="15.75" customHeight="1" x14ac:dyDescent="0.2">
      <c r="A42" s="2" t="s">
        <v>92</v>
      </c>
      <c r="B42" s="10" t="str">
        <f t="shared" si="0"/>
        <v>Team Bullock9</v>
      </c>
      <c r="C42" s="2" t="s">
        <v>109</v>
      </c>
      <c r="D42" s="2" t="s">
        <v>110</v>
      </c>
      <c r="E42" s="2">
        <v>22</v>
      </c>
      <c r="G42" s="10"/>
    </row>
    <row r="43" spans="1:7" ht="15.75" customHeight="1" x14ac:dyDescent="0.2">
      <c r="A43" s="2" t="s">
        <v>92</v>
      </c>
      <c r="B43" s="10" t="str">
        <f t="shared" si="0"/>
        <v>Team Bullock10</v>
      </c>
      <c r="C43" s="2" t="s">
        <v>111</v>
      </c>
      <c r="D43" s="2" t="s">
        <v>112</v>
      </c>
      <c r="E43" s="2">
        <v>23</v>
      </c>
      <c r="G43" s="10"/>
    </row>
    <row r="44" spans="1:7" ht="15.75" customHeight="1" x14ac:dyDescent="0.2">
      <c r="A44" s="2" t="s">
        <v>92</v>
      </c>
      <c r="B44" s="10" t="str">
        <f t="shared" si="0"/>
        <v>Team Bullock11</v>
      </c>
      <c r="C44" s="2" t="s">
        <v>113</v>
      </c>
      <c r="D44" s="2" t="s">
        <v>114</v>
      </c>
      <c r="E44" s="2">
        <v>12</v>
      </c>
      <c r="G44" s="10"/>
    </row>
    <row r="45" spans="1:7" ht="15.75" customHeight="1" x14ac:dyDescent="0.2">
      <c r="A45" s="2" t="s">
        <v>92</v>
      </c>
      <c r="B45" s="10" t="str">
        <f t="shared" si="0"/>
        <v>Team Bullock12</v>
      </c>
      <c r="C45" s="2" t="s">
        <v>115</v>
      </c>
      <c r="D45" s="2" t="s">
        <v>116</v>
      </c>
      <c r="E45" s="2">
        <v>23</v>
      </c>
      <c r="G45" s="10"/>
    </row>
    <row r="46" spans="1:7" ht="15.75" customHeight="1" x14ac:dyDescent="0.2">
      <c r="A46" s="2" t="s">
        <v>13</v>
      </c>
      <c r="B46" s="10" t="str">
        <f t="shared" si="0"/>
        <v>Team Erickson1</v>
      </c>
      <c r="C46" s="2" t="s">
        <v>117</v>
      </c>
      <c r="D46" s="2" t="s">
        <v>118</v>
      </c>
      <c r="E46" s="2">
        <v>20</v>
      </c>
      <c r="G46" s="10"/>
    </row>
    <row r="47" spans="1:7" ht="15.75" customHeight="1" x14ac:dyDescent="0.2">
      <c r="A47" s="2" t="s">
        <v>13</v>
      </c>
      <c r="B47" s="10" t="str">
        <f t="shared" si="0"/>
        <v>Team Erickson2</v>
      </c>
      <c r="C47" s="2" t="s">
        <v>119</v>
      </c>
      <c r="D47" s="2" t="s">
        <v>120</v>
      </c>
      <c r="E47" s="2">
        <v>3</v>
      </c>
      <c r="G47" s="10"/>
    </row>
    <row r="48" spans="1:7" ht="15.75" customHeight="1" x14ac:dyDescent="0.2">
      <c r="A48" s="2" t="s">
        <v>13</v>
      </c>
      <c r="B48" s="10" t="str">
        <f t="shared" si="0"/>
        <v>Team Erickson3</v>
      </c>
      <c r="C48" s="2" t="s">
        <v>121</v>
      </c>
      <c r="D48" s="2" t="s">
        <v>122</v>
      </c>
      <c r="E48" s="2">
        <v>5</v>
      </c>
      <c r="G48" s="10"/>
    </row>
    <row r="49" spans="1:7" ht="15.75" customHeight="1" x14ac:dyDescent="0.2">
      <c r="A49" s="2" t="s">
        <v>13</v>
      </c>
      <c r="B49" s="10" t="str">
        <f t="shared" si="0"/>
        <v>Team Erickson4</v>
      </c>
      <c r="C49" s="2" t="s">
        <v>123</v>
      </c>
      <c r="D49" s="2" t="s">
        <v>124</v>
      </c>
      <c r="E49" s="2">
        <v>30</v>
      </c>
      <c r="G49" s="10"/>
    </row>
    <row r="50" spans="1:7" ht="15.75" customHeight="1" x14ac:dyDescent="0.2">
      <c r="A50" s="2" t="s">
        <v>13</v>
      </c>
      <c r="B50" s="10" t="str">
        <f t="shared" si="0"/>
        <v>Team Erickson5</v>
      </c>
      <c r="C50" s="2" t="s">
        <v>125</v>
      </c>
      <c r="D50" s="2" t="s">
        <v>126</v>
      </c>
      <c r="E50" s="2">
        <v>4</v>
      </c>
      <c r="G50" s="10"/>
    </row>
    <row r="51" spans="1:7" ht="15.75" customHeight="1" x14ac:dyDescent="0.2">
      <c r="A51" s="2" t="s">
        <v>13</v>
      </c>
      <c r="B51" s="10" t="str">
        <f t="shared" si="0"/>
        <v>Team Erickson6</v>
      </c>
      <c r="C51" s="2" t="s">
        <v>117</v>
      </c>
      <c r="D51" s="2" t="s">
        <v>127</v>
      </c>
      <c r="E51" s="2">
        <v>13</v>
      </c>
      <c r="G51" s="10"/>
    </row>
    <row r="52" spans="1:7" ht="15.75" customHeight="1" x14ac:dyDescent="0.2">
      <c r="A52" s="2" t="s">
        <v>13</v>
      </c>
      <c r="B52" s="10" t="str">
        <f t="shared" si="0"/>
        <v>Team Erickson7</v>
      </c>
      <c r="C52" s="2" t="s">
        <v>128</v>
      </c>
      <c r="D52" s="2" t="s">
        <v>129</v>
      </c>
      <c r="E52" s="2">
        <v>0</v>
      </c>
      <c r="G52" s="10"/>
    </row>
    <row r="53" spans="1:7" ht="15.75" customHeight="1" x14ac:dyDescent="0.2">
      <c r="A53" s="2" t="s">
        <v>13</v>
      </c>
      <c r="B53" s="10" t="str">
        <f t="shared" si="0"/>
        <v>Team Erickson8</v>
      </c>
      <c r="C53" s="2" t="s">
        <v>130</v>
      </c>
      <c r="D53" s="2" t="s">
        <v>131</v>
      </c>
      <c r="E53" s="2">
        <v>35</v>
      </c>
      <c r="G53" s="10"/>
    </row>
    <row r="54" spans="1:7" ht="15.75" customHeight="1" x14ac:dyDescent="0.2">
      <c r="A54" s="2" t="s">
        <v>132</v>
      </c>
      <c r="B54" s="10" t="str">
        <f t="shared" si="0"/>
        <v>Team Joyce1</v>
      </c>
      <c r="C54" s="2" t="s">
        <v>133</v>
      </c>
      <c r="D54" s="2" t="s">
        <v>134</v>
      </c>
      <c r="E54" s="2">
        <v>34</v>
      </c>
      <c r="G54" s="10"/>
    </row>
    <row r="55" spans="1:7" ht="15.75" customHeight="1" x14ac:dyDescent="0.2">
      <c r="A55" s="2" t="s">
        <v>132</v>
      </c>
      <c r="B55" s="10" t="str">
        <f t="shared" si="0"/>
        <v>Team Joyce2</v>
      </c>
      <c r="C55" s="2" t="s">
        <v>135</v>
      </c>
      <c r="D55" s="2" t="s">
        <v>136</v>
      </c>
      <c r="E55" s="2">
        <v>0</v>
      </c>
      <c r="G55" s="10"/>
    </row>
    <row r="56" spans="1:7" ht="15.75" customHeight="1" x14ac:dyDescent="0.2">
      <c r="A56" s="2" t="s">
        <v>132</v>
      </c>
      <c r="B56" s="10" t="str">
        <f t="shared" si="0"/>
        <v>Team Joyce3</v>
      </c>
      <c r="C56" s="2" t="s">
        <v>137</v>
      </c>
      <c r="D56" s="2" t="s">
        <v>138</v>
      </c>
      <c r="E56" s="2">
        <v>23</v>
      </c>
      <c r="G56" s="10"/>
    </row>
    <row r="57" spans="1:7" ht="15.75" customHeight="1" x14ac:dyDescent="0.2">
      <c r="A57" s="2" t="s">
        <v>132</v>
      </c>
      <c r="B57" s="10" t="str">
        <f t="shared" si="0"/>
        <v>Team Joyce4</v>
      </c>
      <c r="C57" s="2" t="s">
        <v>139</v>
      </c>
      <c r="D57" s="2" t="s">
        <v>140</v>
      </c>
      <c r="E57" s="2">
        <v>3</v>
      </c>
      <c r="G57" s="10"/>
    </row>
    <row r="58" spans="1:7" ht="15.75" customHeight="1" x14ac:dyDescent="0.2">
      <c r="A58" s="2" t="s">
        <v>132</v>
      </c>
      <c r="B58" s="10" t="str">
        <f t="shared" si="0"/>
        <v>Team Joyce5</v>
      </c>
      <c r="C58" s="2" t="s">
        <v>141</v>
      </c>
      <c r="D58" s="2" t="s">
        <v>142</v>
      </c>
      <c r="E58" s="2">
        <v>35</v>
      </c>
      <c r="G58" s="10"/>
    </row>
    <row r="59" spans="1:7" ht="15.75" customHeight="1" x14ac:dyDescent="0.2">
      <c r="A59" s="2" t="s">
        <v>132</v>
      </c>
      <c r="B59" s="10" t="str">
        <f t="shared" si="0"/>
        <v>Team Joyce6</v>
      </c>
      <c r="C59" s="2" t="s">
        <v>143</v>
      </c>
      <c r="D59" s="2" t="s">
        <v>144</v>
      </c>
      <c r="E59" s="2">
        <v>31</v>
      </c>
      <c r="G59" s="10"/>
    </row>
    <row r="60" spans="1:7" ht="15.75" customHeight="1" x14ac:dyDescent="0.2">
      <c r="A60" s="2" t="s">
        <v>132</v>
      </c>
      <c r="B60" s="10" t="str">
        <f t="shared" si="0"/>
        <v>Team Joyce7</v>
      </c>
      <c r="C60" s="2" t="s">
        <v>14</v>
      </c>
      <c r="D60" s="2" t="s">
        <v>145</v>
      </c>
      <c r="E60" s="2">
        <v>21</v>
      </c>
      <c r="G60" s="10"/>
    </row>
    <row r="61" spans="1:7" ht="15.75" customHeight="1" x14ac:dyDescent="0.2">
      <c r="A61" s="2" t="s">
        <v>132</v>
      </c>
      <c r="B61" s="10" t="str">
        <f t="shared" si="0"/>
        <v>Team Joyce8</v>
      </c>
      <c r="C61" s="2" t="s">
        <v>146</v>
      </c>
      <c r="D61" s="2" t="s">
        <v>147</v>
      </c>
      <c r="E61" s="2">
        <v>11</v>
      </c>
      <c r="G61" s="10"/>
    </row>
    <row r="62" spans="1:7" ht="15.75" customHeight="1" x14ac:dyDescent="0.2">
      <c r="A62" s="2" t="s">
        <v>132</v>
      </c>
      <c r="B62" s="10" t="str">
        <f t="shared" si="0"/>
        <v>Team Joyce9</v>
      </c>
      <c r="C62" s="2" t="s">
        <v>148</v>
      </c>
      <c r="D62" s="2" t="s">
        <v>149</v>
      </c>
      <c r="E62" s="2">
        <v>24</v>
      </c>
      <c r="G62" s="10"/>
    </row>
    <row r="63" spans="1:7" ht="15.75" customHeight="1" x14ac:dyDescent="0.2">
      <c r="A63" s="2" t="s">
        <v>132</v>
      </c>
      <c r="B63" s="10" t="str">
        <f t="shared" si="0"/>
        <v>Team Joyce10</v>
      </c>
      <c r="C63" s="2" t="s">
        <v>20</v>
      </c>
      <c r="D63" s="2" t="s">
        <v>150</v>
      </c>
      <c r="E63" s="2">
        <v>1</v>
      </c>
      <c r="G63" s="10"/>
    </row>
    <row r="64" spans="1:7" ht="15.75" customHeight="1" x14ac:dyDescent="0.2">
      <c r="A64" s="2" t="s">
        <v>132</v>
      </c>
      <c r="B64" s="10" t="str">
        <f t="shared" si="0"/>
        <v>Team Joyce11</v>
      </c>
      <c r="C64" s="2" t="s">
        <v>151</v>
      </c>
      <c r="D64" s="2" t="s">
        <v>152</v>
      </c>
      <c r="E64" s="2">
        <v>10</v>
      </c>
      <c r="G64" s="10"/>
    </row>
    <row r="65" spans="1:7" ht="15.75" customHeight="1" x14ac:dyDescent="0.2">
      <c r="A65" s="2" t="s">
        <v>153</v>
      </c>
      <c r="B65" s="10" t="str">
        <f t="shared" si="0"/>
        <v>Team Berger1</v>
      </c>
      <c r="C65" s="2" t="s">
        <v>154</v>
      </c>
      <c r="D65" s="2" t="s">
        <v>87</v>
      </c>
      <c r="E65" s="2">
        <v>60</v>
      </c>
      <c r="G65" s="10"/>
    </row>
    <row r="66" spans="1:7" ht="15.75" customHeight="1" x14ac:dyDescent="0.2">
      <c r="A66" s="2" t="s">
        <v>153</v>
      </c>
      <c r="B66" s="10" t="str">
        <f t="shared" si="0"/>
        <v>Team Berger2</v>
      </c>
      <c r="C66" s="2" t="s">
        <v>155</v>
      </c>
      <c r="D66" s="2" t="s">
        <v>156</v>
      </c>
      <c r="E66" s="11">
        <v>7</v>
      </c>
      <c r="G66" s="10"/>
    </row>
    <row r="67" spans="1:7" ht="15.75" customHeight="1" x14ac:dyDescent="0.2">
      <c r="A67" s="2" t="s">
        <v>153</v>
      </c>
      <c r="B67" s="10" t="str">
        <f t="shared" si="0"/>
        <v>Team Berger3</v>
      </c>
      <c r="C67" s="2" t="s">
        <v>157</v>
      </c>
      <c r="D67" s="2" t="s">
        <v>158</v>
      </c>
      <c r="E67" s="2">
        <v>12</v>
      </c>
      <c r="G67" s="10"/>
    </row>
    <row r="68" spans="1:7" ht="15.75" customHeight="1" x14ac:dyDescent="0.2">
      <c r="A68" s="2" t="s">
        <v>153</v>
      </c>
      <c r="B68" s="10" t="str">
        <f t="shared" si="0"/>
        <v>Team Berger4</v>
      </c>
      <c r="C68" s="2" t="s">
        <v>159</v>
      </c>
      <c r="D68" s="2" t="s">
        <v>160</v>
      </c>
      <c r="E68" s="2">
        <v>99</v>
      </c>
      <c r="G68" s="10"/>
    </row>
    <row r="69" spans="1:7" ht="15.75" customHeight="1" x14ac:dyDescent="0.2">
      <c r="A69" s="2" t="s">
        <v>153</v>
      </c>
      <c r="B69" s="10" t="str">
        <f t="shared" si="0"/>
        <v>Team Berger5</v>
      </c>
      <c r="C69" s="2" t="s">
        <v>161</v>
      </c>
      <c r="D69" s="2" t="s">
        <v>162</v>
      </c>
      <c r="E69" s="2">
        <v>33</v>
      </c>
      <c r="G69" s="10"/>
    </row>
    <row r="70" spans="1:7" ht="15.75" customHeight="1" x14ac:dyDescent="0.2">
      <c r="A70" s="2" t="s">
        <v>153</v>
      </c>
      <c r="B70" s="10" t="str">
        <f t="shared" si="0"/>
        <v>Team Berger6</v>
      </c>
      <c r="C70" s="2" t="s">
        <v>163</v>
      </c>
      <c r="D70" s="2" t="s">
        <v>164</v>
      </c>
      <c r="E70" s="2">
        <v>24</v>
      </c>
      <c r="G70" s="10"/>
    </row>
    <row r="71" spans="1:7" ht="15.75" customHeight="1" x14ac:dyDescent="0.2">
      <c r="A71" s="2" t="s">
        <v>153</v>
      </c>
      <c r="B71" s="10" t="str">
        <f t="shared" si="0"/>
        <v>Team Berger7</v>
      </c>
      <c r="C71" s="2" t="s">
        <v>165</v>
      </c>
      <c r="D71" s="2" t="s">
        <v>166</v>
      </c>
      <c r="E71" s="2">
        <v>21</v>
      </c>
      <c r="G71" s="10"/>
    </row>
    <row r="72" spans="1:7" ht="15.75" customHeight="1" x14ac:dyDescent="0.2">
      <c r="A72" s="2" t="s">
        <v>153</v>
      </c>
      <c r="B72" s="10" t="str">
        <f t="shared" si="0"/>
        <v>Team Berger8</v>
      </c>
      <c r="C72" s="2" t="s">
        <v>167</v>
      </c>
      <c r="D72" s="2" t="s">
        <v>168</v>
      </c>
      <c r="E72" s="2">
        <v>15</v>
      </c>
      <c r="G72" s="10"/>
    </row>
    <row r="73" spans="1:7" ht="15.75" customHeight="1" x14ac:dyDescent="0.2">
      <c r="A73" s="2" t="s">
        <v>153</v>
      </c>
      <c r="B73" s="10" t="str">
        <f t="shared" si="0"/>
        <v>Team Berger9</v>
      </c>
      <c r="C73" s="2" t="s">
        <v>169</v>
      </c>
      <c r="D73" s="2" t="s">
        <v>170</v>
      </c>
      <c r="E73" s="2">
        <v>2</v>
      </c>
      <c r="G73" s="10"/>
    </row>
    <row r="74" spans="1:7" ht="15.75" customHeight="1" x14ac:dyDescent="0.2">
      <c r="A74" s="2" t="s">
        <v>153</v>
      </c>
      <c r="B74" s="10" t="str">
        <f t="shared" si="0"/>
        <v>Team Berger10</v>
      </c>
      <c r="C74" s="2" t="s">
        <v>171</v>
      </c>
      <c r="D74" s="2" t="s">
        <v>172</v>
      </c>
      <c r="E74" s="2">
        <v>6</v>
      </c>
      <c r="G74" s="10"/>
    </row>
    <row r="75" spans="1:7" ht="15.75" customHeight="1" x14ac:dyDescent="0.2">
      <c r="A75" s="2" t="s">
        <v>153</v>
      </c>
      <c r="B75" s="10" t="str">
        <f t="shared" si="0"/>
        <v>Team Berger11</v>
      </c>
      <c r="C75" s="2" t="s">
        <v>173</v>
      </c>
      <c r="D75" s="2" t="s">
        <v>174</v>
      </c>
      <c r="G75" s="10"/>
    </row>
    <row r="76" spans="1:7" ht="15.75" customHeight="1" x14ac:dyDescent="0.2">
      <c r="A76" s="2" t="s">
        <v>175</v>
      </c>
      <c r="B76" s="10" t="str">
        <f t="shared" si="0"/>
        <v>Team Stan1</v>
      </c>
      <c r="C76" s="2" t="s">
        <v>176</v>
      </c>
      <c r="D76" s="2" t="s">
        <v>124</v>
      </c>
      <c r="E76" s="2">
        <v>0</v>
      </c>
      <c r="G76" s="10"/>
    </row>
    <row r="77" spans="1:7" ht="15.75" customHeight="1" x14ac:dyDescent="0.2">
      <c r="A77" s="2" t="s">
        <v>175</v>
      </c>
      <c r="B77" s="10" t="str">
        <f t="shared" si="0"/>
        <v>Team Stan2</v>
      </c>
      <c r="C77" s="2" t="s">
        <v>177</v>
      </c>
      <c r="D77" s="2" t="s">
        <v>178</v>
      </c>
      <c r="E77" s="2">
        <v>32</v>
      </c>
      <c r="G77" s="10"/>
    </row>
    <row r="78" spans="1:7" ht="15.75" customHeight="1" x14ac:dyDescent="0.2">
      <c r="A78" s="2" t="s">
        <v>175</v>
      </c>
      <c r="B78" s="10" t="str">
        <f t="shared" si="0"/>
        <v>Team Stan3</v>
      </c>
      <c r="C78" s="2" t="s">
        <v>179</v>
      </c>
      <c r="D78" s="2" t="s">
        <v>180</v>
      </c>
      <c r="E78" s="2">
        <v>1</v>
      </c>
      <c r="G78" s="10"/>
    </row>
    <row r="79" spans="1:7" ht="15.75" customHeight="1" x14ac:dyDescent="0.2">
      <c r="A79" s="2" t="s">
        <v>175</v>
      </c>
      <c r="B79" s="10" t="str">
        <f t="shared" si="0"/>
        <v>Team Stan4</v>
      </c>
      <c r="C79" s="2" t="s">
        <v>181</v>
      </c>
      <c r="D79" s="2" t="s">
        <v>182</v>
      </c>
      <c r="E79" s="2">
        <v>5</v>
      </c>
      <c r="G79" s="10"/>
    </row>
    <row r="80" spans="1:7" ht="15.75" customHeight="1" x14ac:dyDescent="0.2">
      <c r="A80" s="2" t="s">
        <v>175</v>
      </c>
      <c r="B80" s="10" t="str">
        <f t="shared" si="0"/>
        <v>Team Stan5</v>
      </c>
      <c r="C80" s="2" t="s">
        <v>183</v>
      </c>
      <c r="D80" s="2" t="s">
        <v>184</v>
      </c>
      <c r="E80" s="2">
        <v>2</v>
      </c>
      <c r="G80" s="10"/>
    </row>
    <row r="81" spans="1:7" ht="15.75" customHeight="1" x14ac:dyDescent="0.2">
      <c r="A81" s="2" t="s">
        <v>175</v>
      </c>
      <c r="B81" s="10" t="str">
        <f t="shared" si="0"/>
        <v>Team Stan6</v>
      </c>
      <c r="C81" s="2" t="s">
        <v>185</v>
      </c>
      <c r="D81" s="2" t="s">
        <v>186</v>
      </c>
      <c r="E81" s="2">
        <v>11</v>
      </c>
      <c r="G81" s="10"/>
    </row>
    <row r="82" spans="1:7" ht="15.75" customHeight="1" x14ac:dyDescent="0.2">
      <c r="A82" s="2" t="s">
        <v>175</v>
      </c>
      <c r="B82" s="10" t="str">
        <f t="shared" si="0"/>
        <v>Team Stan7</v>
      </c>
      <c r="C82" s="2" t="s">
        <v>187</v>
      </c>
      <c r="D82" s="2" t="s">
        <v>188</v>
      </c>
      <c r="E82" s="2">
        <v>20</v>
      </c>
      <c r="G82" s="10"/>
    </row>
    <row r="83" spans="1:7" ht="15.75" customHeight="1" x14ac:dyDescent="0.2">
      <c r="A83" s="2" t="s">
        <v>175</v>
      </c>
      <c r="B83" s="10" t="str">
        <f t="shared" si="0"/>
        <v>Team Stan8</v>
      </c>
      <c r="C83" s="2" t="s">
        <v>189</v>
      </c>
      <c r="D83" s="2" t="s">
        <v>190</v>
      </c>
      <c r="E83" s="2">
        <v>59</v>
      </c>
      <c r="G83" s="10"/>
    </row>
    <row r="84" spans="1:7" ht="15.75" customHeight="1" x14ac:dyDescent="0.2">
      <c r="A84" s="2" t="s">
        <v>175</v>
      </c>
      <c r="B84" s="10" t="str">
        <f t="shared" si="0"/>
        <v>Team Stan9</v>
      </c>
      <c r="C84" s="2" t="s">
        <v>191</v>
      </c>
      <c r="D84" s="2" t="s">
        <v>192</v>
      </c>
      <c r="E84" s="2">
        <v>35</v>
      </c>
      <c r="G84" s="10"/>
    </row>
    <row r="85" spans="1:7" ht="15.75" customHeight="1" x14ac:dyDescent="0.2">
      <c r="A85" s="2" t="s">
        <v>175</v>
      </c>
      <c r="B85" s="10" t="str">
        <f t="shared" si="0"/>
        <v>Team Stan10</v>
      </c>
      <c r="C85" s="2" t="s">
        <v>193</v>
      </c>
      <c r="D85" s="2" t="s">
        <v>194</v>
      </c>
      <c r="E85" s="2">
        <v>3</v>
      </c>
      <c r="G85" s="10"/>
    </row>
    <row r="86" spans="1:7" ht="15.75" customHeight="1" x14ac:dyDescent="0.2">
      <c r="A86" s="2" t="s">
        <v>175</v>
      </c>
      <c r="B86" s="10" t="str">
        <f t="shared" si="0"/>
        <v>Team Stan11</v>
      </c>
      <c r="C86" s="2" t="s">
        <v>195</v>
      </c>
      <c r="D86" s="2" t="s">
        <v>196</v>
      </c>
      <c r="E86" s="2">
        <v>20</v>
      </c>
      <c r="G86" s="10"/>
    </row>
    <row r="87" spans="1:7" ht="15.75" customHeight="1" x14ac:dyDescent="0.2">
      <c r="A87" s="2" t="s">
        <v>175</v>
      </c>
      <c r="B87" s="10" t="str">
        <f t="shared" si="0"/>
        <v>Team Stan12</v>
      </c>
      <c r="C87" s="2" t="s">
        <v>197</v>
      </c>
      <c r="D87" s="2" t="s">
        <v>198</v>
      </c>
      <c r="E87" s="2">
        <v>24</v>
      </c>
      <c r="G87" s="10"/>
    </row>
    <row r="88" spans="1:7" ht="15.75" customHeight="1" x14ac:dyDescent="0.2">
      <c r="A88" s="2" t="s">
        <v>175</v>
      </c>
      <c r="B88" s="10" t="str">
        <f t="shared" si="0"/>
        <v>Team Stan13</v>
      </c>
      <c r="C88" s="2" t="s">
        <v>199</v>
      </c>
      <c r="D88" s="2" t="s">
        <v>200</v>
      </c>
      <c r="G88" s="10"/>
    </row>
    <row r="89" spans="1:7" ht="15.75" customHeight="1" x14ac:dyDescent="0.2">
      <c r="A89" s="2" t="s">
        <v>201</v>
      </c>
      <c r="B89" s="10" t="str">
        <f t="shared" si="0"/>
        <v>Team Humpherys1</v>
      </c>
      <c r="C89" s="2" t="s">
        <v>202</v>
      </c>
      <c r="D89" s="2" t="s">
        <v>203</v>
      </c>
      <c r="E89" s="2">
        <v>23</v>
      </c>
      <c r="G89" s="10"/>
    </row>
    <row r="90" spans="1:7" ht="15.75" customHeight="1" x14ac:dyDescent="0.2">
      <c r="A90" s="2" t="s">
        <v>201</v>
      </c>
      <c r="B90" s="10" t="str">
        <f t="shared" si="0"/>
        <v>Team Humpherys2</v>
      </c>
      <c r="C90" s="2" t="s">
        <v>204</v>
      </c>
      <c r="D90" s="2" t="s">
        <v>205</v>
      </c>
      <c r="E90" s="2">
        <v>20</v>
      </c>
      <c r="G90" s="10"/>
    </row>
    <row r="91" spans="1:7" ht="15.75" customHeight="1" x14ac:dyDescent="0.2">
      <c r="A91" s="2" t="s">
        <v>201</v>
      </c>
      <c r="B91" s="10" t="str">
        <f t="shared" si="0"/>
        <v>Team Humpherys3</v>
      </c>
      <c r="C91" s="2" t="s">
        <v>206</v>
      </c>
      <c r="D91" s="2" t="s">
        <v>136</v>
      </c>
      <c r="E91" s="2">
        <v>13</v>
      </c>
      <c r="G91" s="10"/>
    </row>
    <row r="92" spans="1:7" ht="15.75" customHeight="1" x14ac:dyDescent="0.2">
      <c r="A92" s="2" t="s">
        <v>201</v>
      </c>
      <c r="B92" s="10" t="str">
        <f t="shared" si="0"/>
        <v>Team Humpherys4</v>
      </c>
      <c r="C92" s="2" t="s">
        <v>128</v>
      </c>
      <c r="D92" s="2" t="s">
        <v>207</v>
      </c>
      <c r="E92" s="2">
        <v>11</v>
      </c>
      <c r="G92" s="10"/>
    </row>
    <row r="93" spans="1:7" ht="15.75" customHeight="1" x14ac:dyDescent="0.2">
      <c r="A93" s="2" t="s">
        <v>201</v>
      </c>
      <c r="B93" s="10" t="str">
        <f t="shared" si="0"/>
        <v>Team Humpherys5</v>
      </c>
      <c r="C93" s="2" t="s">
        <v>208</v>
      </c>
      <c r="D93" s="2" t="s">
        <v>209</v>
      </c>
      <c r="E93" s="2">
        <v>3</v>
      </c>
      <c r="G93" s="10"/>
    </row>
    <row r="94" spans="1:7" ht="15.75" customHeight="1" x14ac:dyDescent="0.2">
      <c r="A94" s="2" t="s">
        <v>201</v>
      </c>
      <c r="B94" s="10" t="str">
        <f t="shared" si="0"/>
        <v>Team Humpherys6</v>
      </c>
      <c r="C94" s="2" t="s">
        <v>210</v>
      </c>
      <c r="D94" s="2" t="s">
        <v>211</v>
      </c>
      <c r="E94" s="2">
        <v>55</v>
      </c>
      <c r="G94" s="10"/>
    </row>
    <row r="95" spans="1:7" ht="15.75" customHeight="1" x14ac:dyDescent="0.2">
      <c r="A95" s="2" t="s">
        <v>201</v>
      </c>
      <c r="B95" s="10" t="str">
        <f t="shared" si="0"/>
        <v>Team Humpherys7</v>
      </c>
      <c r="C95" s="2" t="s">
        <v>212</v>
      </c>
      <c r="D95" s="2" t="s">
        <v>185</v>
      </c>
      <c r="E95" s="2">
        <v>99</v>
      </c>
      <c r="G95" s="10"/>
    </row>
    <row r="96" spans="1:7" ht="15.75" customHeight="1" x14ac:dyDescent="0.2">
      <c r="A96" s="2" t="s">
        <v>201</v>
      </c>
      <c r="B96" s="10" t="str">
        <f t="shared" si="0"/>
        <v>Team Humpherys8</v>
      </c>
      <c r="C96" s="2" t="s">
        <v>213</v>
      </c>
      <c r="D96" s="2" t="s">
        <v>214</v>
      </c>
      <c r="E96" s="2">
        <v>22</v>
      </c>
      <c r="G96" s="10"/>
    </row>
    <row r="97" spans="1:7" ht="15.75" customHeight="1" x14ac:dyDescent="0.2">
      <c r="A97" s="2" t="s">
        <v>201</v>
      </c>
      <c r="B97" s="10" t="str">
        <f t="shared" si="0"/>
        <v>Team Humpherys9</v>
      </c>
      <c r="C97" s="2" t="s">
        <v>215</v>
      </c>
      <c r="D97" s="2" t="s">
        <v>216</v>
      </c>
      <c r="E97" s="2">
        <v>32</v>
      </c>
      <c r="G97" s="10"/>
    </row>
    <row r="98" spans="1:7" ht="15.75" customHeight="1" x14ac:dyDescent="0.2">
      <c r="A98" s="2" t="s">
        <v>201</v>
      </c>
      <c r="B98" s="10" t="str">
        <f t="shared" si="0"/>
        <v>Team Humpherys10</v>
      </c>
      <c r="C98" s="2" t="s">
        <v>217</v>
      </c>
      <c r="D98" s="2" t="s">
        <v>218</v>
      </c>
      <c r="E98" s="2">
        <v>31</v>
      </c>
      <c r="G98" s="10"/>
    </row>
    <row r="99" spans="1:7" ht="15.75" customHeight="1" x14ac:dyDescent="0.2">
      <c r="A99" s="2" t="s">
        <v>201</v>
      </c>
      <c r="B99" s="10" t="str">
        <f t="shared" si="0"/>
        <v>Team Humpherys11</v>
      </c>
      <c r="C99" s="2" t="s">
        <v>14</v>
      </c>
      <c r="D99" s="2" t="s">
        <v>124</v>
      </c>
      <c r="E99" s="2">
        <v>5</v>
      </c>
      <c r="G99" s="10"/>
    </row>
    <row r="100" spans="1:7" ht="15.75" customHeight="1" x14ac:dyDescent="0.2">
      <c r="A100" s="2" t="s">
        <v>201</v>
      </c>
      <c r="B100" s="10" t="str">
        <f t="shared" si="0"/>
        <v>Team Humpherys12</v>
      </c>
      <c r="C100" s="2" t="s">
        <v>219</v>
      </c>
      <c r="D100" s="2" t="s">
        <v>220</v>
      </c>
      <c r="E100" s="2">
        <v>9</v>
      </c>
      <c r="G100" s="10"/>
    </row>
    <row r="101" spans="1:7" ht="15.75" customHeight="1" x14ac:dyDescent="0.2">
      <c r="A101" s="2" t="s">
        <v>201</v>
      </c>
      <c r="B101" s="10" t="str">
        <f t="shared" si="0"/>
        <v>Team Humpherys13</v>
      </c>
      <c r="C101" s="2" t="s">
        <v>221</v>
      </c>
      <c r="D101" s="2" t="s">
        <v>222</v>
      </c>
      <c r="E101" s="2">
        <v>4</v>
      </c>
      <c r="G101" s="10"/>
    </row>
    <row r="102" spans="1:7" ht="15.75" customHeight="1" x14ac:dyDescent="0.2">
      <c r="A102" s="2" t="s">
        <v>201</v>
      </c>
      <c r="B102" s="10" t="str">
        <f t="shared" si="0"/>
        <v>Team Humpherys14</v>
      </c>
      <c r="C102" s="2" t="s">
        <v>223</v>
      </c>
      <c r="D102" s="2" t="s">
        <v>224</v>
      </c>
      <c r="E102" s="2">
        <v>1</v>
      </c>
      <c r="G102" s="10"/>
    </row>
    <row r="103" spans="1:7" ht="15.75" customHeight="1" x14ac:dyDescent="0.2">
      <c r="B103" s="10"/>
      <c r="G103" s="10"/>
    </row>
    <row r="104" spans="1:7" ht="15.75" customHeight="1" x14ac:dyDescent="0.2">
      <c r="B104" s="10"/>
      <c r="G104" s="10"/>
    </row>
    <row r="105" spans="1:7" ht="15.75" customHeight="1" x14ac:dyDescent="0.2">
      <c r="B105" s="10"/>
      <c r="G105" s="10"/>
    </row>
    <row r="106" spans="1:7" ht="15.75" customHeight="1" x14ac:dyDescent="0.2">
      <c r="B106" s="10"/>
      <c r="G106" s="10"/>
    </row>
    <row r="107" spans="1:7" ht="15.75" customHeight="1" x14ac:dyDescent="0.2">
      <c r="B107" s="10"/>
      <c r="G107" s="10"/>
    </row>
    <row r="108" spans="1:7" ht="15.75" customHeight="1" x14ac:dyDescent="0.2">
      <c r="B108" s="10"/>
      <c r="G108" s="10"/>
    </row>
    <row r="109" spans="1:7" ht="15.75" customHeight="1" x14ac:dyDescent="0.2">
      <c r="B109" s="10"/>
      <c r="G109" s="10"/>
    </row>
    <row r="110" spans="1:7" ht="15.75" customHeight="1" x14ac:dyDescent="0.2">
      <c r="B110" s="10"/>
      <c r="G110" s="10"/>
    </row>
    <row r="111" spans="1:7" ht="15.75" customHeight="1" x14ac:dyDescent="0.2">
      <c r="B111" s="10"/>
      <c r="G111" s="10"/>
    </row>
    <row r="112" spans="1:7" ht="15.75" customHeight="1" x14ac:dyDescent="0.2">
      <c r="B112" s="10"/>
      <c r="G112" s="10"/>
    </row>
    <row r="113" spans="2:7" ht="15.75" customHeight="1" x14ac:dyDescent="0.2">
      <c r="B113" s="10"/>
      <c r="G113" s="10"/>
    </row>
    <row r="114" spans="2:7" ht="15.75" customHeight="1" x14ac:dyDescent="0.2">
      <c r="B114" s="10"/>
      <c r="G114" s="10"/>
    </row>
    <row r="115" spans="2:7" ht="15.75" customHeight="1" x14ac:dyDescent="0.2">
      <c r="B115" s="10"/>
      <c r="G115" s="10"/>
    </row>
    <row r="116" spans="2:7" ht="15.75" customHeight="1" x14ac:dyDescent="0.2">
      <c r="B116" s="10"/>
      <c r="G116" s="10"/>
    </row>
    <row r="117" spans="2:7" ht="15.75" customHeight="1" x14ac:dyDescent="0.2">
      <c r="B117" s="10"/>
      <c r="G117" s="10"/>
    </row>
    <row r="118" spans="2:7" ht="15.75" customHeight="1" x14ac:dyDescent="0.2">
      <c r="B118" s="10"/>
      <c r="G118" s="10"/>
    </row>
    <row r="119" spans="2:7" ht="15.75" customHeight="1" x14ac:dyDescent="0.2">
      <c r="B119" s="10"/>
      <c r="G119" s="10"/>
    </row>
    <row r="120" spans="2:7" ht="15.75" customHeight="1" x14ac:dyDescent="0.2">
      <c r="B120" s="10"/>
      <c r="G120" s="10"/>
    </row>
    <row r="121" spans="2:7" ht="15.75" customHeight="1" x14ac:dyDescent="0.2">
      <c r="B121" s="10"/>
      <c r="G121" s="10"/>
    </row>
    <row r="122" spans="2:7" ht="15.75" customHeight="1" x14ac:dyDescent="0.2">
      <c r="B122" s="10"/>
      <c r="G122" s="10"/>
    </row>
    <row r="123" spans="2:7" ht="15.75" customHeight="1" x14ac:dyDescent="0.2">
      <c r="B123" s="10"/>
      <c r="G123" s="10"/>
    </row>
    <row r="124" spans="2:7" ht="15.75" customHeight="1" x14ac:dyDescent="0.2">
      <c r="B124" s="10"/>
      <c r="G124" s="10"/>
    </row>
    <row r="125" spans="2:7" ht="15.75" customHeight="1" x14ac:dyDescent="0.2">
      <c r="B125" s="10"/>
      <c r="G125" s="10"/>
    </row>
    <row r="126" spans="2:7" ht="15.75" customHeight="1" x14ac:dyDescent="0.2">
      <c r="B126" s="10"/>
      <c r="G126" s="10"/>
    </row>
    <row r="127" spans="2:7" ht="15.75" customHeight="1" x14ac:dyDescent="0.2">
      <c r="B127" s="10"/>
      <c r="G127" s="10"/>
    </row>
    <row r="128" spans="2:7" ht="15.75" customHeight="1" x14ac:dyDescent="0.2">
      <c r="B128" s="10"/>
      <c r="G128" s="10"/>
    </row>
    <row r="129" spans="2:7" ht="15.75" customHeight="1" x14ac:dyDescent="0.2">
      <c r="B129" s="10"/>
      <c r="G129" s="10"/>
    </row>
    <row r="130" spans="2:7" ht="15.75" customHeight="1" x14ac:dyDescent="0.2">
      <c r="B130" s="10"/>
      <c r="G130" s="10"/>
    </row>
    <row r="131" spans="2:7" ht="15.75" customHeight="1" x14ac:dyDescent="0.2">
      <c r="B131" s="10"/>
      <c r="G131" s="10"/>
    </row>
    <row r="132" spans="2:7" ht="15.75" customHeight="1" x14ac:dyDescent="0.2">
      <c r="B132" s="10"/>
      <c r="G132" s="10"/>
    </row>
    <row r="133" spans="2:7" ht="15.75" customHeight="1" x14ac:dyDescent="0.2">
      <c r="B133" s="10"/>
      <c r="G133" s="10"/>
    </row>
    <row r="134" spans="2:7" ht="15.75" customHeight="1" x14ac:dyDescent="0.2">
      <c r="B134" s="10"/>
      <c r="G134" s="10"/>
    </row>
    <row r="135" spans="2:7" ht="15.75" customHeight="1" x14ac:dyDescent="0.2">
      <c r="B135" s="10"/>
      <c r="G135" s="10"/>
    </row>
    <row r="136" spans="2:7" ht="15.75" customHeight="1" x14ac:dyDescent="0.2">
      <c r="B136" s="10"/>
      <c r="G136" s="10"/>
    </row>
    <row r="137" spans="2:7" ht="15.75" customHeight="1" x14ac:dyDescent="0.2">
      <c r="B137" s="10"/>
      <c r="G137" s="10"/>
    </row>
    <row r="138" spans="2:7" ht="15.75" customHeight="1" x14ac:dyDescent="0.2">
      <c r="B138" s="10"/>
      <c r="G138" s="10"/>
    </row>
    <row r="139" spans="2:7" ht="15.75" customHeight="1" x14ac:dyDescent="0.2">
      <c r="B139" s="10"/>
      <c r="G139" s="10"/>
    </row>
    <row r="140" spans="2:7" ht="15.75" customHeight="1" x14ac:dyDescent="0.2">
      <c r="B140" s="10"/>
      <c r="G140" s="10"/>
    </row>
    <row r="141" spans="2:7" ht="15.75" customHeight="1" x14ac:dyDescent="0.2">
      <c r="B141" s="10"/>
      <c r="G141" s="10"/>
    </row>
    <row r="142" spans="2:7" ht="15.75" customHeight="1" x14ac:dyDescent="0.2">
      <c r="B142" s="10"/>
      <c r="G142" s="10"/>
    </row>
    <row r="143" spans="2:7" ht="15.75" customHeight="1" x14ac:dyDescent="0.2">
      <c r="B143" s="10"/>
      <c r="G143" s="10"/>
    </row>
    <row r="144" spans="2:7" ht="15.75" customHeight="1" x14ac:dyDescent="0.2">
      <c r="B144" s="10"/>
      <c r="G144" s="10"/>
    </row>
    <row r="145" spans="2:7" ht="15.75" customHeight="1" x14ac:dyDescent="0.2">
      <c r="B145" s="10"/>
      <c r="G145" s="10"/>
    </row>
    <row r="146" spans="2:7" ht="15.75" customHeight="1" x14ac:dyDescent="0.2">
      <c r="B146" s="10"/>
      <c r="G146" s="10"/>
    </row>
    <row r="147" spans="2:7" ht="15.75" customHeight="1" x14ac:dyDescent="0.2">
      <c r="B147" s="10"/>
      <c r="G147" s="10"/>
    </row>
    <row r="148" spans="2:7" ht="15.75" customHeight="1" x14ac:dyDescent="0.2">
      <c r="B148" s="10"/>
      <c r="G148" s="10"/>
    </row>
    <row r="149" spans="2:7" ht="15.75" customHeight="1" x14ac:dyDescent="0.2">
      <c r="B149" s="10"/>
      <c r="G149" s="10"/>
    </row>
    <row r="150" spans="2:7" ht="15.75" customHeight="1" x14ac:dyDescent="0.2">
      <c r="B150" s="10"/>
      <c r="G150" s="10"/>
    </row>
    <row r="151" spans="2:7" ht="15.75" customHeight="1" x14ac:dyDescent="0.2">
      <c r="B151" s="10"/>
      <c r="G151" s="10"/>
    </row>
    <row r="152" spans="2:7" ht="15.75" customHeight="1" x14ac:dyDescent="0.2">
      <c r="B152" s="10"/>
      <c r="G152" s="10"/>
    </row>
    <row r="153" spans="2:7" ht="15.75" customHeight="1" x14ac:dyDescent="0.2">
      <c r="B153" s="10"/>
      <c r="G153" s="10"/>
    </row>
    <row r="154" spans="2:7" ht="15.75" customHeight="1" x14ac:dyDescent="0.2">
      <c r="B154" s="10"/>
      <c r="G154" s="10"/>
    </row>
    <row r="155" spans="2:7" ht="15.75" customHeight="1" x14ac:dyDescent="0.2">
      <c r="B155" s="10"/>
      <c r="G155" s="10"/>
    </row>
    <row r="156" spans="2:7" ht="15.75" customHeight="1" x14ac:dyDescent="0.2">
      <c r="B156" s="10"/>
      <c r="G156" s="10"/>
    </row>
    <row r="157" spans="2:7" ht="15.75" customHeight="1" x14ac:dyDescent="0.2">
      <c r="B157" s="10"/>
      <c r="G157" s="10"/>
    </row>
    <row r="158" spans="2:7" ht="15.75" customHeight="1" x14ac:dyDescent="0.2">
      <c r="B158" s="10"/>
      <c r="G158" s="10"/>
    </row>
    <row r="159" spans="2:7" ht="15.75" customHeight="1" x14ac:dyDescent="0.2">
      <c r="B159" s="10"/>
      <c r="G159" s="10"/>
    </row>
    <row r="160" spans="2:7" ht="15.75" customHeight="1" x14ac:dyDescent="0.2">
      <c r="B160" s="10"/>
      <c r="G160" s="10"/>
    </row>
    <row r="161" spans="2:7" ht="15.75" customHeight="1" x14ac:dyDescent="0.2">
      <c r="B161" s="10"/>
      <c r="G161" s="10"/>
    </row>
    <row r="162" spans="2:7" ht="15.75" customHeight="1" x14ac:dyDescent="0.2">
      <c r="B162" s="10"/>
      <c r="G162" s="10"/>
    </row>
    <row r="163" spans="2:7" ht="15.75" customHeight="1" x14ac:dyDescent="0.2">
      <c r="B163" s="10"/>
      <c r="G163" s="10"/>
    </row>
    <row r="164" spans="2:7" ht="15.75" customHeight="1" x14ac:dyDescent="0.2">
      <c r="B164" s="10"/>
      <c r="G164" s="10"/>
    </row>
    <row r="165" spans="2:7" ht="15.75" customHeight="1" x14ac:dyDescent="0.2">
      <c r="B165" s="10"/>
      <c r="G165" s="10"/>
    </row>
    <row r="166" spans="2:7" ht="15.75" customHeight="1" x14ac:dyDescent="0.2">
      <c r="B166" s="10"/>
      <c r="G166" s="10"/>
    </row>
    <row r="167" spans="2:7" ht="15.75" customHeight="1" x14ac:dyDescent="0.2">
      <c r="B167" s="10"/>
      <c r="G167" s="10"/>
    </row>
    <row r="168" spans="2:7" ht="15.75" customHeight="1" x14ac:dyDescent="0.2">
      <c r="B168" s="10"/>
      <c r="G168" s="10"/>
    </row>
    <row r="169" spans="2:7" ht="15.75" customHeight="1" x14ac:dyDescent="0.2">
      <c r="B169" s="10"/>
      <c r="G169" s="10"/>
    </row>
    <row r="170" spans="2:7" ht="15.75" customHeight="1" x14ac:dyDescent="0.2">
      <c r="B170" s="10"/>
      <c r="G170" s="10"/>
    </row>
    <row r="171" spans="2:7" ht="15.75" customHeight="1" x14ac:dyDescent="0.2">
      <c r="B171" s="10"/>
      <c r="G171" s="10"/>
    </row>
    <row r="172" spans="2:7" ht="15.75" customHeight="1" x14ac:dyDescent="0.2">
      <c r="B172" s="10"/>
      <c r="G172" s="10"/>
    </row>
    <row r="173" spans="2:7" ht="15.75" customHeight="1" x14ac:dyDescent="0.2">
      <c r="B173" s="10"/>
      <c r="G173" s="10"/>
    </row>
    <row r="174" spans="2:7" ht="15.75" customHeight="1" x14ac:dyDescent="0.2">
      <c r="B174" s="10"/>
      <c r="G174" s="10"/>
    </row>
    <row r="175" spans="2:7" ht="15.75" customHeight="1" x14ac:dyDescent="0.2">
      <c r="B175" s="10"/>
      <c r="G175" s="10"/>
    </row>
    <row r="176" spans="2:7" ht="15.75" customHeight="1" x14ac:dyDescent="0.2">
      <c r="B176" s="10"/>
      <c r="G176" s="10"/>
    </row>
    <row r="177" spans="2:7" ht="15.75" customHeight="1" x14ac:dyDescent="0.2">
      <c r="B177" s="10"/>
      <c r="G177" s="10"/>
    </row>
    <row r="178" spans="2:7" ht="15.75" customHeight="1" x14ac:dyDescent="0.2">
      <c r="B178" s="10"/>
      <c r="G178" s="10"/>
    </row>
    <row r="179" spans="2:7" ht="15.75" customHeight="1" x14ac:dyDescent="0.2">
      <c r="B179" s="10"/>
      <c r="G179" s="10"/>
    </row>
    <row r="180" spans="2:7" ht="15.75" customHeight="1" x14ac:dyDescent="0.2">
      <c r="B180" s="10"/>
      <c r="G180" s="10"/>
    </row>
    <row r="181" spans="2:7" ht="15.75" customHeight="1" x14ac:dyDescent="0.2">
      <c r="B181" s="10"/>
      <c r="G181" s="10"/>
    </row>
    <row r="182" spans="2:7" ht="15.75" customHeight="1" x14ac:dyDescent="0.2">
      <c r="B182" s="10"/>
      <c r="G182" s="10"/>
    </row>
    <row r="183" spans="2:7" ht="15.75" customHeight="1" x14ac:dyDescent="0.2">
      <c r="B183" s="10"/>
      <c r="G183" s="10"/>
    </row>
    <row r="184" spans="2:7" ht="15.75" customHeight="1" x14ac:dyDescent="0.2">
      <c r="B184" s="10"/>
      <c r="G184" s="10"/>
    </row>
    <row r="185" spans="2:7" ht="15.75" customHeight="1" x14ac:dyDescent="0.2">
      <c r="B185" s="10"/>
      <c r="G185" s="10"/>
    </row>
    <row r="186" spans="2:7" ht="15.75" customHeight="1" x14ac:dyDescent="0.2">
      <c r="B186" s="10"/>
      <c r="G186" s="10"/>
    </row>
    <row r="187" spans="2:7" ht="15.75" customHeight="1" x14ac:dyDescent="0.2">
      <c r="B187" s="10"/>
      <c r="G187" s="10"/>
    </row>
    <row r="188" spans="2:7" ht="15.75" customHeight="1" x14ac:dyDescent="0.2">
      <c r="B188" s="10"/>
      <c r="G188" s="10"/>
    </row>
    <row r="189" spans="2:7" ht="15.75" customHeight="1" x14ac:dyDescent="0.2">
      <c r="B189" s="10"/>
      <c r="G189" s="10"/>
    </row>
    <row r="190" spans="2:7" ht="15.75" customHeight="1" x14ac:dyDescent="0.2">
      <c r="B190" s="10"/>
      <c r="G190" s="10"/>
    </row>
    <row r="191" spans="2:7" ht="15.75" customHeight="1" x14ac:dyDescent="0.2">
      <c r="B191" s="10"/>
      <c r="G191" s="10"/>
    </row>
    <row r="192" spans="2:7" ht="15.75" customHeight="1" x14ac:dyDescent="0.2">
      <c r="B192" s="10"/>
      <c r="G192" s="10"/>
    </row>
    <row r="193" spans="2:7" ht="15.75" customHeight="1" x14ac:dyDescent="0.2">
      <c r="B193" s="10"/>
      <c r="G193" s="10"/>
    </row>
    <row r="194" spans="2:7" ht="15.75" customHeight="1" x14ac:dyDescent="0.2">
      <c r="B194" s="10"/>
      <c r="G194" s="10"/>
    </row>
    <row r="195" spans="2:7" ht="15.75" customHeight="1" x14ac:dyDescent="0.2">
      <c r="B195" s="10"/>
      <c r="G195" s="10"/>
    </row>
    <row r="196" spans="2:7" ht="15.75" customHeight="1" x14ac:dyDescent="0.2">
      <c r="B196" s="10"/>
      <c r="G196" s="10"/>
    </row>
    <row r="197" spans="2:7" ht="15.75" customHeight="1" x14ac:dyDescent="0.2">
      <c r="B197" s="10"/>
      <c r="G197" s="10"/>
    </row>
    <row r="198" spans="2:7" ht="15.75" customHeight="1" x14ac:dyDescent="0.2">
      <c r="B198" s="10"/>
      <c r="G198" s="10"/>
    </row>
    <row r="199" spans="2:7" ht="15.75" customHeight="1" x14ac:dyDescent="0.2">
      <c r="B199" s="10"/>
      <c r="G199" s="10"/>
    </row>
    <row r="200" spans="2:7" ht="15.75" customHeight="1" x14ac:dyDescent="0.2">
      <c r="B200" s="10"/>
      <c r="G200" s="10"/>
    </row>
    <row r="201" spans="2:7" ht="15.75" customHeight="1" x14ac:dyDescent="0.2">
      <c r="B201" s="10"/>
      <c r="G201" s="10"/>
    </row>
    <row r="202" spans="2:7" ht="15.75" customHeight="1" x14ac:dyDescent="0.2">
      <c r="B202" s="10"/>
      <c r="G202" s="10"/>
    </row>
    <row r="203" spans="2:7" ht="15.75" customHeight="1" x14ac:dyDescent="0.2">
      <c r="B203" s="10"/>
      <c r="G203" s="10"/>
    </row>
    <row r="204" spans="2:7" ht="15.75" customHeight="1" x14ac:dyDescent="0.2">
      <c r="B204" s="10"/>
      <c r="G204" s="10"/>
    </row>
    <row r="205" spans="2:7" ht="15.75" customHeight="1" x14ac:dyDescent="0.2">
      <c r="B205" s="10"/>
      <c r="G205" s="10"/>
    </row>
    <row r="206" spans="2:7" ht="15.75" customHeight="1" x14ac:dyDescent="0.2">
      <c r="B206" s="10"/>
      <c r="G206" s="10"/>
    </row>
    <row r="207" spans="2:7" ht="15.75" customHeight="1" x14ac:dyDescent="0.2">
      <c r="B207" s="10"/>
      <c r="G207" s="10"/>
    </row>
    <row r="208" spans="2:7" ht="15.75" customHeight="1" x14ac:dyDescent="0.2">
      <c r="B208" s="10"/>
      <c r="G208" s="10"/>
    </row>
    <row r="209" spans="2:7" ht="15.75" customHeight="1" x14ac:dyDescent="0.2">
      <c r="B209" s="10"/>
      <c r="G209" s="10"/>
    </row>
    <row r="210" spans="2:7" ht="15.75" customHeight="1" x14ac:dyDescent="0.2">
      <c r="B210" s="10"/>
      <c r="G210" s="10"/>
    </row>
    <row r="211" spans="2:7" ht="15.75" customHeight="1" x14ac:dyDescent="0.2">
      <c r="B211" s="10"/>
      <c r="G211" s="10"/>
    </row>
    <row r="212" spans="2:7" ht="15.75" customHeight="1" x14ac:dyDescent="0.2">
      <c r="B212" s="10"/>
      <c r="G212" s="10"/>
    </row>
    <row r="213" spans="2:7" ht="15.75" customHeight="1" x14ac:dyDescent="0.2">
      <c r="B213" s="10"/>
      <c r="G213" s="10"/>
    </row>
    <row r="214" spans="2:7" ht="15.75" customHeight="1" x14ac:dyDescent="0.2">
      <c r="B214" s="10"/>
      <c r="G214" s="10"/>
    </row>
    <row r="215" spans="2:7" ht="15.75" customHeight="1" x14ac:dyDescent="0.2">
      <c r="B215" s="10"/>
      <c r="G215" s="10"/>
    </row>
    <row r="216" spans="2:7" ht="15.75" customHeight="1" x14ac:dyDescent="0.2">
      <c r="B216" s="10"/>
      <c r="G216" s="10"/>
    </row>
    <row r="217" spans="2:7" ht="15.75" customHeight="1" x14ac:dyDescent="0.2">
      <c r="B217" s="10"/>
      <c r="G217" s="10"/>
    </row>
    <row r="218" spans="2:7" ht="15.75" customHeight="1" x14ac:dyDescent="0.2">
      <c r="B218" s="10"/>
      <c r="G218" s="10"/>
    </row>
    <row r="219" spans="2:7" ht="15.75" customHeight="1" x14ac:dyDescent="0.2">
      <c r="B219" s="10"/>
      <c r="G219" s="10"/>
    </row>
    <row r="220" spans="2:7" ht="15.75" customHeight="1" x14ac:dyDescent="0.2">
      <c r="B220" s="10"/>
      <c r="G220" s="10"/>
    </row>
    <row r="221" spans="2:7" ht="15.75" customHeight="1" x14ac:dyDescent="0.2">
      <c r="B221" s="10"/>
      <c r="G221" s="10"/>
    </row>
    <row r="222" spans="2:7" ht="15.75" customHeight="1" x14ac:dyDescent="0.2">
      <c r="B222" s="10"/>
      <c r="G222" s="10"/>
    </row>
    <row r="223" spans="2:7" ht="15.75" customHeight="1" x14ac:dyDescent="0.2">
      <c r="B223" s="10"/>
      <c r="G223" s="10"/>
    </row>
    <row r="224" spans="2:7" ht="15.75" customHeight="1" x14ac:dyDescent="0.2">
      <c r="B224" s="10"/>
      <c r="G224" s="10"/>
    </row>
    <row r="225" spans="2:7" ht="15.75" customHeight="1" x14ac:dyDescent="0.2">
      <c r="B225" s="10"/>
      <c r="G225" s="10"/>
    </row>
    <row r="226" spans="2:7" ht="15.75" customHeight="1" x14ac:dyDescent="0.2">
      <c r="B226" s="10"/>
      <c r="G226" s="10"/>
    </row>
    <row r="227" spans="2:7" ht="15.75" customHeight="1" x14ac:dyDescent="0.2">
      <c r="B227" s="10"/>
      <c r="G227" s="10"/>
    </row>
    <row r="228" spans="2:7" ht="15.75" customHeight="1" x14ac:dyDescent="0.2">
      <c r="B228" s="10"/>
      <c r="G228" s="10"/>
    </row>
    <row r="229" spans="2:7" ht="15.75" customHeight="1" x14ac:dyDescent="0.2">
      <c r="B229" s="10"/>
      <c r="G229" s="10"/>
    </row>
    <row r="230" spans="2:7" ht="15.75" customHeight="1" x14ac:dyDescent="0.2">
      <c r="B230" s="10"/>
      <c r="G230" s="10"/>
    </row>
    <row r="231" spans="2:7" ht="15.75" customHeight="1" x14ac:dyDescent="0.2">
      <c r="B231" s="10"/>
      <c r="G231" s="10"/>
    </row>
    <row r="232" spans="2:7" ht="15.75" customHeight="1" x14ac:dyDescent="0.2">
      <c r="B232" s="10"/>
      <c r="G232" s="10"/>
    </row>
    <row r="233" spans="2:7" ht="15.75" customHeight="1" x14ac:dyDescent="0.2">
      <c r="B233" s="10"/>
      <c r="G233" s="10"/>
    </row>
    <row r="234" spans="2:7" ht="15.75" customHeight="1" x14ac:dyDescent="0.2">
      <c r="B234" s="10"/>
      <c r="G234" s="10"/>
    </row>
    <row r="235" spans="2:7" ht="15.75" customHeight="1" x14ac:dyDescent="0.2">
      <c r="B235" s="10"/>
      <c r="G235" s="10"/>
    </row>
    <row r="236" spans="2:7" ht="15.75" customHeight="1" x14ac:dyDescent="0.2">
      <c r="B236" s="10"/>
      <c r="G236" s="10"/>
    </row>
    <row r="237" spans="2:7" ht="15.75" customHeight="1" x14ac:dyDescent="0.2">
      <c r="B237" s="10"/>
      <c r="G237" s="10"/>
    </row>
    <row r="238" spans="2:7" ht="15.75" customHeight="1" x14ac:dyDescent="0.2">
      <c r="B238" s="10"/>
      <c r="G238" s="10"/>
    </row>
    <row r="239" spans="2:7" ht="15.75" customHeight="1" x14ac:dyDescent="0.2">
      <c r="B239" s="10"/>
      <c r="G239" s="10"/>
    </row>
    <row r="240" spans="2:7" ht="15.75" customHeight="1" x14ac:dyDescent="0.2">
      <c r="B240" s="10"/>
      <c r="G240" s="10"/>
    </row>
    <row r="241" spans="2:7" ht="15.75" customHeight="1" x14ac:dyDescent="0.2">
      <c r="B241" s="10"/>
      <c r="G241" s="10"/>
    </row>
    <row r="242" spans="2:7" ht="15.75" customHeight="1" x14ac:dyDescent="0.2">
      <c r="B242" s="10"/>
      <c r="G242" s="10"/>
    </row>
    <row r="243" spans="2:7" ht="15.75" customHeight="1" x14ac:dyDescent="0.2">
      <c r="B243" s="10"/>
      <c r="G243" s="10"/>
    </row>
    <row r="244" spans="2:7" ht="15.75" customHeight="1" x14ac:dyDescent="0.2">
      <c r="B244" s="10"/>
      <c r="G244" s="10"/>
    </row>
    <row r="245" spans="2:7" ht="15.75" customHeight="1" x14ac:dyDescent="0.2">
      <c r="B245" s="10"/>
      <c r="G245" s="10"/>
    </row>
    <row r="246" spans="2:7" ht="15.75" customHeight="1" x14ac:dyDescent="0.2">
      <c r="B246" s="10"/>
      <c r="G246" s="10"/>
    </row>
    <row r="247" spans="2:7" ht="15.75" customHeight="1" x14ac:dyDescent="0.2">
      <c r="B247" s="10"/>
      <c r="G247" s="10"/>
    </row>
    <row r="248" spans="2:7" ht="15.75" customHeight="1" x14ac:dyDescent="0.2">
      <c r="B248" s="10"/>
      <c r="G248" s="10"/>
    </row>
    <row r="249" spans="2:7" ht="15.75" customHeight="1" x14ac:dyDescent="0.2">
      <c r="B249" s="10"/>
      <c r="G249" s="10"/>
    </row>
    <row r="250" spans="2:7" ht="15.75" customHeight="1" x14ac:dyDescent="0.2">
      <c r="B250" s="10"/>
      <c r="G250" s="10"/>
    </row>
    <row r="251" spans="2:7" ht="15.75" customHeight="1" x14ac:dyDescent="0.2">
      <c r="B251" s="10"/>
      <c r="G251" s="10"/>
    </row>
    <row r="252" spans="2:7" ht="15.75" customHeight="1" x14ac:dyDescent="0.2">
      <c r="B252" s="10"/>
      <c r="G252" s="10"/>
    </row>
    <row r="253" spans="2:7" ht="15.75" customHeight="1" x14ac:dyDescent="0.2">
      <c r="B253" s="10"/>
      <c r="G253" s="10"/>
    </row>
    <row r="254" spans="2:7" ht="15.75" customHeight="1" x14ac:dyDescent="0.2">
      <c r="B254" s="10"/>
      <c r="G254" s="10"/>
    </row>
    <row r="255" spans="2:7" ht="15.75" customHeight="1" x14ac:dyDescent="0.2">
      <c r="B255" s="10"/>
      <c r="G255" s="10"/>
    </row>
    <row r="256" spans="2:7" ht="15.75" customHeight="1" x14ac:dyDescent="0.2">
      <c r="B256" s="10"/>
      <c r="G256" s="10"/>
    </row>
    <row r="257" spans="2:7" ht="15.75" customHeight="1" x14ac:dyDescent="0.2">
      <c r="B257" s="10"/>
      <c r="G257" s="10"/>
    </row>
    <row r="258" spans="2:7" ht="15.75" customHeight="1" x14ac:dyDescent="0.2">
      <c r="B258" s="10"/>
      <c r="G258" s="10"/>
    </row>
    <row r="259" spans="2:7" ht="15.75" customHeight="1" x14ac:dyDescent="0.2">
      <c r="B259" s="10"/>
      <c r="G259" s="10"/>
    </row>
    <row r="260" spans="2:7" ht="15.75" customHeight="1" x14ac:dyDescent="0.2">
      <c r="B260" s="10"/>
      <c r="G260" s="10"/>
    </row>
    <row r="261" spans="2:7" ht="15.75" customHeight="1" x14ac:dyDescent="0.2">
      <c r="B261" s="10"/>
      <c r="G261" s="10"/>
    </row>
    <row r="262" spans="2:7" ht="15.75" customHeight="1" x14ac:dyDescent="0.2">
      <c r="B262" s="10"/>
      <c r="G262" s="10"/>
    </row>
    <row r="263" spans="2:7" ht="15.75" customHeight="1" x14ac:dyDescent="0.2">
      <c r="B263" s="10"/>
      <c r="G263" s="10"/>
    </row>
    <row r="264" spans="2:7" ht="15.75" customHeight="1" x14ac:dyDescent="0.2">
      <c r="B264" s="10"/>
      <c r="G264" s="10"/>
    </row>
    <row r="265" spans="2:7" ht="15.75" customHeight="1" x14ac:dyDescent="0.2">
      <c r="B265" s="10"/>
      <c r="G265" s="10"/>
    </row>
    <row r="266" spans="2:7" ht="15.75" customHeight="1" x14ac:dyDescent="0.2">
      <c r="B266" s="10"/>
      <c r="G266" s="10"/>
    </row>
    <row r="267" spans="2:7" ht="15.75" customHeight="1" x14ac:dyDescent="0.2">
      <c r="B267" s="10"/>
      <c r="G267" s="10"/>
    </row>
    <row r="268" spans="2:7" ht="15.75" customHeight="1" x14ac:dyDescent="0.2">
      <c r="B268" s="10"/>
      <c r="G268" s="10"/>
    </row>
    <row r="269" spans="2:7" ht="15.75" customHeight="1" x14ac:dyDescent="0.2">
      <c r="B269" s="10"/>
      <c r="G269" s="10"/>
    </row>
    <row r="270" spans="2:7" ht="15.75" customHeight="1" x14ac:dyDescent="0.2">
      <c r="B270" s="10"/>
      <c r="G270" s="10"/>
    </row>
    <row r="271" spans="2:7" ht="15.75" customHeight="1" x14ac:dyDescent="0.2">
      <c r="B271" s="10"/>
      <c r="G271" s="10"/>
    </row>
    <row r="272" spans="2:7" ht="15.75" customHeight="1" x14ac:dyDescent="0.2">
      <c r="B272" s="10"/>
      <c r="G272" s="10"/>
    </row>
    <row r="273" spans="2:7" ht="15.75" customHeight="1" x14ac:dyDescent="0.2">
      <c r="B273" s="10"/>
      <c r="G273" s="10"/>
    </row>
    <row r="274" spans="2:7" ht="15.75" customHeight="1" x14ac:dyDescent="0.2">
      <c r="B274" s="10"/>
      <c r="G274" s="10"/>
    </row>
    <row r="275" spans="2:7" ht="15.75" customHeight="1" x14ac:dyDescent="0.2">
      <c r="B275" s="10"/>
      <c r="G275" s="10"/>
    </row>
    <row r="276" spans="2:7" ht="15.75" customHeight="1" x14ac:dyDescent="0.2">
      <c r="B276" s="10"/>
      <c r="G276" s="10"/>
    </row>
    <row r="277" spans="2:7" ht="15.75" customHeight="1" x14ac:dyDescent="0.2">
      <c r="B277" s="10"/>
      <c r="G277" s="10"/>
    </row>
    <row r="278" spans="2:7" ht="15.75" customHeight="1" x14ac:dyDescent="0.2">
      <c r="B278" s="10"/>
      <c r="G278" s="10"/>
    </row>
    <row r="279" spans="2:7" ht="15.75" customHeight="1" x14ac:dyDescent="0.2">
      <c r="B279" s="10"/>
      <c r="G279" s="10"/>
    </row>
    <row r="280" spans="2:7" ht="15.75" customHeight="1" x14ac:dyDescent="0.2">
      <c r="B280" s="10"/>
      <c r="G280" s="10"/>
    </row>
    <row r="281" spans="2:7" ht="15.75" customHeight="1" x14ac:dyDescent="0.2">
      <c r="B281" s="10"/>
      <c r="G281" s="10"/>
    </row>
    <row r="282" spans="2:7" ht="15.75" customHeight="1" x14ac:dyDescent="0.2">
      <c r="B282" s="10"/>
      <c r="G282" s="10"/>
    </row>
    <row r="283" spans="2:7" ht="15.75" customHeight="1" x14ac:dyDescent="0.2">
      <c r="B283" s="10"/>
      <c r="G283" s="10"/>
    </row>
    <row r="284" spans="2:7" ht="15.75" customHeight="1" x14ac:dyDescent="0.2">
      <c r="B284" s="10"/>
      <c r="G284" s="10"/>
    </row>
    <row r="285" spans="2:7" ht="15.75" customHeight="1" x14ac:dyDescent="0.2">
      <c r="B285" s="10"/>
      <c r="G285" s="10"/>
    </row>
    <row r="286" spans="2:7" ht="15.75" customHeight="1" x14ac:dyDescent="0.2">
      <c r="B286" s="10"/>
      <c r="G286" s="10"/>
    </row>
    <row r="287" spans="2:7" ht="15.75" customHeight="1" x14ac:dyDescent="0.2">
      <c r="B287" s="10"/>
      <c r="G287" s="10"/>
    </row>
    <row r="288" spans="2:7" ht="15.75" customHeight="1" x14ac:dyDescent="0.2">
      <c r="B288" s="10"/>
      <c r="G288" s="10"/>
    </row>
    <row r="289" spans="2:7" ht="15.75" customHeight="1" x14ac:dyDescent="0.2">
      <c r="B289" s="10"/>
      <c r="G289" s="10"/>
    </row>
    <row r="290" spans="2:7" ht="15.75" customHeight="1" x14ac:dyDescent="0.2">
      <c r="B290" s="10"/>
      <c r="G290" s="10"/>
    </row>
    <row r="291" spans="2:7" ht="15.75" customHeight="1" x14ac:dyDescent="0.2">
      <c r="B291" s="10"/>
      <c r="G291" s="10"/>
    </row>
    <row r="292" spans="2:7" ht="15.75" customHeight="1" x14ac:dyDescent="0.2">
      <c r="B292" s="10"/>
      <c r="G292" s="10"/>
    </row>
    <row r="293" spans="2:7" ht="15.75" customHeight="1" x14ac:dyDescent="0.2">
      <c r="B293" s="10"/>
      <c r="G293" s="10"/>
    </row>
    <row r="294" spans="2:7" ht="15.75" customHeight="1" x14ac:dyDescent="0.2">
      <c r="B294" s="10"/>
      <c r="G294" s="10"/>
    </row>
    <row r="295" spans="2:7" ht="15.75" customHeight="1" x14ac:dyDescent="0.2">
      <c r="B295" s="10"/>
      <c r="G295" s="10"/>
    </row>
    <row r="296" spans="2:7" ht="15.75" customHeight="1" x14ac:dyDescent="0.2">
      <c r="B296" s="10"/>
      <c r="G296" s="10"/>
    </row>
    <row r="297" spans="2:7" ht="15.75" customHeight="1" x14ac:dyDescent="0.2">
      <c r="B297" s="10"/>
      <c r="G297" s="10"/>
    </row>
    <row r="298" spans="2:7" ht="15.75" customHeight="1" x14ac:dyDescent="0.2">
      <c r="B298" s="10"/>
      <c r="G298" s="10"/>
    </row>
    <row r="299" spans="2:7" ht="15.75" customHeight="1" x14ac:dyDescent="0.2">
      <c r="B299" s="10"/>
      <c r="G299" s="10"/>
    </row>
    <row r="300" spans="2:7" ht="15.75" customHeight="1" x14ac:dyDescent="0.2">
      <c r="B300" s="10"/>
      <c r="G300" s="10"/>
    </row>
    <row r="301" spans="2:7" ht="15.75" customHeight="1" x14ac:dyDescent="0.2">
      <c r="B301" s="10"/>
      <c r="G301" s="10"/>
    </row>
    <row r="302" spans="2:7" ht="15.75" customHeight="1" x14ac:dyDescent="0.2">
      <c r="B302" s="10"/>
      <c r="G302" s="10"/>
    </row>
    <row r="303" spans="2:7" ht="15.75" customHeight="1" x14ac:dyDescent="0.2">
      <c r="B303" s="10"/>
      <c r="G303" s="10"/>
    </row>
    <row r="304" spans="2:7" ht="15.75" customHeight="1" x14ac:dyDescent="0.2">
      <c r="B304" s="10"/>
      <c r="G304" s="10"/>
    </row>
    <row r="305" spans="2:7" ht="15.75" customHeight="1" x14ac:dyDescent="0.2">
      <c r="B305" s="10"/>
      <c r="G305" s="10"/>
    </row>
    <row r="306" spans="2:7" ht="15.75" customHeight="1" x14ac:dyDescent="0.2">
      <c r="B306" s="10"/>
      <c r="G306" s="10"/>
    </row>
    <row r="307" spans="2:7" ht="15.75" customHeight="1" x14ac:dyDescent="0.2">
      <c r="B307" s="10"/>
      <c r="G307" s="10"/>
    </row>
    <row r="308" spans="2:7" ht="15.75" customHeight="1" x14ac:dyDescent="0.2">
      <c r="B308" s="10"/>
      <c r="G308" s="10"/>
    </row>
    <row r="309" spans="2:7" ht="15.75" customHeight="1" x14ac:dyDescent="0.2">
      <c r="B309" s="10"/>
      <c r="G309" s="10"/>
    </row>
    <row r="310" spans="2:7" ht="15.75" customHeight="1" x14ac:dyDescent="0.2">
      <c r="B310" s="10"/>
      <c r="G310" s="10"/>
    </row>
    <row r="311" spans="2:7" ht="15.75" customHeight="1" x14ac:dyDescent="0.2">
      <c r="B311" s="10"/>
      <c r="G311" s="10"/>
    </row>
    <row r="312" spans="2:7" ht="15.75" customHeight="1" x14ac:dyDescent="0.2">
      <c r="B312" s="10"/>
      <c r="G312" s="10"/>
    </row>
    <row r="313" spans="2:7" ht="15.75" customHeight="1" x14ac:dyDescent="0.2">
      <c r="B313" s="10"/>
      <c r="G313" s="10"/>
    </row>
    <row r="314" spans="2:7" ht="15.75" customHeight="1" x14ac:dyDescent="0.2">
      <c r="B314" s="10"/>
      <c r="G314" s="10"/>
    </row>
    <row r="315" spans="2:7" ht="15.75" customHeight="1" x14ac:dyDescent="0.2">
      <c r="B315" s="10"/>
      <c r="G315" s="10"/>
    </row>
    <row r="316" spans="2:7" ht="15.75" customHeight="1" x14ac:dyDescent="0.2">
      <c r="B316" s="10"/>
      <c r="G316" s="10"/>
    </row>
    <row r="317" spans="2:7" ht="15.75" customHeight="1" x14ac:dyDescent="0.2">
      <c r="B317" s="10"/>
      <c r="G317" s="10"/>
    </row>
    <row r="318" spans="2:7" ht="15.75" customHeight="1" x14ac:dyDescent="0.2">
      <c r="B318" s="10"/>
      <c r="G318" s="10"/>
    </row>
    <row r="319" spans="2:7" ht="15.75" customHeight="1" x14ac:dyDescent="0.2">
      <c r="B319" s="10"/>
      <c r="G319" s="10"/>
    </row>
    <row r="320" spans="2:7" ht="15.75" customHeight="1" x14ac:dyDescent="0.2">
      <c r="B320" s="10"/>
      <c r="G320" s="10"/>
    </row>
    <row r="321" spans="2:7" ht="15.75" customHeight="1" x14ac:dyDescent="0.2">
      <c r="B321" s="10"/>
      <c r="G321" s="10"/>
    </row>
    <row r="322" spans="2:7" ht="15.75" customHeight="1" x14ac:dyDescent="0.2">
      <c r="B322" s="10"/>
      <c r="G322" s="10"/>
    </row>
    <row r="323" spans="2:7" ht="15.75" customHeight="1" x14ac:dyDescent="0.2">
      <c r="B323" s="10"/>
      <c r="G323" s="10"/>
    </row>
    <row r="324" spans="2:7" ht="15.75" customHeight="1" x14ac:dyDescent="0.2">
      <c r="B324" s="10"/>
      <c r="G324" s="10"/>
    </row>
    <row r="325" spans="2:7" ht="15.75" customHeight="1" x14ac:dyDescent="0.2">
      <c r="B325" s="10"/>
      <c r="G325" s="10"/>
    </row>
    <row r="326" spans="2:7" ht="15.75" customHeight="1" x14ac:dyDescent="0.2">
      <c r="B326" s="10"/>
      <c r="G326" s="10"/>
    </row>
    <row r="327" spans="2:7" ht="15.75" customHeight="1" x14ac:dyDescent="0.2">
      <c r="B327" s="10"/>
      <c r="G327" s="10"/>
    </row>
    <row r="328" spans="2:7" ht="15.75" customHeight="1" x14ac:dyDescent="0.2">
      <c r="B328" s="10"/>
      <c r="G328" s="10"/>
    </row>
    <row r="329" spans="2:7" ht="15.75" customHeight="1" x14ac:dyDescent="0.2">
      <c r="B329" s="10"/>
      <c r="G329" s="10"/>
    </row>
    <row r="330" spans="2:7" ht="15.75" customHeight="1" x14ac:dyDescent="0.2">
      <c r="B330" s="10"/>
      <c r="G330" s="10"/>
    </row>
    <row r="331" spans="2:7" ht="15.75" customHeight="1" x14ac:dyDescent="0.2">
      <c r="B331" s="10"/>
      <c r="G331" s="10"/>
    </row>
    <row r="332" spans="2:7" ht="15.75" customHeight="1" x14ac:dyDescent="0.2">
      <c r="B332" s="10"/>
      <c r="G332" s="10"/>
    </row>
    <row r="333" spans="2:7" ht="15.75" customHeight="1" x14ac:dyDescent="0.2">
      <c r="B333" s="10"/>
      <c r="G333" s="10"/>
    </row>
    <row r="334" spans="2:7" ht="15.75" customHeight="1" x14ac:dyDescent="0.2">
      <c r="B334" s="10"/>
      <c r="G334" s="10"/>
    </row>
    <row r="335" spans="2:7" ht="15.75" customHeight="1" x14ac:dyDescent="0.2">
      <c r="B335" s="10"/>
      <c r="G335" s="10"/>
    </row>
    <row r="336" spans="2:7" ht="15.75" customHeight="1" x14ac:dyDescent="0.2">
      <c r="B336" s="10"/>
      <c r="G336" s="10"/>
    </row>
    <row r="337" spans="2:7" ht="15.75" customHeight="1" x14ac:dyDescent="0.2">
      <c r="B337" s="10"/>
      <c r="G337" s="10"/>
    </row>
    <row r="338" spans="2:7" ht="15.75" customHeight="1" x14ac:dyDescent="0.2">
      <c r="B338" s="10"/>
      <c r="G338" s="10"/>
    </row>
    <row r="339" spans="2:7" ht="15.75" customHeight="1" x14ac:dyDescent="0.2">
      <c r="B339" s="10"/>
      <c r="G339" s="10"/>
    </row>
    <row r="340" spans="2:7" ht="15.75" customHeight="1" x14ac:dyDescent="0.2">
      <c r="B340" s="10"/>
      <c r="G340" s="10"/>
    </row>
    <row r="341" spans="2:7" ht="15.75" customHeight="1" x14ac:dyDescent="0.2">
      <c r="B341" s="10"/>
      <c r="G341" s="10"/>
    </row>
    <row r="342" spans="2:7" ht="15.75" customHeight="1" x14ac:dyDescent="0.2">
      <c r="B342" s="10"/>
      <c r="G342" s="10"/>
    </row>
    <row r="343" spans="2:7" ht="15.75" customHeight="1" x14ac:dyDescent="0.2">
      <c r="B343" s="10"/>
      <c r="G343" s="10"/>
    </row>
    <row r="344" spans="2:7" ht="15.75" customHeight="1" x14ac:dyDescent="0.2">
      <c r="B344" s="10"/>
      <c r="G344" s="10"/>
    </row>
    <row r="345" spans="2:7" ht="15.75" customHeight="1" x14ac:dyDescent="0.2">
      <c r="B345" s="10"/>
      <c r="G345" s="10"/>
    </row>
    <row r="346" spans="2:7" ht="15.75" customHeight="1" x14ac:dyDescent="0.2">
      <c r="B346" s="10"/>
      <c r="G346" s="10"/>
    </row>
    <row r="347" spans="2:7" ht="15.75" customHeight="1" x14ac:dyDescent="0.2">
      <c r="B347" s="10"/>
      <c r="G347" s="10"/>
    </row>
    <row r="348" spans="2:7" ht="15.75" customHeight="1" x14ac:dyDescent="0.2">
      <c r="B348" s="10"/>
      <c r="G348" s="10"/>
    </row>
    <row r="349" spans="2:7" ht="15.75" customHeight="1" x14ac:dyDescent="0.2">
      <c r="B349" s="10"/>
      <c r="G349" s="10"/>
    </row>
    <row r="350" spans="2:7" ht="15.75" customHeight="1" x14ac:dyDescent="0.2">
      <c r="B350" s="10"/>
      <c r="G350" s="10"/>
    </row>
    <row r="351" spans="2:7" ht="15.75" customHeight="1" x14ac:dyDescent="0.2">
      <c r="B351" s="10"/>
      <c r="G351" s="10"/>
    </row>
    <row r="352" spans="2:7" ht="15.75" customHeight="1" x14ac:dyDescent="0.2">
      <c r="B352" s="10"/>
      <c r="G352" s="10"/>
    </row>
    <row r="353" spans="2:7" ht="15.75" customHeight="1" x14ac:dyDescent="0.2">
      <c r="B353" s="10"/>
      <c r="G353" s="10"/>
    </row>
    <row r="354" spans="2:7" ht="15.75" customHeight="1" x14ac:dyDescent="0.2">
      <c r="B354" s="10"/>
      <c r="G354" s="10"/>
    </row>
    <row r="355" spans="2:7" ht="15.75" customHeight="1" x14ac:dyDescent="0.2">
      <c r="B355" s="10"/>
      <c r="G355" s="10"/>
    </row>
    <row r="356" spans="2:7" ht="15.75" customHeight="1" x14ac:dyDescent="0.2">
      <c r="B356" s="10"/>
      <c r="G356" s="10"/>
    </row>
    <row r="357" spans="2:7" ht="15.75" customHeight="1" x14ac:dyDescent="0.2">
      <c r="B357" s="10"/>
      <c r="G357" s="10"/>
    </row>
    <row r="358" spans="2:7" ht="15.75" customHeight="1" x14ac:dyDescent="0.2">
      <c r="B358" s="10"/>
      <c r="G358" s="10"/>
    </row>
    <row r="359" spans="2:7" ht="15.75" customHeight="1" x14ac:dyDescent="0.2">
      <c r="B359" s="10"/>
      <c r="G359" s="10"/>
    </row>
    <row r="360" spans="2:7" ht="15.75" customHeight="1" x14ac:dyDescent="0.2">
      <c r="B360" s="10"/>
      <c r="G360" s="10"/>
    </row>
    <row r="361" spans="2:7" ht="15.75" customHeight="1" x14ac:dyDescent="0.2">
      <c r="B361" s="10"/>
      <c r="G361" s="10"/>
    </row>
    <row r="362" spans="2:7" ht="15.75" customHeight="1" x14ac:dyDescent="0.2">
      <c r="B362" s="10"/>
      <c r="G362" s="10"/>
    </row>
    <row r="363" spans="2:7" ht="15.75" customHeight="1" x14ac:dyDescent="0.2">
      <c r="B363" s="10"/>
      <c r="G363" s="10"/>
    </row>
    <row r="364" spans="2:7" ht="15.75" customHeight="1" x14ac:dyDescent="0.2">
      <c r="B364" s="10"/>
      <c r="G364" s="10"/>
    </row>
    <row r="365" spans="2:7" ht="15.75" customHeight="1" x14ac:dyDescent="0.2">
      <c r="B365" s="10"/>
      <c r="G365" s="10"/>
    </row>
    <row r="366" spans="2:7" ht="15.75" customHeight="1" x14ac:dyDescent="0.2">
      <c r="B366" s="10"/>
      <c r="G366" s="10"/>
    </row>
    <row r="367" spans="2:7" ht="15.75" customHeight="1" x14ac:dyDescent="0.2">
      <c r="B367" s="10"/>
      <c r="G367" s="10"/>
    </row>
    <row r="368" spans="2:7" ht="15.75" customHeight="1" x14ac:dyDescent="0.2">
      <c r="B368" s="10"/>
      <c r="G368" s="10"/>
    </row>
    <row r="369" spans="2:7" ht="15.75" customHeight="1" x14ac:dyDescent="0.2">
      <c r="B369" s="10"/>
      <c r="G369" s="10"/>
    </row>
    <row r="370" spans="2:7" ht="15.75" customHeight="1" x14ac:dyDescent="0.2">
      <c r="B370" s="10"/>
      <c r="G370" s="10"/>
    </row>
    <row r="371" spans="2:7" ht="15.75" customHeight="1" x14ac:dyDescent="0.2">
      <c r="B371" s="10"/>
      <c r="G371" s="10"/>
    </row>
    <row r="372" spans="2:7" ht="15.75" customHeight="1" x14ac:dyDescent="0.2">
      <c r="B372" s="10"/>
      <c r="G372" s="10"/>
    </row>
    <row r="373" spans="2:7" ht="15.75" customHeight="1" x14ac:dyDescent="0.2">
      <c r="B373" s="10"/>
      <c r="G373" s="10"/>
    </row>
    <row r="374" spans="2:7" ht="15.75" customHeight="1" x14ac:dyDescent="0.2">
      <c r="B374" s="10"/>
      <c r="G374" s="10"/>
    </row>
    <row r="375" spans="2:7" ht="15.75" customHeight="1" x14ac:dyDescent="0.2">
      <c r="B375" s="10"/>
      <c r="G375" s="10"/>
    </row>
    <row r="376" spans="2:7" ht="15.75" customHeight="1" x14ac:dyDescent="0.2">
      <c r="B376" s="10"/>
      <c r="G376" s="10"/>
    </row>
    <row r="377" spans="2:7" ht="15.75" customHeight="1" x14ac:dyDescent="0.2">
      <c r="B377" s="10"/>
      <c r="G377" s="10"/>
    </row>
    <row r="378" spans="2:7" ht="15.75" customHeight="1" x14ac:dyDescent="0.2">
      <c r="B378" s="10"/>
      <c r="G378" s="10"/>
    </row>
    <row r="379" spans="2:7" ht="15.75" customHeight="1" x14ac:dyDescent="0.2">
      <c r="B379" s="10"/>
      <c r="G379" s="10"/>
    </row>
    <row r="380" spans="2:7" ht="15.75" customHeight="1" x14ac:dyDescent="0.2">
      <c r="B380" s="10"/>
      <c r="G380" s="10"/>
    </row>
    <row r="381" spans="2:7" ht="15.75" customHeight="1" x14ac:dyDescent="0.2">
      <c r="B381" s="10"/>
      <c r="G381" s="10"/>
    </row>
    <row r="382" spans="2:7" ht="15.75" customHeight="1" x14ac:dyDescent="0.2">
      <c r="B382" s="10"/>
      <c r="G382" s="10"/>
    </row>
    <row r="383" spans="2:7" ht="15.75" customHeight="1" x14ac:dyDescent="0.2">
      <c r="B383" s="10"/>
      <c r="G383" s="10"/>
    </row>
    <row r="384" spans="2:7" ht="15.75" customHeight="1" x14ac:dyDescent="0.2">
      <c r="B384" s="10"/>
      <c r="G384" s="10"/>
    </row>
    <row r="385" spans="2:7" ht="15.75" customHeight="1" x14ac:dyDescent="0.2">
      <c r="B385" s="10"/>
      <c r="G385" s="10"/>
    </row>
    <row r="386" spans="2:7" ht="15.75" customHeight="1" x14ac:dyDescent="0.2">
      <c r="B386" s="10"/>
      <c r="G386" s="10"/>
    </row>
    <row r="387" spans="2:7" ht="15.75" customHeight="1" x14ac:dyDescent="0.2">
      <c r="B387" s="10"/>
      <c r="G387" s="10"/>
    </row>
    <row r="388" spans="2:7" ht="15.75" customHeight="1" x14ac:dyDescent="0.2">
      <c r="B388" s="10"/>
      <c r="G388" s="10"/>
    </row>
    <row r="389" spans="2:7" ht="15.75" customHeight="1" x14ac:dyDescent="0.2">
      <c r="B389" s="10"/>
      <c r="G389" s="10"/>
    </row>
    <row r="390" spans="2:7" ht="15.75" customHeight="1" x14ac:dyDescent="0.2">
      <c r="B390" s="10"/>
      <c r="G390" s="10"/>
    </row>
    <row r="391" spans="2:7" ht="15.75" customHeight="1" x14ac:dyDescent="0.2">
      <c r="B391" s="10"/>
      <c r="G391" s="10"/>
    </row>
    <row r="392" spans="2:7" ht="15.75" customHeight="1" x14ac:dyDescent="0.2">
      <c r="B392" s="10"/>
      <c r="G392" s="10"/>
    </row>
    <row r="393" spans="2:7" ht="15.75" customHeight="1" x14ac:dyDescent="0.2">
      <c r="B393" s="10"/>
      <c r="G393" s="10"/>
    </row>
    <row r="394" spans="2:7" ht="15.75" customHeight="1" x14ac:dyDescent="0.2">
      <c r="B394" s="10"/>
      <c r="G394" s="10"/>
    </row>
    <row r="395" spans="2:7" ht="15.75" customHeight="1" x14ac:dyDescent="0.2">
      <c r="B395" s="10"/>
      <c r="G395" s="10"/>
    </row>
    <row r="396" spans="2:7" ht="15.75" customHeight="1" x14ac:dyDescent="0.2">
      <c r="B396" s="10"/>
      <c r="G396" s="10"/>
    </row>
    <row r="397" spans="2:7" ht="15.75" customHeight="1" x14ac:dyDescent="0.2">
      <c r="B397" s="10"/>
      <c r="G397" s="10"/>
    </row>
    <row r="398" spans="2:7" ht="15.75" customHeight="1" x14ac:dyDescent="0.2">
      <c r="B398" s="10"/>
      <c r="G398" s="10"/>
    </row>
    <row r="399" spans="2:7" ht="15.75" customHeight="1" x14ac:dyDescent="0.2">
      <c r="B399" s="10"/>
      <c r="G399" s="10"/>
    </row>
    <row r="400" spans="2:7" ht="15.75" customHeight="1" x14ac:dyDescent="0.2">
      <c r="B400" s="10"/>
      <c r="G400" s="10"/>
    </row>
    <row r="401" spans="2:7" ht="15.75" customHeight="1" x14ac:dyDescent="0.2">
      <c r="B401" s="10"/>
      <c r="G401" s="10"/>
    </row>
    <row r="402" spans="2:7" ht="15.75" customHeight="1" x14ac:dyDescent="0.2">
      <c r="B402" s="10"/>
      <c r="G402" s="10"/>
    </row>
    <row r="403" spans="2:7" ht="15.75" customHeight="1" x14ac:dyDescent="0.2">
      <c r="B403" s="10"/>
      <c r="G403" s="10"/>
    </row>
    <row r="404" spans="2:7" ht="15.75" customHeight="1" x14ac:dyDescent="0.2">
      <c r="B404" s="10"/>
      <c r="G404" s="10"/>
    </row>
    <row r="405" spans="2:7" ht="15.75" customHeight="1" x14ac:dyDescent="0.2">
      <c r="B405" s="10"/>
      <c r="G405" s="10"/>
    </row>
    <row r="406" spans="2:7" ht="15.75" customHeight="1" x14ac:dyDescent="0.2">
      <c r="B406" s="10"/>
      <c r="G406" s="10"/>
    </row>
    <row r="407" spans="2:7" ht="15.75" customHeight="1" x14ac:dyDescent="0.2">
      <c r="B407" s="10"/>
      <c r="G407" s="10"/>
    </row>
    <row r="408" spans="2:7" ht="15.75" customHeight="1" x14ac:dyDescent="0.2">
      <c r="B408" s="10"/>
      <c r="G408" s="10"/>
    </row>
    <row r="409" spans="2:7" ht="15.75" customHeight="1" x14ac:dyDescent="0.2">
      <c r="B409" s="10"/>
      <c r="G409" s="10"/>
    </row>
    <row r="410" spans="2:7" ht="15.75" customHeight="1" x14ac:dyDescent="0.2">
      <c r="B410" s="10"/>
      <c r="G410" s="10"/>
    </row>
    <row r="411" spans="2:7" ht="15.75" customHeight="1" x14ac:dyDescent="0.2">
      <c r="B411" s="10"/>
      <c r="G411" s="10"/>
    </row>
    <row r="412" spans="2:7" ht="15.75" customHeight="1" x14ac:dyDescent="0.2">
      <c r="B412" s="10"/>
      <c r="G412" s="10"/>
    </row>
    <row r="413" spans="2:7" ht="15.75" customHeight="1" x14ac:dyDescent="0.2">
      <c r="B413" s="10"/>
      <c r="G413" s="10"/>
    </row>
    <row r="414" spans="2:7" ht="15.75" customHeight="1" x14ac:dyDescent="0.2">
      <c r="B414" s="10"/>
      <c r="G414" s="10"/>
    </row>
    <row r="415" spans="2:7" ht="15.75" customHeight="1" x14ac:dyDescent="0.2">
      <c r="B415" s="10"/>
      <c r="G415" s="10"/>
    </row>
    <row r="416" spans="2:7" ht="15.75" customHeight="1" x14ac:dyDescent="0.2">
      <c r="B416" s="10"/>
      <c r="G416" s="10"/>
    </row>
    <row r="417" spans="2:7" ht="15.75" customHeight="1" x14ac:dyDescent="0.2">
      <c r="B417" s="10"/>
      <c r="G417" s="10"/>
    </row>
    <row r="418" spans="2:7" ht="15.75" customHeight="1" x14ac:dyDescent="0.2">
      <c r="B418" s="10"/>
      <c r="G418" s="10"/>
    </row>
    <row r="419" spans="2:7" ht="15.75" customHeight="1" x14ac:dyDescent="0.2">
      <c r="B419" s="10"/>
      <c r="G419" s="10"/>
    </row>
    <row r="420" spans="2:7" ht="15.75" customHeight="1" x14ac:dyDescent="0.2">
      <c r="B420" s="10"/>
      <c r="G420" s="10"/>
    </row>
    <row r="421" spans="2:7" ht="15.75" customHeight="1" x14ac:dyDescent="0.2">
      <c r="B421" s="10"/>
      <c r="G421" s="10"/>
    </row>
    <row r="422" spans="2:7" ht="15.75" customHeight="1" x14ac:dyDescent="0.2">
      <c r="B422" s="10"/>
      <c r="G422" s="10"/>
    </row>
    <row r="423" spans="2:7" ht="15.75" customHeight="1" x14ac:dyDescent="0.2">
      <c r="B423" s="10"/>
      <c r="G423" s="10"/>
    </row>
    <row r="424" spans="2:7" ht="15.75" customHeight="1" x14ac:dyDescent="0.2">
      <c r="B424" s="10"/>
      <c r="G424" s="10"/>
    </row>
    <row r="425" spans="2:7" ht="15.75" customHeight="1" x14ac:dyDescent="0.2">
      <c r="B425" s="10"/>
      <c r="G425" s="10"/>
    </row>
    <row r="426" spans="2:7" ht="15.75" customHeight="1" x14ac:dyDescent="0.2">
      <c r="B426" s="10"/>
      <c r="G426" s="10"/>
    </row>
    <row r="427" spans="2:7" ht="15.75" customHeight="1" x14ac:dyDescent="0.2">
      <c r="B427" s="10"/>
      <c r="G427" s="10"/>
    </row>
    <row r="428" spans="2:7" ht="15.75" customHeight="1" x14ac:dyDescent="0.2">
      <c r="B428" s="10"/>
      <c r="G428" s="10"/>
    </row>
    <row r="429" spans="2:7" ht="15.75" customHeight="1" x14ac:dyDescent="0.2">
      <c r="B429" s="10"/>
      <c r="G429" s="10"/>
    </row>
    <row r="430" spans="2:7" ht="15.75" customHeight="1" x14ac:dyDescent="0.2">
      <c r="B430" s="10"/>
      <c r="G430" s="10"/>
    </row>
    <row r="431" spans="2:7" ht="15.75" customHeight="1" x14ac:dyDescent="0.2">
      <c r="B431" s="10"/>
      <c r="G431" s="10"/>
    </row>
    <row r="432" spans="2:7" ht="15.75" customHeight="1" x14ac:dyDescent="0.2">
      <c r="B432" s="10"/>
      <c r="G432" s="10"/>
    </row>
    <row r="433" spans="2:7" ht="15.75" customHeight="1" x14ac:dyDescent="0.2">
      <c r="B433" s="10"/>
      <c r="G433" s="10"/>
    </row>
    <row r="434" spans="2:7" ht="15.75" customHeight="1" x14ac:dyDescent="0.2">
      <c r="B434" s="10"/>
      <c r="G434" s="10"/>
    </row>
    <row r="435" spans="2:7" ht="15.75" customHeight="1" x14ac:dyDescent="0.2">
      <c r="B435" s="10"/>
      <c r="G435" s="10"/>
    </row>
    <row r="436" spans="2:7" ht="15.75" customHeight="1" x14ac:dyDescent="0.2">
      <c r="B436" s="10"/>
      <c r="G436" s="10"/>
    </row>
    <row r="437" spans="2:7" ht="15.75" customHeight="1" x14ac:dyDescent="0.2">
      <c r="B437" s="10"/>
      <c r="G437" s="10"/>
    </row>
    <row r="438" spans="2:7" ht="15.75" customHeight="1" x14ac:dyDescent="0.2">
      <c r="B438" s="10"/>
      <c r="G438" s="10"/>
    </row>
    <row r="439" spans="2:7" ht="15.75" customHeight="1" x14ac:dyDescent="0.2">
      <c r="B439" s="10"/>
      <c r="G439" s="10"/>
    </row>
    <row r="440" spans="2:7" ht="15.75" customHeight="1" x14ac:dyDescent="0.2">
      <c r="B440" s="10"/>
      <c r="G440" s="10"/>
    </row>
    <row r="441" spans="2:7" ht="15.75" customHeight="1" x14ac:dyDescent="0.2">
      <c r="B441" s="10"/>
      <c r="G441" s="10"/>
    </row>
    <row r="442" spans="2:7" ht="15.75" customHeight="1" x14ac:dyDescent="0.2">
      <c r="B442" s="10"/>
      <c r="G442" s="10"/>
    </row>
    <row r="443" spans="2:7" ht="15.75" customHeight="1" x14ac:dyDescent="0.2">
      <c r="B443" s="10"/>
      <c r="G443" s="10"/>
    </row>
    <row r="444" spans="2:7" ht="15.75" customHeight="1" x14ac:dyDescent="0.2">
      <c r="B444" s="10"/>
      <c r="G444" s="10"/>
    </row>
    <row r="445" spans="2:7" ht="15.75" customHeight="1" x14ac:dyDescent="0.2">
      <c r="B445" s="10"/>
      <c r="G445" s="10"/>
    </row>
    <row r="446" spans="2:7" ht="15.75" customHeight="1" x14ac:dyDescent="0.2">
      <c r="B446" s="10"/>
      <c r="G446" s="10"/>
    </row>
    <row r="447" spans="2:7" ht="15.75" customHeight="1" x14ac:dyDescent="0.2">
      <c r="B447" s="10"/>
      <c r="G447" s="10"/>
    </row>
    <row r="448" spans="2:7" ht="15.75" customHeight="1" x14ac:dyDescent="0.2">
      <c r="B448" s="10"/>
      <c r="G448" s="10"/>
    </row>
    <row r="449" spans="2:7" ht="15.75" customHeight="1" x14ac:dyDescent="0.2">
      <c r="B449" s="10"/>
      <c r="G449" s="10"/>
    </row>
    <row r="450" spans="2:7" ht="15.75" customHeight="1" x14ac:dyDescent="0.2">
      <c r="B450" s="10"/>
      <c r="G450" s="10"/>
    </row>
    <row r="451" spans="2:7" ht="15.75" customHeight="1" x14ac:dyDescent="0.2">
      <c r="B451" s="10"/>
      <c r="G451" s="10"/>
    </row>
    <row r="452" spans="2:7" ht="15.75" customHeight="1" x14ac:dyDescent="0.2">
      <c r="B452" s="10"/>
      <c r="G452" s="10"/>
    </row>
    <row r="453" spans="2:7" ht="15.75" customHeight="1" x14ac:dyDescent="0.2">
      <c r="B453" s="10"/>
      <c r="G453" s="10"/>
    </row>
    <row r="454" spans="2:7" ht="15.75" customHeight="1" x14ac:dyDescent="0.2">
      <c r="B454" s="10"/>
      <c r="G454" s="10"/>
    </row>
    <row r="455" spans="2:7" ht="15.75" customHeight="1" x14ac:dyDescent="0.2">
      <c r="B455" s="10"/>
      <c r="G455" s="10"/>
    </row>
    <row r="456" spans="2:7" ht="15.75" customHeight="1" x14ac:dyDescent="0.2">
      <c r="B456" s="10"/>
      <c r="G456" s="10"/>
    </row>
    <row r="457" spans="2:7" ht="15.75" customHeight="1" x14ac:dyDescent="0.2">
      <c r="B457" s="10"/>
      <c r="G457" s="10"/>
    </row>
    <row r="458" spans="2:7" ht="15.75" customHeight="1" x14ac:dyDescent="0.2">
      <c r="B458" s="10"/>
      <c r="G458" s="10"/>
    </row>
    <row r="459" spans="2:7" ht="15.75" customHeight="1" x14ac:dyDescent="0.2">
      <c r="B459" s="10"/>
      <c r="G459" s="10"/>
    </row>
    <row r="460" spans="2:7" ht="15.75" customHeight="1" x14ac:dyDescent="0.2">
      <c r="B460" s="10"/>
      <c r="G460" s="10"/>
    </row>
    <row r="461" spans="2:7" ht="15.75" customHeight="1" x14ac:dyDescent="0.2">
      <c r="B461" s="10"/>
      <c r="G461" s="10"/>
    </row>
    <row r="462" spans="2:7" ht="15.75" customHeight="1" x14ac:dyDescent="0.2">
      <c r="B462" s="10"/>
      <c r="G462" s="10"/>
    </row>
    <row r="463" spans="2:7" ht="15.75" customHeight="1" x14ac:dyDescent="0.2">
      <c r="B463" s="10"/>
      <c r="G463" s="10"/>
    </row>
    <row r="464" spans="2:7" ht="15.75" customHeight="1" x14ac:dyDescent="0.2">
      <c r="B464" s="10"/>
      <c r="G464" s="10"/>
    </row>
    <row r="465" spans="2:7" ht="15.75" customHeight="1" x14ac:dyDescent="0.2">
      <c r="B465" s="10"/>
      <c r="G465" s="10"/>
    </row>
    <row r="466" spans="2:7" ht="15.75" customHeight="1" x14ac:dyDescent="0.2">
      <c r="B466" s="10"/>
      <c r="G466" s="10"/>
    </row>
    <row r="467" spans="2:7" ht="15.75" customHeight="1" x14ac:dyDescent="0.2">
      <c r="B467" s="10"/>
      <c r="G467" s="10"/>
    </row>
    <row r="468" spans="2:7" ht="15.75" customHeight="1" x14ac:dyDescent="0.2">
      <c r="B468" s="10"/>
      <c r="G468" s="10"/>
    </row>
    <row r="469" spans="2:7" ht="15.75" customHeight="1" x14ac:dyDescent="0.2">
      <c r="B469" s="10"/>
      <c r="G469" s="10"/>
    </row>
    <row r="470" spans="2:7" ht="15.75" customHeight="1" x14ac:dyDescent="0.2">
      <c r="B470" s="10"/>
      <c r="G470" s="10"/>
    </row>
    <row r="471" spans="2:7" ht="15.75" customHeight="1" x14ac:dyDescent="0.2">
      <c r="B471" s="10"/>
      <c r="G471" s="10"/>
    </row>
    <row r="472" spans="2:7" ht="15.75" customHeight="1" x14ac:dyDescent="0.2">
      <c r="B472" s="10"/>
      <c r="G472" s="10"/>
    </row>
    <row r="473" spans="2:7" ht="15.75" customHeight="1" x14ac:dyDescent="0.2">
      <c r="B473" s="10"/>
      <c r="G473" s="10"/>
    </row>
    <row r="474" spans="2:7" ht="15.75" customHeight="1" x14ac:dyDescent="0.2">
      <c r="B474" s="10"/>
      <c r="G474" s="10"/>
    </row>
    <row r="475" spans="2:7" ht="15.75" customHeight="1" x14ac:dyDescent="0.2">
      <c r="B475" s="10"/>
      <c r="G475" s="10"/>
    </row>
    <row r="476" spans="2:7" ht="15.75" customHeight="1" x14ac:dyDescent="0.2">
      <c r="B476" s="10"/>
      <c r="G476" s="10"/>
    </row>
    <row r="477" spans="2:7" ht="15.75" customHeight="1" x14ac:dyDescent="0.2">
      <c r="B477" s="10"/>
      <c r="G477" s="10"/>
    </row>
    <row r="478" spans="2:7" ht="15.75" customHeight="1" x14ac:dyDescent="0.2">
      <c r="B478" s="10"/>
      <c r="G478" s="10"/>
    </row>
    <row r="479" spans="2:7" ht="15.75" customHeight="1" x14ac:dyDescent="0.2">
      <c r="B479" s="10"/>
      <c r="G479" s="10"/>
    </row>
    <row r="480" spans="2:7" ht="15.75" customHeight="1" x14ac:dyDescent="0.2">
      <c r="B480" s="10"/>
      <c r="G480" s="10"/>
    </row>
    <row r="481" spans="2:7" ht="15.75" customHeight="1" x14ac:dyDescent="0.2">
      <c r="B481" s="10"/>
      <c r="G481" s="10"/>
    </row>
    <row r="482" spans="2:7" ht="15.75" customHeight="1" x14ac:dyDescent="0.2">
      <c r="B482" s="10"/>
      <c r="G482" s="10"/>
    </row>
    <row r="483" spans="2:7" ht="15.75" customHeight="1" x14ac:dyDescent="0.2">
      <c r="B483" s="10"/>
      <c r="G483" s="10"/>
    </row>
    <row r="484" spans="2:7" ht="15.75" customHeight="1" x14ac:dyDescent="0.2">
      <c r="B484" s="10"/>
      <c r="G484" s="10"/>
    </row>
    <row r="485" spans="2:7" ht="15.75" customHeight="1" x14ac:dyDescent="0.2">
      <c r="B485" s="10"/>
      <c r="G485" s="10"/>
    </row>
    <row r="486" spans="2:7" ht="15.75" customHeight="1" x14ac:dyDescent="0.2">
      <c r="B486" s="10"/>
      <c r="G486" s="10"/>
    </row>
    <row r="487" spans="2:7" ht="15.75" customHeight="1" x14ac:dyDescent="0.2">
      <c r="B487" s="10"/>
      <c r="G487" s="10"/>
    </row>
    <row r="488" spans="2:7" ht="15.75" customHeight="1" x14ac:dyDescent="0.2">
      <c r="B488" s="10"/>
      <c r="G488" s="10"/>
    </row>
    <row r="489" spans="2:7" ht="15.75" customHeight="1" x14ac:dyDescent="0.2">
      <c r="B489" s="10"/>
      <c r="G489" s="10"/>
    </row>
    <row r="490" spans="2:7" ht="15.75" customHeight="1" x14ac:dyDescent="0.2">
      <c r="B490" s="10"/>
      <c r="G490" s="10"/>
    </row>
    <row r="491" spans="2:7" ht="15.75" customHeight="1" x14ac:dyDescent="0.2">
      <c r="B491" s="10"/>
      <c r="G491" s="10"/>
    </row>
    <row r="492" spans="2:7" ht="15.75" customHeight="1" x14ac:dyDescent="0.2">
      <c r="B492" s="10"/>
      <c r="G492" s="10"/>
    </row>
    <row r="493" spans="2:7" ht="15.75" customHeight="1" x14ac:dyDescent="0.2">
      <c r="B493" s="10"/>
      <c r="G493" s="10"/>
    </row>
    <row r="494" spans="2:7" ht="15.75" customHeight="1" x14ac:dyDescent="0.2">
      <c r="B494" s="10"/>
      <c r="G494" s="10"/>
    </row>
    <row r="495" spans="2:7" ht="15.75" customHeight="1" x14ac:dyDescent="0.2">
      <c r="B495" s="10"/>
      <c r="G495" s="10"/>
    </row>
    <row r="496" spans="2:7" ht="15.75" customHeight="1" x14ac:dyDescent="0.2">
      <c r="B496" s="10"/>
      <c r="G496" s="10"/>
    </row>
    <row r="497" spans="2:7" ht="15.75" customHeight="1" x14ac:dyDescent="0.2">
      <c r="B497" s="10"/>
      <c r="G497" s="10"/>
    </row>
    <row r="498" spans="2:7" ht="15.75" customHeight="1" x14ac:dyDescent="0.2">
      <c r="B498" s="10"/>
      <c r="G498" s="10"/>
    </row>
    <row r="499" spans="2:7" ht="15.75" customHeight="1" x14ac:dyDescent="0.2">
      <c r="B499" s="10"/>
      <c r="G499" s="10"/>
    </row>
    <row r="500" spans="2:7" ht="15.75" customHeight="1" x14ac:dyDescent="0.2">
      <c r="B500" s="10"/>
      <c r="G500" s="10"/>
    </row>
    <row r="501" spans="2:7" ht="15.75" customHeight="1" x14ac:dyDescent="0.2">
      <c r="B501" s="10"/>
      <c r="G501" s="10"/>
    </row>
    <row r="502" spans="2:7" ht="15.75" customHeight="1" x14ac:dyDescent="0.2">
      <c r="B502" s="10"/>
      <c r="G502" s="10"/>
    </row>
    <row r="503" spans="2:7" ht="15.75" customHeight="1" x14ac:dyDescent="0.2">
      <c r="B503" s="10"/>
      <c r="G503" s="10"/>
    </row>
    <row r="504" spans="2:7" ht="15.75" customHeight="1" x14ac:dyDescent="0.2">
      <c r="B504" s="10"/>
      <c r="G504" s="10"/>
    </row>
    <row r="505" spans="2:7" ht="15.75" customHeight="1" x14ac:dyDescent="0.2">
      <c r="B505" s="10"/>
      <c r="G505" s="10"/>
    </row>
    <row r="506" spans="2:7" ht="15.75" customHeight="1" x14ac:dyDescent="0.2">
      <c r="B506" s="10"/>
      <c r="G506" s="10"/>
    </row>
    <row r="507" spans="2:7" ht="15.75" customHeight="1" x14ac:dyDescent="0.2">
      <c r="B507" s="10"/>
      <c r="G507" s="10"/>
    </row>
    <row r="508" spans="2:7" ht="15.75" customHeight="1" x14ac:dyDescent="0.2">
      <c r="B508" s="10"/>
      <c r="G508" s="10"/>
    </row>
    <row r="509" spans="2:7" ht="15.75" customHeight="1" x14ac:dyDescent="0.2">
      <c r="B509" s="10"/>
      <c r="G509" s="10"/>
    </row>
    <row r="510" spans="2:7" ht="15.75" customHeight="1" x14ac:dyDescent="0.2">
      <c r="B510" s="10"/>
      <c r="G510" s="10"/>
    </row>
    <row r="511" spans="2:7" ht="15.75" customHeight="1" x14ac:dyDescent="0.2">
      <c r="B511" s="10"/>
      <c r="G511" s="10"/>
    </row>
    <row r="512" spans="2:7" ht="15.75" customHeight="1" x14ac:dyDescent="0.2">
      <c r="B512" s="10"/>
      <c r="G512" s="10"/>
    </row>
    <row r="513" spans="2:7" ht="15.75" customHeight="1" x14ac:dyDescent="0.2">
      <c r="B513" s="10"/>
      <c r="G513" s="10"/>
    </row>
    <row r="514" spans="2:7" ht="15.75" customHeight="1" x14ac:dyDescent="0.2">
      <c r="B514" s="10"/>
      <c r="G514" s="10"/>
    </row>
    <row r="515" spans="2:7" ht="15.75" customHeight="1" x14ac:dyDescent="0.2">
      <c r="B515" s="10"/>
      <c r="G515" s="10"/>
    </row>
    <row r="516" spans="2:7" ht="15.75" customHeight="1" x14ac:dyDescent="0.2">
      <c r="B516" s="10"/>
      <c r="G516" s="10"/>
    </row>
    <row r="517" spans="2:7" ht="15.75" customHeight="1" x14ac:dyDescent="0.2">
      <c r="B517" s="10"/>
      <c r="G517" s="10"/>
    </row>
    <row r="518" spans="2:7" ht="15.75" customHeight="1" x14ac:dyDescent="0.2">
      <c r="B518" s="10"/>
      <c r="G518" s="10"/>
    </row>
    <row r="519" spans="2:7" ht="15.75" customHeight="1" x14ac:dyDescent="0.2">
      <c r="B519" s="10"/>
      <c r="G519" s="10"/>
    </row>
    <row r="520" spans="2:7" ht="15.75" customHeight="1" x14ac:dyDescent="0.2">
      <c r="B520" s="10"/>
      <c r="G520" s="10"/>
    </row>
    <row r="521" spans="2:7" ht="15.75" customHeight="1" x14ac:dyDescent="0.2">
      <c r="B521" s="10"/>
      <c r="G521" s="10"/>
    </row>
    <row r="522" spans="2:7" ht="15.75" customHeight="1" x14ac:dyDescent="0.2">
      <c r="B522" s="10"/>
      <c r="G522" s="10"/>
    </row>
    <row r="523" spans="2:7" ht="15.75" customHeight="1" x14ac:dyDescent="0.2">
      <c r="B523" s="10"/>
      <c r="G523" s="10"/>
    </row>
    <row r="524" spans="2:7" ht="15.75" customHeight="1" x14ac:dyDescent="0.2">
      <c r="B524" s="10"/>
      <c r="G524" s="10"/>
    </row>
    <row r="525" spans="2:7" ht="15.75" customHeight="1" x14ac:dyDescent="0.2">
      <c r="B525" s="10"/>
      <c r="G525" s="10"/>
    </row>
    <row r="526" spans="2:7" ht="15.75" customHeight="1" x14ac:dyDescent="0.2">
      <c r="B526" s="10"/>
      <c r="G526" s="10"/>
    </row>
    <row r="527" spans="2:7" ht="15.75" customHeight="1" x14ac:dyDescent="0.2">
      <c r="B527" s="10"/>
      <c r="G527" s="10"/>
    </row>
    <row r="528" spans="2:7" ht="15.75" customHeight="1" x14ac:dyDescent="0.2">
      <c r="B528" s="10"/>
      <c r="G528" s="10"/>
    </row>
    <row r="529" spans="2:7" ht="15.75" customHeight="1" x14ac:dyDescent="0.2">
      <c r="B529" s="10"/>
      <c r="G529" s="10"/>
    </row>
    <row r="530" spans="2:7" ht="15.75" customHeight="1" x14ac:dyDescent="0.2">
      <c r="B530" s="10"/>
      <c r="G530" s="10"/>
    </row>
    <row r="531" spans="2:7" ht="15.75" customHeight="1" x14ac:dyDescent="0.2">
      <c r="B531" s="10"/>
      <c r="G531" s="10"/>
    </row>
    <row r="532" spans="2:7" ht="15.75" customHeight="1" x14ac:dyDescent="0.2">
      <c r="B532" s="10"/>
      <c r="G532" s="10"/>
    </row>
    <row r="533" spans="2:7" ht="15.75" customHeight="1" x14ac:dyDescent="0.2">
      <c r="B533" s="10"/>
      <c r="G533" s="10"/>
    </row>
    <row r="534" spans="2:7" ht="15.75" customHeight="1" x14ac:dyDescent="0.2">
      <c r="B534" s="10"/>
      <c r="G534" s="10"/>
    </row>
    <row r="535" spans="2:7" ht="15.75" customHeight="1" x14ac:dyDescent="0.2">
      <c r="B535" s="10"/>
      <c r="G535" s="10"/>
    </row>
    <row r="536" spans="2:7" ht="15.75" customHeight="1" x14ac:dyDescent="0.2">
      <c r="B536" s="10"/>
      <c r="G536" s="10"/>
    </row>
    <row r="537" spans="2:7" ht="15.75" customHeight="1" x14ac:dyDescent="0.2">
      <c r="B537" s="10"/>
      <c r="G537" s="10"/>
    </row>
    <row r="538" spans="2:7" ht="15.75" customHeight="1" x14ac:dyDescent="0.2">
      <c r="B538" s="10"/>
      <c r="G538" s="10"/>
    </row>
    <row r="539" spans="2:7" ht="15.75" customHeight="1" x14ac:dyDescent="0.2">
      <c r="B539" s="10"/>
      <c r="G539" s="10"/>
    </row>
    <row r="540" spans="2:7" ht="15.75" customHeight="1" x14ac:dyDescent="0.2">
      <c r="B540" s="10"/>
      <c r="G540" s="10"/>
    </row>
    <row r="541" spans="2:7" ht="15.75" customHeight="1" x14ac:dyDescent="0.2">
      <c r="B541" s="10"/>
      <c r="G541" s="10"/>
    </row>
    <row r="542" spans="2:7" ht="15.75" customHeight="1" x14ac:dyDescent="0.2">
      <c r="B542" s="10"/>
      <c r="G542" s="10"/>
    </row>
    <row r="543" spans="2:7" ht="15.75" customHeight="1" x14ac:dyDescent="0.2">
      <c r="B543" s="10"/>
      <c r="G543" s="10"/>
    </row>
    <row r="544" spans="2:7" ht="15.75" customHeight="1" x14ac:dyDescent="0.2">
      <c r="B544" s="10"/>
      <c r="G544" s="10"/>
    </row>
    <row r="545" spans="2:7" ht="15.75" customHeight="1" x14ac:dyDescent="0.2">
      <c r="B545" s="10"/>
      <c r="G545" s="10"/>
    </row>
    <row r="546" spans="2:7" ht="15.75" customHeight="1" x14ac:dyDescent="0.2">
      <c r="B546" s="10"/>
      <c r="G546" s="10"/>
    </row>
    <row r="547" spans="2:7" ht="15.75" customHeight="1" x14ac:dyDescent="0.2">
      <c r="B547" s="10"/>
      <c r="G547" s="10"/>
    </row>
    <row r="548" spans="2:7" ht="15.75" customHeight="1" x14ac:dyDescent="0.2">
      <c r="B548" s="10"/>
      <c r="G548" s="10"/>
    </row>
    <row r="549" spans="2:7" ht="15.75" customHeight="1" x14ac:dyDescent="0.2">
      <c r="B549" s="10"/>
      <c r="G549" s="10"/>
    </row>
    <row r="550" spans="2:7" ht="15.75" customHeight="1" x14ac:dyDescent="0.2">
      <c r="B550" s="10"/>
      <c r="G550" s="10"/>
    </row>
    <row r="551" spans="2:7" ht="15.75" customHeight="1" x14ac:dyDescent="0.2">
      <c r="B551" s="10"/>
      <c r="G551" s="10"/>
    </row>
    <row r="552" spans="2:7" ht="15.75" customHeight="1" x14ac:dyDescent="0.2">
      <c r="B552" s="10"/>
      <c r="G552" s="10"/>
    </row>
    <row r="553" spans="2:7" ht="15.75" customHeight="1" x14ac:dyDescent="0.2">
      <c r="B553" s="10"/>
      <c r="G553" s="10"/>
    </row>
    <row r="554" spans="2:7" ht="15.75" customHeight="1" x14ac:dyDescent="0.2">
      <c r="B554" s="10"/>
      <c r="G554" s="10"/>
    </row>
    <row r="555" spans="2:7" ht="15.75" customHeight="1" x14ac:dyDescent="0.2">
      <c r="B555" s="10"/>
      <c r="G555" s="10"/>
    </row>
    <row r="556" spans="2:7" ht="15.75" customHeight="1" x14ac:dyDescent="0.2">
      <c r="B556" s="10"/>
      <c r="G556" s="10"/>
    </row>
    <row r="557" spans="2:7" ht="15.75" customHeight="1" x14ac:dyDescent="0.2">
      <c r="B557" s="10"/>
      <c r="G557" s="10"/>
    </row>
    <row r="558" spans="2:7" ht="15.75" customHeight="1" x14ac:dyDescent="0.2">
      <c r="B558" s="10"/>
      <c r="G558" s="10"/>
    </row>
    <row r="559" spans="2:7" ht="15.75" customHeight="1" x14ac:dyDescent="0.2">
      <c r="B559" s="10"/>
      <c r="G559" s="10"/>
    </row>
    <row r="560" spans="2:7" ht="15.75" customHeight="1" x14ac:dyDescent="0.2">
      <c r="B560" s="10"/>
      <c r="G560" s="10"/>
    </row>
    <row r="561" spans="2:7" ht="15.75" customHeight="1" x14ac:dyDescent="0.2">
      <c r="B561" s="10"/>
      <c r="G561" s="10"/>
    </row>
    <row r="562" spans="2:7" ht="15.75" customHeight="1" x14ac:dyDescent="0.2">
      <c r="B562" s="10"/>
      <c r="G562" s="10"/>
    </row>
    <row r="563" spans="2:7" ht="15.75" customHeight="1" x14ac:dyDescent="0.2">
      <c r="B563" s="10"/>
      <c r="G563" s="10"/>
    </row>
    <row r="564" spans="2:7" ht="15.75" customHeight="1" x14ac:dyDescent="0.2">
      <c r="B564" s="10"/>
      <c r="G564" s="10"/>
    </row>
    <row r="565" spans="2:7" ht="15.75" customHeight="1" x14ac:dyDescent="0.2">
      <c r="B565" s="10"/>
      <c r="G565" s="10"/>
    </row>
    <row r="566" spans="2:7" ht="15.75" customHeight="1" x14ac:dyDescent="0.2">
      <c r="B566" s="10"/>
      <c r="G566" s="10"/>
    </row>
    <row r="567" spans="2:7" ht="15.75" customHeight="1" x14ac:dyDescent="0.2">
      <c r="B567" s="10"/>
      <c r="G567" s="10"/>
    </row>
    <row r="568" spans="2:7" ht="15.75" customHeight="1" x14ac:dyDescent="0.2">
      <c r="B568" s="10"/>
      <c r="G568" s="10"/>
    </row>
    <row r="569" spans="2:7" ht="15.75" customHeight="1" x14ac:dyDescent="0.2">
      <c r="B569" s="10"/>
      <c r="G569" s="10"/>
    </row>
    <row r="570" spans="2:7" ht="15.75" customHeight="1" x14ac:dyDescent="0.2">
      <c r="B570" s="10"/>
      <c r="G570" s="10"/>
    </row>
    <row r="571" spans="2:7" ht="15.75" customHeight="1" x14ac:dyDescent="0.2">
      <c r="B571" s="10"/>
      <c r="G571" s="10"/>
    </row>
    <row r="572" spans="2:7" ht="15.75" customHeight="1" x14ac:dyDescent="0.2">
      <c r="B572" s="10"/>
      <c r="G572" s="10"/>
    </row>
    <row r="573" spans="2:7" ht="15.75" customHeight="1" x14ac:dyDescent="0.2">
      <c r="B573" s="10"/>
      <c r="G573" s="10"/>
    </row>
    <row r="574" spans="2:7" ht="15.75" customHeight="1" x14ac:dyDescent="0.2">
      <c r="B574" s="10"/>
      <c r="G574" s="10"/>
    </row>
    <row r="575" spans="2:7" ht="15.75" customHeight="1" x14ac:dyDescent="0.2">
      <c r="B575" s="10"/>
      <c r="G575" s="10"/>
    </row>
    <row r="576" spans="2:7" ht="15.75" customHeight="1" x14ac:dyDescent="0.2">
      <c r="B576" s="10"/>
      <c r="G576" s="10"/>
    </row>
    <row r="577" spans="2:7" ht="15.75" customHeight="1" x14ac:dyDescent="0.2">
      <c r="B577" s="10"/>
      <c r="G577" s="10"/>
    </row>
    <row r="578" spans="2:7" ht="15.75" customHeight="1" x14ac:dyDescent="0.2">
      <c r="B578" s="10"/>
      <c r="G578" s="10"/>
    </row>
    <row r="579" spans="2:7" ht="15.75" customHeight="1" x14ac:dyDescent="0.2">
      <c r="B579" s="10"/>
      <c r="G579" s="10"/>
    </row>
    <row r="580" spans="2:7" ht="15.75" customHeight="1" x14ac:dyDescent="0.2">
      <c r="B580" s="10"/>
      <c r="G580" s="10"/>
    </row>
    <row r="581" spans="2:7" ht="15.75" customHeight="1" x14ac:dyDescent="0.2">
      <c r="B581" s="10"/>
      <c r="G581" s="10"/>
    </row>
    <row r="582" spans="2:7" ht="15.75" customHeight="1" x14ac:dyDescent="0.2">
      <c r="B582" s="10"/>
      <c r="G582" s="10"/>
    </row>
    <row r="583" spans="2:7" ht="15.75" customHeight="1" x14ac:dyDescent="0.2">
      <c r="B583" s="10"/>
      <c r="G583" s="10"/>
    </row>
    <row r="584" spans="2:7" ht="15.75" customHeight="1" x14ac:dyDescent="0.2">
      <c r="B584" s="10"/>
      <c r="G584" s="10"/>
    </row>
    <row r="585" spans="2:7" ht="15.75" customHeight="1" x14ac:dyDescent="0.2">
      <c r="B585" s="10"/>
      <c r="G585" s="10"/>
    </row>
    <row r="586" spans="2:7" ht="15.75" customHeight="1" x14ac:dyDescent="0.2">
      <c r="B586" s="10"/>
      <c r="G586" s="10"/>
    </row>
    <row r="587" spans="2:7" ht="15.75" customHeight="1" x14ac:dyDescent="0.2">
      <c r="B587" s="10"/>
      <c r="G587" s="10"/>
    </row>
    <row r="588" spans="2:7" ht="15.75" customHeight="1" x14ac:dyDescent="0.2">
      <c r="B588" s="10"/>
      <c r="G588" s="10"/>
    </row>
    <row r="589" spans="2:7" ht="15.75" customHeight="1" x14ac:dyDescent="0.2">
      <c r="B589" s="10"/>
      <c r="G589" s="10"/>
    </row>
    <row r="590" spans="2:7" ht="15.75" customHeight="1" x14ac:dyDescent="0.2">
      <c r="B590" s="10"/>
      <c r="G590" s="10"/>
    </row>
    <row r="591" spans="2:7" ht="15.75" customHeight="1" x14ac:dyDescent="0.2">
      <c r="B591" s="10"/>
      <c r="G591" s="10"/>
    </row>
    <row r="592" spans="2:7" ht="15.75" customHeight="1" x14ac:dyDescent="0.2">
      <c r="B592" s="10"/>
      <c r="G592" s="10"/>
    </row>
    <row r="593" spans="2:7" ht="15.75" customHeight="1" x14ac:dyDescent="0.2">
      <c r="B593" s="10"/>
      <c r="G593" s="10"/>
    </row>
    <row r="594" spans="2:7" ht="15.75" customHeight="1" x14ac:dyDescent="0.2">
      <c r="B594" s="10"/>
      <c r="G594" s="10"/>
    </row>
    <row r="595" spans="2:7" ht="15.75" customHeight="1" x14ac:dyDescent="0.2">
      <c r="B595" s="10"/>
      <c r="G595" s="10"/>
    </row>
    <row r="596" spans="2:7" ht="15.75" customHeight="1" x14ac:dyDescent="0.2">
      <c r="B596" s="10"/>
      <c r="G596" s="10"/>
    </row>
    <row r="597" spans="2:7" ht="15.75" customHeight="1" x14ac:dyDescent="0.2">
      <c r="B597" s="10"/>
      <c r="G597" s="10"/>
    </row>
    <row r="598" spans="2:7" ht="15.75" customHeight="1" x14ac:dyDescent="0.2">
      <c r="B598" s="10"/>
      <c r="G598" s="10"/>
    </row>
    <row r="599" spans="2:7" ht="15.75" customHeight="1" x14ac:dyDescent="0.2">
      <c r="B599" s="10"/>
      <c r="G599" s="10"/>
    </row>
    <row r="600" spans="2:7" ht="15.75" customHeight="1" x14ac:dyDescent="0.2">
      <c r="B600" s="10"/>
      <c r="G600" s="10"/>
    </row>
    <row r="601" spans="2:7" ht="15.75" customHeight="1" x14ac:dyDescent="0.2">
      <c r="B601" s="10"/>
      <c r="G601" s="10"/>
    </row>
    <row r="602" spans="2:7" ht="15.75" customHeight="1" x14ac:dyDescent="0.2">
      <c r="B602" s="10"/>
      <c r="G602" s="10"/>
    </row>
    <row r="603" spans="2:7" ht="15.75" customHeight="1" x14ac:dyDescent="0.2">
      <c r="B603" s="10"/>
      <c r="G603" s="10"/>
    </row>
    <row r="604" spans="2:7" ht="15.75" customHeight="1" x14ac:dyDescent="0.2">
      <c r="B604" s="10"/>
      <c r="G604" s="10"/>
    </row>
    <row r="605" spans="2:7" ht="15.75" customHeight="1" x14ac:dyDescent="0.2">
      <c r="B605" s="10"/>
      <c r="G605" s="10"/>
    </row>
    <row r="606" spans="2:7" ht="15.75" customHeight="1" x14ac:dyDescent="0.2">
      <c r="B606" s="10"/>
      <c r="G606" s="10"/>
    </row>
    <row r="607" spans="2:7" ht="15.75" customHeight="1" x14ac:dyDescent="0.2">
      <c r="B607" s="10"/>
      <c r="G607" s="10"/>
    </row>
    <row r="608" spans="2:7" ht="15.75" customHeight="1" x14ac:dyDescent="0.2">
      <c r="B608" s="10"/>
      <c r="G608" s="10"/>
    </row>
    <row r="609" spans="2:7" ht="15.75" customHeight="1" x14ac:dyDescent="0.2">
      <c r="B609" s="10"/>
      <c r="G609" s="10"/>
    </row>
    <row r="610" spans="2:7" ht="15.75" customHeight="1" x14ac:dyDescent="0.2">
      <c r="B610" s="10"/>
      <c r="G610" s="10"/>
    </row>
    <row r="611" spans="2:7" ht="15.75" customHeight="1" x14ac:dyDescent="0.2">
      <c r="B611" s="10"/>
      <c r="G611" s="10"/>
    </row>
    <row r="612" spans="2:7" ht="15.75" customHeight="1" x14ac:dyDescent="0.2">
      <c r="B612" s="10"/>
      <c r="G612" s="10"/>
    </row>
    <row r="613" spans="2:7" ht="15.75" customHeight="1" x14ac:dyDescent="0.2">
      <c r="B613" s="10"/>
      <c r="G613" s="10"/>
    </row>
    <row r="614" spans="2:7" ht="15.75" customHeight="1" x14ac:dyDescent="0.2">
      <c r="B614" s="10"/>
      <c r="G614" s="10"/>
    </row>
    <row r="615" spans="2:7" ht="15.75" customHeight="1" x14ac:dyDescent="0.2">
      <c r="B615" s="10"/>
      <c r="G615" s="10"/>
    </row>
    <row r="616" spans="2:7" ht="15.75" customHeight="1" x14ac:dyDescent="0.2">
      <c r="B616" s="10"/>
      <c r="G616" s="10"/>
    </row>
    <row r="617" spans="2:7" ht="15.75" customHeight="1" x14ac:dyDescent="0.2">
      <c r="B617" s="10"/>
      <c r="G617" s="10"/>
    </row>
    <row r="618" spans="2:7" ht="15.75" customHeight="1" x14ac:dyDescent="0.2">
      <c r="B618" s="10"/>
      <c r="G618" s="10"/>
    </row>
    <row r="619" spans="2:7" ht="15.75" customHeight="1" x14ac:dyDescent="0.2">
      <c r="B619" s="10"/>
      <c r="G619" s="10"/>
    </row>
    <row r="620" spans="2:7" ht="15.75" customHeight="1" x14ac:dyDescent="0.2">
      <c r="B620" s="10"/>
      <c r="G620" s="10"/>
    </row>
    <row r="621" spans="2:7" ht="15.75" customHeight="1" x14ac:dyDescent="0.2">
      <c r="B621" s="10"/>
      <c r="G621" s="10"/>
    </row>
    <row r="622" spans="2:7" ht="15.75" customHeight="1" x14ac:dyDescent="0.2">
      <c r="B622" s="10"/>
      <c r="G622" s="10"/>
    </row>
    <row r="623" spans="2:7" ht="15.75" customHeight="1" x14ac:dyDescent="0.2">
      <c r="B623" s="10"/>
      <c r="G623" s="10"/>
    </row>
    <row r="624" spans="2:7" ht="15.75" customHeight="1" x14ac:dyDescent="0.2">
      <c r="B624" s="10"/>
      <c r="G624" s="10"/>
    </row>
    <row r="625" spans="2:7" ht="15.75" customHeight="1" x14ac:dyDescent="0.2">
      <c r="B625" s="10"/>
      <c r="G625" s="10"/>
    </row>
    <row r="626" spans="2:7" ht="15.75" customHeight="1" x14ac:dyDescent="0.2">
      <c r="B626" s="10"/>
      <c r="G626" s="10"/>
    </row>
    <row r="627" spans="2:7" ht="15.75" customHeight="1" x14ac:dyDescent="0.2">
      <c r="B627" s="10"/>
      <c r="G627" s="10"/>
    </row>
    <row r="628" spans="2:7" ht="15.75" customHeight="1" x14ac:dyDescent="0.2">
      <c r="B628" s="10"/>
      <c r="G628" s="10"/>
    </row>
    <row r="629" spans="2:7" ht="15.75" customHeight="1" x14ac:dyDescent="0.2">
      <c r="B629" s="10"/>
      <c r="G629" s="10"/>
    </row>
    <row r="630" spans="2:7" ht="15.75" customHeight="1" x14ac:dyDescent="0.2">
      <c r="B630" s="10"/>
      <c r="G630" s="10"/>
    </row>
    <row r="631" spans="2:7" ht="15.75" customHeight="1" x14ac:dyDescent="0.2">
      <c r="B631" s="10"/>
      <c r="G631" s="10"/>
    </row>
    <row r="632" spans="2:7" ht="15.75" customHeight="1" x14ac:dyDescent="0.2">
      <c r="B632" s="10"/>
      <c r="G632" s="10"/>
    </row>
    <row r="633" spans="2:7" ht="15.75" customHeight="1" x14ac:dyDescent="0.2">
      <c r="B633" s="10"/>
      <c r="G633" s="10"/>
    </row>
    <row r="634" spans="2:7" ht="15.75" customHeight="1" x14ac:dyDescent="0.2">
      <c r="B634" s="10"/>
      <c r="G634" s="10"/>
    </row>
    <row r="635" spans="2:7" ht="15.75" customHeight="1" x14ac:dyDescent="0.2">
      <c r="B635" s="10"/>
      <c r="G635" s="10"/>
    </row>
    <row r="636" spans="2:7" ht="15.75" customHeight="1" x14ac:dyDescent="0.2">
      <c r="B636" s="10"/>
      <c r="G636" s="10"/>
    </row>
    <row r="637" spans="2:7" ht="15.75" customHeight="1" x14ac:dyDescent="0.2">
      <c r="B637" s="10"/>
      <c r="G637" s="10"/>
    </row>
    <row r="638" spans="2:7" ht="15.75" customHeight="1" x14ac:dyDescent="0.2">
      <c r="B638" s="10"/>
      <c r="G638" s="10"/>
    </row>
    <row r="639" spans="2:7" ht="15.75" customHeight="1" x14ac:dyDescent="0.2">
      <c r="B639" s="10"/>
      <c r="G639" s="10"/>
    </row>
    <row r="640" spans="2:7" ht="15.75" customHeight="1" x14ac:dyDescent="0.2">
      <c r="B640" s="10"/>
      <c r="G640" s="10"/>
    </row>
    <row r="641" spans="2:7" ht="15.75" customHeight="1" x14ac:dyDescent="0.2">
      <c r="B641" s="10"/>
      <c r="G641" s="10"/>
    </row>
    <row r="642" spans="2:7" ht="15.75" customHeight="1" x14ac:dyDescent="0.2">
      <c r="B642" s="10"/>
      <c r="G642" s="10"/>
    </row>
    <row r="643" spans="2:7" ht="15.75" customHeight="1" x14ac:dyDescent="0.2">
      <c r="B643" s="10"/>
      <c r="G643" s="10"/>
    </row>
    <row r="644" spans="2:7" ht="15.75" customHeight="1" x14ac:dyDescent="0.2">
      <c r="B644" s="10"/>
      <c r="G644" s="10"/>
    </row>
    <row r="645" spans="2:7" ht="15.75" customHeight="1" x14ac:dyDescent="0.2">
      <c r="B645" s="10"/>
      <c r="G645" s="10"/>
    </row>
    <row r="646" spans="2:7" ht="15.75" customHeight="1" x14ac:dyDescent="0.2">
      <c r="B646" s="10"/>
      <c r="G646" s="10"/>
    </row>
    <row r="647" spans="2:7" ht="15.75" customHeight="1" x14ac:dyDescent="0.2">
      <c r="B647" s="10"/>
      <c r="G647" s="10"/>
    </row>
    <row r="648" spans="2:7" ht="15.75" customHeight="1" x14ac:dyDescent="0.2">
      <c r="B648" s="10"/>
      <c r="G648" s="10"/>
    </row>
    <row r="649" spans="2:7" ht="15.75" customHeight="1" x14ac:dyDescent="0.2">
      <c r="B649" s="10"/>
      <c r="G649" s="10"/>
    </row>
    <row r="650" spans="2:7" ht="15.75" customHeight="1" x14ac:dyDescent="0.2">
      <c r="B650" s="10"/>
      <c r="G650" s="10"/>
    </row>
    <row r="651" spans="2:7" ht="15.75" customHeight="1" x14ac:dyDescent="0.2">
      <c r="B651" s="10"/>
      <c r="G651" s="10"/>
    </row>
    <row r="652" spans="2:7" ht="15.75" customHeight="1" x14ac:dyDescent="0.2">
      <c r="B652" s="10"/>
      <c r="G652" s="10"/>
    </row>
    <row r="653" spans="2:7" ht="15.75" customHeight="1" x14ac:dyDescent="0.2">
      <c r="B653" s="10"/>
      <c r="G653" s="10"/>
    </row>
    <row r="654" spans="2:7" ht="15.75" customHeight="1" x14ac:dyDescent="0.2">
      <c r="B654" s="10"/>
      <c r="G654" s="10"/>
    </row>
    <row r="655" spans="2:7" ht="15.75" customHeight="1" x14ac:dyDescent="0.2">
      <c r="B655" s="10"/>
      <c r="G655" s="10"/>
    </row>
    <row r="656" spans="2:7" ht="15.75" customHeight="1" x14ac:dyDescent="0.2">
      <c r="B656" s="10"/>
      <c r="G656" s="10"/>
    </row>
    <row r="657" spans="2:7" ht="15.75" customHeight="1" x14ac:dyDescent="0.2">
      <c r="B657" s="10"/>
      <c r="G657" s="10"/>
    </row>
    <row r="658" spans="2:7" ht="15.75" customHeight="1" x14ac:dyDescent="0.2">
      <c r="B658" s="10"/>
      <c r="G658" s="10"/>
    </row>
    <row r="659" spans="2:7" ht="15.75" customHeight="1" x14ac:dyDescent="0.2">
      <c r="B659" s="10"/>
      <c r="G659" s="10"/>
    </row>
    <row r="660" spans="2:7" ht="15.75" customHeight="1" x14ac:dyDescent="0.2">
      <c r="B660" s="10"/>
      <c r="G660" s="10"/>
    </row>
    <row r="661" spans="2:7" ht="15.75" customHeight="1" x14ac:dyDescent="0.2">
      <c r="B661" s="10"/>
      <c r="G661" s="10"/>
    </row>
    <row r="662" spans="2:7" ht="15.75" customHeight="1" x14ac:dyDescent="0.2">
      <c r="B662" s="10"/>
      <c r="G662" s="10"/>
    </row>
    <row r="663" spans="2:7" ht="15.75" customHeight="1" x14ac:dyDescent="0.2">
      <c r="B663" s="10"/>
      <c r="G663" s="10"/>
    </row>
    <row r="664" spans="2:7" ht="15.75" customHeight="1" x14ac:dyDescent="0.2">
      <c r="B664" s="10"/>
      <c r="G664" s="10"/>
    </row>
    <row r="665" spans="2:7" ht="15.75" customHeight="1" x14ac:dyDescent="0.2">
      <c r="B665" s="10"/>
      <c r="G665" s="10"/>
    </row>
    <row r="666" spans="2:7" ht="15.75" customHeight="1" x14ac:dyDescent="0.2">
      <c r="B666" s="10"/>
      <c r="G666" s="10"/>
    </row>
    <row r="667" spans="2:7" ht="15.75" customHeight="1" x14ac:dyDescent="0.2">
      <c r="B667" s="10"/>
      <c r="G667" s="10"/>
    </row>
    <row r="668" spans="2:7" ht="15.75" customHeight="1" x14ac:dyDescent="0.2">
      <c r="B668" s="10"/>
      <c r="G668" s="10"/>
    </row>
    <row r="669" spans="2:7" ht="15.75" customHeight="1" x14ac:dyDescent="0.2">
      <c r="B669" s="10"/>
      <c r="G669" s="10"/>
    </row>
    <row r="670" spans="2:7" ht="15.75" customHeight="1" x14ac:dyDescent="0.2">
      <c r="B670" s="10"/>
      <c r="G670" s="10"/>
    </row>
    <row r="671" spans="2:7" ht="15.75" customHeight="1" x14ac:dyDescent="0.2">
      <c r="B671" s="10"/>
      <c r="G671" s="10"/>
    </row>
    <row r="672" spans="2:7" ht="15.75" customHeight="1" x14ac:dyDescent="0.2">
      <c r="B672" s="10"/>
      <c r="G672" s="10"/>
    </row>
    <row r="673" spans="2:7" ht="15.75" customHeight="1" x14ac:dyDescent="0.2">
      <c r="B673" s="10"/>
      <c r="G673" s="10"/>
    </row>
    <row r="674" spans="2:7" ht="15.75" customHeight="1" x14ac:dyDescent="0.2">
      <c r="B674" s="10"/>
      <c r="G674" s="10"/>
    </row>
    <row r="675" spans="2:7" ht="15.75" customHeight="1" x14ac:dyDescent="0.2">
      <c r="B675" s="10"/>
      <c r="G675" s="10"/>
    </row>
    <row r="676" spans="2:7" ht="15.75" customHeight="1" x14ac:dyDescent="0.2">
      <c r="B676" s="10"/>
      <c r="G676" s="10"/>
    </row>
    <row r="677" spans="2:7" ht="15.75" customHeight="1" x14ac:dyDescent="0.2">
      <c r="B677" s="10"/>
      <c r="G677" s="10"/>
    </row>
    <row r="678" spans="2:7" ht="15.75" customHeight="1" x14ac:dyDescent="0.2">
      <c r="B678" s="10"/>
      <c r="G678" s="10"/>
    </row>
    <row r="679" spans="2:7" ht="15.75" customHeight="1" x14ac:dyDescent="0.2">
      <c r="B679" s="10"/>
      <c r="G679" s="10"/>
    </row>
    <row r="680" spans="2:7" ht="15.75" customHeight="1" x14ac:dyDescent="0.2">
      <c r="B680" s="10"/>
      <c r="G680" s="10"/>
    </row>
    <row r="681" spans="2:7" ht="15.75" customHeight="1" x14ac:dyDescent="0.2">
      <c r="B681" s="10"/>
      <c r="G681" s="10"/>
    </row>
    <row r="682" spans="2:7" ht="15.75" customHeight="1" x14ac:dyDescent="0.2">
      <c r="B682" s="10"/>
      <c r="G682" s="10"/>
    </row>
    <row r="683" spans="2:7" ht="15.75" customHeight="1" x14ac:dyDescent="0.2">
      <c r="B683" s="10"/>
      <c r="G683" s="10"/>
    </row>
    <row r="684" spans="2:7" ht="15.75" customHeight="1" x14ac:dyDescent="0.2">
      <c r="B684" s="10"/>
      <c r="G684" s="10"/>
    </row>
    <row r="685" spans="2:7" ht="15.75" customHeight="1" x14ac:dyDescent="0.2">
      <c r="B685" s="10"/>
      <c r="G685" s="10"/>
    </row>
    <row r="686" spans="2:7" ht="15.75" customHeight="1" x14ac:dyDescent="0.2">
      <c r="B686" s="10"/>
      <c r="G686" s="10"/>
    </row>
    <row r="687" spans="2:7" ht="15.75" customHeight="1" x14ac:dyDescent="0.2">
      <c r="B687" s="10"/>
      <c r="G687" s="10"/>
    </row>
    <row r="688" spans="2:7" ht="15.75" customHeight="1" x14ac:dyDescent="0.2">
      <c r="B688" s="10"/>
      <c r="G688" s="10"/>
    </row>
    <row r="689" spans="2:7" ht="15.75" customHeight="1" x14ac:dyDescent="0.2">
      <c r="B689" s="10"/>
      <c r="G689" s="10"/>
    </row>
    <row r="690" spans="2:7" ht="15.75" customHeight="1" x14ac:dyDescent="0.2">
      <c r="B690" s="10"/>
      <c r="G690" s="10"/>
    </row>
    <row r="691" spans="2:7" ht="15.75" customHeight="1" x14ac:dyDescent="0.2">
      <c r="B691" s="10"/>
      <c r="G691" s="10"/>
    </row>
    <row r="692" spans="2:7" ht="15.75" customHeight="1" x14ac:dyDescent="0.2">
      <c r="B692" s="10"/>
      <c r="G692" s="10"/>
    </row>
    <row r="693" spans="2:7" ht="15.75" customHeight="1" x14ac:dyDescent="0.2">
      <c r="B693" s="10"/>
      <c r="G693" s="10"/>
    </row>
    <row r="694" spans="2:7" ht="15.75" customHeight="1" x14ac:dyDescent="0.2">
      <c r="B694" s="10"/>
      <c r="G694" s="10"/>
    </row>
    <row r="695" spans="2:7" ht="15.75" customHeight="1" x14ac:dyDescent="0.2">
      <c r="B695" s="10"/>
      <c r="G695" s="10"/>
    </row>
    <row r="696" spans="2:7" ht="15.75" customHeight="1" x14ac:dyDescent="0.2">
      <c r="B696" s="10"/>
      <c r="G696" s="10"/>
    </row>
    <row r="697" spans="2:7" ht="15.75" customHeight="1" x14ac:dyDescent="0.2">
      <c r="B697" s="10"/>
      <c r="G697" s="10"/>
    </row>
    <row r="698" spans="2:7" ht="15.75" customHeight="1" x14ac:dyDescent="0.2">
      <c r="B698" s="10"/>
      <c r="G698" s="10"/>
    </row>
    <row r="699" spans="2:7" ht="15.75" customHeight="1" x14ac:dyDescent="0.2">
      <c r="B699" s="10"/>
      <c r="G699" s="10"/>
    </row>
    <row r="700" spans="2:7" ht="15.75" customHeight="1" x14ac:dyDescent="0.2">
      <c r="B700" s="10"/>
      <c r="G700" s="10"/>
    </row>
    <row r="701" spans="2:7" ht="15.75" customHeight="1" x14ac:dyDescent="0.2">
      <c r="B701" s="10"/>
      <c r="G701" s="10"/>
    </row>
    <row r="702" spans="2:7" ht="15.75" customHeight="1" x14ac:dyDescent="0.2">
      <c r="B702" s="10"/>
      <c r="G702" s="10"/>
    </row>
    <row r="703" spans="2:7" ht="15.75" customHeight="1" x14ac:dyDescent="0.2">
      <c r="B703" s="10"/>
      <c r="G703" s="10"/>
    </row>
    <row r="704" spans="2:7" ht="15.75" customHeight="1" x14ac:dyDescent="0.2">
      <c r="B704" s="10"/>
      <c r="G704" s="10"/>
    </row>
    <row r="705" spans="2:7" ht="15.75" customHeight="1" x14ac:dyDescent="0.2">
      <c r="B705" s="10"/>
      <c r="G705" s="10"/>
    </row>
    <row r="706" spans="2:7" ht="15.75" customHeight="1" x14ac:dyDescent="0.2">
      <c r="B706" s="10"/>
      <c r="G706" s="10"/>
    </row>
    <row r="707" spans="2:7" ht="15.75" customHeight="1" x14ac:dyDescent="0.2">
      <c r="B707" s="10"/>
      <c r="G707" s="10"/>
    </row>
    <row r="708" spans="2:7" ht="15.75" customHeight="1" x14ac:dyDescent="0.2">
      <c r="B708" s="10"/>
      <c r="G708" s="10"/>
    </row>
    <row r="709" spans="2:7" ht="15.75" customHeight="1" x14ac:dyDescent="0.2">
      <c r="B709" s="10"/>
      <c r="G709" s="10"/>
    </row>
    <row r="710" spans="2:7" ht="15.75" customHeight="1" x14ac:dyDescent="0.2">
      <c r="B710" s="10"/>
      <c r="G710" s="10"/>
    </row>
    <row r="711" spans="2:7" ht="15.75" customHeight="1" x14ac:dyDescent="0.2">
      <c r="B711" s="10"/>
      <c r="G711" s="10"/>
    </row>
    <row r="712" spans="2:7" ht="15.75" customHeight="1" x14ac:dyDescent="0.2">
      <c r="B712" s="10"/>
      <c r="G712" s="10"/>
    </row>
    <row r="713" spans="2:7" ht="15.75" customHeight="1" x14ac:dyDescent="0.2">
      <c r="B713" s="10"/>
      <c r="G713" s="10"/>
    </row>
    <row r="714" spans="2:7" ht="15.75" customHeight="1" x14ac:dyDescent="0.2">
      <c r="B714" s="10"/>
      <c r="G714" s="10"/>
    </row>
    <row r="715" spans="2:7" ht="15.75" customHeight="1" x14ac:dyDescent="0.2">
      <c r="B715" s="10"/>
      <c r="G715" s="10"/>
    </row>
    <row r="716" spans="2:7" ht="15.75" customHeight="1" x14ac:dyDescent="0.2">
      <c r="B716" s="10"/>
      <c r="G716" s="10"/>
    </row>
    <row r="717" spans="2:7" ht="15.75" customHeight="1" x14ac:dyDescent="0.2">
      <c r="B717" s="10"/>
      <c r="G717" s="10"/>
    </row>
    <row r="718" spans="2:7" ht="15.75" customHeight="1" x14ac:dyDescent="0.2">
      <c r="B718" s="10"/>
      <c r="G718" s="10"/>
    </row>
    <row r="719" spans="2:7" ht="15.75" customHeight="1" x14ac:dyDescent="0.2">
      <c r="B719" s="10"/>
      <c r="G719" s="10"/>
    </row>
    <row r="720" spans="2:7" ht="15.75" customHeight="1" x14ac:dyDescent="0.2">
      <c r="B720" s="10"/>
      <c r="G720" s="10"/>
    </row>
    <row r="721" spans="2:7" ht="15.75" customHeight="1" x14ac:dyDescent="0.2">
      <c r="B721" s="10"/>
      <c r="G721" s="10"/>
    </row>
    <row r="722" spans="2:7" ht="15.75" customHeight="1" x14ac:dyDescent="0.2">
      <c r="B722" s="10"/>
      <c r="G722" s="10"/>
    </row>
    <row r="723" spans="2:7" ht="15.75" customHeight="1" x14ac:dyDescent="0.2">
      <c r="B723" s="10"/>
      <c r="G723" s="10"/>
    </row>
    <row r="724" spans="2:7" ht="15.75" customHeight="1" x14ac:dyDescent="0.2">
      <c r="B724" s="10"/>
      <c r="G724" s="10"/>
    </row>
    <row r="725" spans="2:7" ht="15.75" customHeight="1" x14ac:dyDescent="0.2">
      <c r="B725" s="10"/>
      <c r="G725" s="10"/>
    </row>
    <row r="726" spans="2:7" ht="15.75" customHeight="1" x14ac:dyDescent="0.2">
      <c r="B726" s="10"/>
      <c r="G726" s="10"/>
    </row>
    <row r="727" spans="2:7" ht="15.75" customHeight="1" x14ac:dyDescent="0.2">
      <c r="B727" s="10"/>
      <c r="G727" s="10"/>
    </row>
    <row r="728" spans="2:7" ht="15.75" customHeight="1" x14ac:dyDescent="0.2">
      <c r="B728" s="10"/>
      <c r="G728" s="10"/>
    </row>
    <row r="729" spans="2:7" ht="15.75" customHeight="1" x14ac:dyDescent="0.2">
      <c r="B729" s="10"/>
      <c r="G729" s="10"/>
    </row>
    <row r="730" spans="2:7" ht="15.75" customHeight="1" x14ac:dyDescent="0.2">
      <c r="B730" s="10"/>
      <c r="G730" s="10"/>
    </row>
    <row r="731" spans="2:7" ht="15.75" customHeight="1" x14ac:dyDescent="0.2">
      <c r="B731" s="10"/>
      <c r="G731" s="10"/>
    </row>
    <row r="732" spans="2:7" ht="15.75" customHeight="1" x14ac:dyDescent="0.2">
      <c r="B732" s="10"/>
      <c r="G732" s="10"/>
    </row>
    <row r="733" spans="2:7" ht="15.75" customHeight="1" x14ac:dyDescent="0.2">
      <c r="B733" s="10"/>
      <c r="G733" s="10"/>
    </row>
    <row r="734" spans="2:7" ht="15.75" customHeight="1" x14ac:dyDescent="0.2">
      <c r="B734" s="10"/>
      <c r="G734" s="10"/>
    </row>
    <row r="735" spans="2:7" ht="15.75" customHeight="1" x14ac:dyDescent="0.2">
      <c r="B735" s="10"/>
      <c r="G735" s="10"/>
    </row>
    <row r="736" spans="2:7" ht="15.75" customHeight="1" x14ac:dyDescent="0.2">
      <c r="B736" s="10"/>
      <c r="G736" s="10"/>
    </row>
    <row r="737" spans="2:7" ht="15.75" customHeight="1" x14ac:dyDescent="0.2">
      <c r="B737" s="10"/>
      <c r="G737" s="10"/>
    </row>
    <row r="738" spans="2:7" ht="15.75" customHeight="1" x14ac:dyDescent="0.2">
      <c r="B738" s="10"/>
      <c r="G738" s="10"/>
    </row>
    <row r="739" spans="2:7" ht="15.75" customHeight="1" x14ac:dyDescent="0.2">
      <c r="B739" s="10"/>
      <c r="G739" s="10"/>
    </row>
    <row r="740" spans="2:7" ht="15.75" customHeight="1" x14ac:dyDescent="0.2">
      <c r="B740" s="10"/>
      <c r="G740" s="10"/>
    </row>
    <row r="741" spans="2:7" ht="15.75" customHeight="1" x14ac:dyDescent="0.2">
      <c r="B741" s="10"/>
      <c r="G741" s="10"/>
    </row>
    <row r="742" spans="2:7" ht="15.75" customHeight="1" x14ac:dyDescent="0.2">
      <c r="B742" s="10"/>
      <c r="G742" s="10"/>
    </row>
    <row r="743" spans="2:7" ht="15.75" customHeight="1" x14ac:dyDescent="0.2">
      <c r="B743" s="10"/>
      <c r="G743" s="10"/>
    </row>
    <row r="744" spans="2:7" ht="15.75" customHeight="1" x14ac:dyDescent="0.2">
      <c r="B744" s="10"/>
      <c r="G744" s="10"/>
    </row>
    <row r="745" spans="2:7" ht="15.75" customHeight="1" x14ac:dyDescent="0.2">
      <c r="B745" s="10"/>
      <c r="G745" s="10"/>
    </row>
    <row r="746" spans="2:7" ht="15.75" customHeight="1" x14ac:dyDescent="0.2">
      <c r="B746" s="10"/>
      <c r="G746" s="10"/>
    </row>
    <row r="747" spans="2:7" ht="15.75" customHeight="1" x14ac:dyDescent="0.2">
      <c r="B747" s="10"/>
      <c r="G747" s="10"/>
    </row>
    <row r="748" spans="2:7" ht="15.75" customHeight="1" x14ac:dyDescent="0.2">
      <c r="B748" s="10"/>
      <c r="G748" s="10"/>
    </row>
    <row r="749" spans="2:7" ht="15.75" customHeight="1" x14ac:dyDescent="0.2">
      <c r="B749" s="10"/>
      <c r="G749" s="10"/>
    </row>
    <row r="750" spans="2:7" ht="15.75" customHeight="1" x14ac:dyDescent="0.2">
      <c r="B750" s="10"/>
      <c r="G750" s="10"/>
    </row>
    <row r="751" spans="2:7" ht="15.75" customHeight="1" x14ac:dyDescent="0.2">
      <c r="B751" s="10"/>
      <c r="G751" s="10"/>
    </row>
    <row r="752" spans="2:7" ht="15.75" customHeight="1" x14ac:dyDescent="0.2">
      <c r="B752" s="10"/>
      <c r="G752" s="10"/>
    </row>
    <row r="753" spans="2:7" ht="15.75" customHeight="1" x14ac:dyDescent="0.2">
      <c r="B753" s="10"/>
      <c r="G753" s="10"/>
    </row>
    <row r="754" spans="2:7" ht="15.75" customHeight="1" x14ac:dyDescent="0.2">
      <c r="B754" s="10"/>
      <c r="G754" s="10"/>
    </row>
    <row r="755" spans="2:7" ht="15.75" customHeight="1" x14ac:dyDescent="0.2">
      <c r="B755" s="10"/>
      <c r="G755" s="10"/>
    </row>
    <row r="756" spans="2:7" ht="15.75" customHeight="1" x14ac:dyDescent="0.2">
      <c r="B756" s="10"/>
      <c r="G756" s="10"/>
    </row>
    <row r="757" spans="2:7" ht="15.75" customHeight="1" x14ac:dyDescent="0.2">
      <c r="B757" s="10"/>
      <c r="G757" s="10"/>
    </row>
    <row r="758" spans="2:7" ht="15.75" customHeight="1" x14ac:dyDescent="0.2">
      <c r="B758" s="10"/>
      <c r="G758" s="10"/>
    </row>
    <row r="759" spans="2:7" ht="15.75" customHeight="1" x14ac:dyDescent="0.2">
      <c r="B759" s="10"/>
      <c r="G759" s="10"/>
    </row>
    <row r="760" spans="2:7" ht="15.75" customHeight="1" x14ac:dyDescent="0.2">
      <c r="B760" s="10"/>
      <c r="G760" s="10"/>
    </row>
    <row r="761" spans="2:7" ht="15.75" customHeight="1" x14ac:dyDescent="0.2">
      <c r="B761" s="10"/>
      <c r="G761" s="10"/>
    </row>
    <row r="762" spans="2:7" ht="15.75" customHeight="1" x14ac:dyDescent="0.2">
      <c r="B762" s="10"/>
      <c r="G762" s="10"/>
    </row>
    <row r="763" spans="2:7" ht="15.75" customHeight="1" x14ac:dyDescent="0.2">
      <c r="B763" s="10"/>
      <c r="G763" s="10"/>
    </row>
    <row r="764" spans="2:7" ht="15.75" customHeight="1" x14ac:dyDescent="0.2">
      <c r="B764" s="10"/>
      <c r="G764" s="10"/>
    </row>
    <row r="765" spans="2:7" ht="15.75" customHeight="1" x14ac:dyDescent="0.2">
      <c r="B765" s="10"/>
      <c r="G765" s="10"/>
    </row>
    <row r="766" spans="2:7" ht="15.75" customHeight="1" x14ac:dyDescent="0.2">
      <c r="B766" s="10"/>
      <c r="G766" s="10"/>
    </row>
    <row r="767" spans="2:7" ht="15.75" customHeight="1" x14ac:dyDescent="0.2">
      <c r="B767" s="10"/>
      <c r="G767" s="10"/>
    </row>
    <row r="768" spans="2:7" ht="15.75" customHeight="1" x14ac:dyDescent="0.2">
      <c r="B768" s="10"/>
      <c r="G768" s="10"/>
    </row>
    <row r="769" spans="2:7" ht="15.75" customHeight="1" x14ac:dyDescent="0.2">
      <c r="B769" s="10"/>
      <c r="G769" s="10"/>
    </row>
    <row r="770" spans="2:7" ht="15.75" customHeight="1" x14ac:dyDescent="0.2">
      <c r="B770" s="10"/>
      <c r="G770" s="10"/>
    </row>
    <row r="771" spans="2:7" ht="15.75" customHeight="1" x14ac:dyDescent="0.2">
      <c r="B771" s="10"/>
      <c r="G771" s="10"/>
    </row>
    <row r="772" spans="2:7" ht="15.75" customHeight="1" x14ac:dyDescent="0.2">
      <c r="B772" s="10"/>
      <c r="G772" s="10"/>
    </row>
    <row r="773" spans="2:7" ht="15.75" customHeight="1" x14ac:dyDescent="0.2">
      <c r="B773" s="10"/>
      <c r="G773" s="10"/>
    </row>
    <row r="774" spans="2:7" ht="15.75" customHeight="1" x14ac:dyDescent="0.2">
      <c r="B774" s="10"/>
      <c r="G774" s="10"/>
    </row>
    <row r="775" spans="2:7" ht="15.75" customHeight="1" x14ac:dyDescent="0.2">
      <c r="B775" s="10"/>
      <c r="G775" s="10"/>
    </row>
    <row r="776" spans="2:7" ht="15.75" customHeight="1" x14ac:dyDescent="0.2">
      <c r="B776" s="10"/>
      <c r="G776" s="10"/>
    </row>
    <row r="777" spans="2:7" ht="15.75" customHeight="1" x14ac:dyDescent="0.2">
      <c r="B777" s="10"/>
      <c r="G777" s="10"/>
    </row>
    <row r="778" spans="2:7" ht="15.75" customHeight="1" x14ac:dyDescent="0.2">
      <c r="B778" s="10"/>
      <c r="G778" s="10"/>
    </row>
    <row r="779" spans="2:7" ht="15.75" customHeight="1" x14ac:dyDescent="0.2">
      <c r="B779" s="10"/>
      <c r="G779" s="10"/>
    </row>
    <row r="780" spans="2:7" ht="15.75" customHeight="1" x14ac:dyDescent="0.2">
      <c r="B780" s="10"/>
      <c r="G780" s="10"/>
    </row>
    <row r="781" spans="2:7" ht="15.75" customHeight="1" x14ac:dyDescent="0.2">
      <c r="B781" s="10"/>
      <c r="G781" s="10"/>
    </row>
    <row r="782" spans="2:7" ht="15.75" customHeight="1" x14ac:dyDescent="0.2">
      <c r="B782" s="10"/>
      <c r="G782" s="10"/>
    </row>
    <row r="783" spans="2:7" ht="15.75" customHeight="1" x14ac:dyDescent="0.2">
      <c r="B783" s="10"/>
      <c r="G783" s="10"/>
    </row>
    <row r="784" spans="2:7" ht="15.75" customHeight="1" x14ac:dyDescent="0.2">
      <c r="B784" s="10"/>
      <c r="G784" s="10"/>
    </row>
    <row r="785" spans="2:7" ht="15.75" customHeight="1" x14ac:dyDescent="0.2">
      <c r="B785" s="10"/>
      <c r="G785" s="10"/>
    </row>
    <row r="786" spans="2:7" ht="15.75" customHeight="1" x14ac:dyDescent="0.2">
      <c r="B786" s="10"/>
      <c r="G786" s="10"/>
    </row>
    <row r="787" spans="2:7" ht="15.75" customHeight="1" x14ac:dyDescent="0.2">
      <c r="B787" s="10"/>
      <c r="G787" s="10"/>
    </row>
    <row r="788" spans="2:7" ht="15.75" customHeight="1" x14ac:dyDescent="0.2">
      <c r="B788" s="10"/>
      <c r="G788" s="10"/>
    </row>
    <row r="789" spans="2:7" ht="15.75" customHeight="1" x14ac:dyDescent="0.2">
      <c r="B789" s="10"/>
      <c r="G789" s="10"/>
    </row>
    <row r="790" spans="2:7" ht="15.75" customHeight="1" x14ac:dyDescent="0.2">
      <c r="B790" s="10"/>
      <c r="G790" s="10"/>
    </row>
    <row r="791" spans="2:7" ht="15.75" customHeight="1" x14ac:dyDescent="0.2">
      <c r="B791" s="10"/>
      <c r="G791" s="10"/>
    </row>
    <row r="792" spans="2:7" ht="15.75" customHeight="1" x14ac:dyDescent="0.2">
      <c r="B792" s="10"/>
      <c r="G792" s="10"/>
    </row>
    <row r="793" spans="2:7" ht="15.75" customHeight="1" x14ac:dyDescent="0.2">
      <c r="B793" s="10"/>
      <c r="G793" s="10"/>
    </row>
    <row r="794" spans="2:7" ht="15.75" customHeight="1" x14ac:dyDescent="0.2">
      <c r="B794" s="10"/>
      <c r="G794" s="10"/>
    </row>
    <row r="795" spans="2:7" ht="15.75" customHeight="1" x14ac:dyDescent="0.2">
      <c r="B795" s="10"/>
      <c r="G795" s="10"/>
    </row>
    <row r="796" spans="2:7" ht="15.75" customHeight="1" x14ac:dyDescent="0.2">
      <c r="B796" s="10"/>
      <c r="G796" s="10"/>
    </row>
    <row r="797" spans="2:7" ht="15.75" customHeight="1" x14ac:dyDescent="0.2">
      <c r="B797" s="10"/>
      <c r="G797" s="10"/>
    </row>
    <row r="798" spans="2:7" ht="15.75" customHeight="1" x14ac:dyDescent="0.2">
      <c r="B798" s="10"/>
      <c r="G798" s="10"/>
    </row>
    <row r="799" spans="2:7" ht="15.75" customHeight="1" x14ac:dyDescent="0.2">
      <c r="B799" s="10"/>
      <c r="G799" s="10"/>
    </row>
    <row r="800" spans="2:7" ht="15.75" customHeight="1" x14ac:dyDescent="0.2">
      <c r="B800" s="10"/>
      <c r="G800" s="10"/>
    </row>
    <row r="801" spans="2:7" ht="15.75" customHeight="1" x14ac:dyDescent="0.2">
      <c r="B801" s="10"/>
      <c r="G801" s="10"/>
    </row>
    <row r="802" spans="2:7" ht="15.75" customHeight="1" x14ac:dyDescent="0.2">
      <c r="B802" s="10"/>
      <c r="G802" s="10"/>
    </row>
    <row r="803" spans="2:7" ht="15.75" customHeight="1" x14ac:dyDescent="0.2">
      <c r="B803" s="10"/>
      <c r="G803" s="10"/>
    </row>
    <row r="804" spans="2:7" ht="15.75" customHeight="1" x14ac:dyDescent="0.2">
      <c r="B804" s="10"/>
      <c r="G804" s="10"/>
    </row>
    <row r="805" spans="2:7" ht="15.75" customHeight="1" x14ac:dyDescent="0.2">
      <c r="B805" s="10"/>
      <c r="G805" s="10"/>
    </row>
    <row r="806" spans="2:7" ht="15.75" customHeight="1" x14ac:dyDescent="0.2">
      <c r="B806" s="10"/>
      <c r="G806" s="10"/>
    </row>
    <row r="807" spans="2:7" ht="15.75" customHeight="1" x14ac:dyDescent="0.2">
      <c r="B807" s="10"/>
      <c r="G807" s="10"/>
    </row>
    <row r="808" spans="2:7" ht="15.75" customHeight="1" x14ac:dyDescent="0.2">
      <c r="B808" s="10"/>
      <c r="G808" s="10"/>
    </row>
    <row r="809" spans="2:7" ht="15.75" customHeight="1" x14ac:dyDescent="0.2">
      <c r="B809" s="10"/>
      <c r="G809" s="10"/>
    </row>
    <row r="810" spans="2:7" ht="15.75" customHeight="1" x14ac:dyDescent="0.2">
      <c r="B810" s="10"/>
      <c r="G810" s="10"/>
    </row>
    <row r="811" spans="2:7" ht="15.75" customHeight="1" x14ac:dyDescent="0.2">
      <c r="B811" s="10"/>
      <c r="G811" s="10"/>
    </row>
    <row r="812" spans="2:7" ht="15.75" customHeight="1" x14ac:dyDescent="0.2">
      <c r="B812" s="10"/>
      <c r="G812" s="10"/>
    </row>
    <row r="813" spans="2:7" ht="15.75" customHeight="1" x14ac:dyDescent="0.2">
      <c r="B813" s="10"/>
      <c r="G813" s="10"/>
    </row>
    <row r="814" spans="2:7" ht="15.75" customHeight="1" x14ac:dyDescent="0.2">
      <c r="B814" s="10"/>
      <c r="G814" s="10"/>
    </row>
    <row r="815" spans="2:7" ht="15.75" customHeight="1" x14ac:dyDescent="0.2">
      <c r="B815" s="10"/>
      <c r="G815" s="10"/>
    </row>
    <row r="816" spans="2:7" ht="15.75" customHeight="1" x14ac:dyDescent="0.2">
      <c r="B816" s="10"/>
      <c r="G816" s="10"/>
    </row>
    <row r="817" spans="2:7" ht="15.75" customHeight="1" x14ac:dyDescent="0.2">
      <c r="B817" s="10"/>
      <c r="G817" s="10"/>
    </row>
    <row r="818" spans="2:7" ht="15.75" customHeight="1" x14ac:dyDescent="0.2">
      <c r="B818" s="10"/>
      <c r="G818" s="10"/>
    </row>
    <row r="819" spans="2:7" ht="15.75" customHeight="1" x14ac:dyDescent="0.2">
      <c r="B819" s="10"/>
      <c r="G819" s="10"/>
    </row>
    <row r="820" spans="2:7" ht="15.75" customHeight="1" x14ac:dyDescent="0.2">
      <c r="B820" s="10"/>
      <c r="G820" s="10"/>
    </row>
    <row r="821" spans="2:7" ht="15.75" customHeight="1" x14ac:dyDescent="0.2">
      <c r="B821" s="10"/>
      <c r="G821" s="10"/>
    </row>
    <row r="822" spans="2:7" ht="15.75" customHeight="1" x14ac:dyDescent="0.2">
      <c r="B822" s="10"/>
      <c r="G822" s="10"/>
    </row>
    <row r="823" spans="2:7" ht="15.75" customHeight="1" x14ac:dyDescent="0.2">
      <c r="B823" s="10"/>
      <c r="G823" s="10"/>
    </row>
    <row r="824" spans="2:7" ht="15.75" customHeight="1" x14ac:dyDescent="0.2">
      <c r="B824" s="10"/>
      <c r="G824" s="10"/>
    </row>
    <row r="825" spans="2:7" ht="15.75" customHeight="1" x14ac:dyDescent="0.2">
      <c r="B825" s="10"/>
      <c r="G825" s="10"/>
    </row>
    <row r="826" spans="2:7" ht="15.75" customHeight="1" x14ac:dyDescent="0.2">
      <c r="B826" s="10"/>
      <c r="G826" s="10"/>
    </row>
    <row r="827" spans="2:7" ht="15.75" customHeight="1" x14ac:dyDescent="0.2">
      <c r="B827" s="10"/>
      <c r="G827" s="10"/>
    </row>
    <row r="828" spans="2:7" ht="15.75" customHeight="1" x14ac:dyDescent="0.2">
      <c r="B828" s="10"/>
      <c r="G828" s="10"/>
    </row>
    <row r="829" spans="2:7" ht="15.75" customHeight="1" x14ac:dyDescent="0.2">
      <c r="B829" s="10"/>
      <c r="G829" s="10"/>
    </row>
    <row r="830" spans="2:7" ht="15.75" customHeight="1" x14ac:dyDescent="0.2">
      <c r="B830" s="10"/>
      <c r="G830" s="10"/>
    </row>
    <row r="831" spans="2:7" ht="15.75" customHeight="1" x14ac:dyDescent="0.2">
      <c r="B831" s="10"/>
      <c r="G831" s="10"/>
    </row>
    <row r="832" spans="2:7" ht="15.75" customHeight="1" x14ac:dyDescent="0.2">
      <c r="B832" s="10"/>
      <c r="G832" s="10"/>
    </row>
    <row r="833" spans="2:7" ht="15.75" customHeight="1" x14ac:dyDescent="0.2">
      <c r="B833" s="10"/>
      <c r="G833" s="10"/>
    </row>
    <row r="834" spans="2:7" ht="15.75" customHeight="1" x14ac:dyDescent="0.2">
      <c r="B834" s="10"/>
      <c r="G834" s="10"/>
    </row>
    <row r="835" spans="2:7" ht="15.75" customHeight="1" x14ac:dyDescent="0.2">
      <c r="B835" s="10"/>
      <c r="G835" s="10"/>
    </row>
    <row r="836" spans="2:7" ht="15.75" customHeight="1" x14ac:dyDescent="0.2">
      <c r="B836" s="10"/>
      <c r="G836" s="10"/>
    </row>
    <row r="837" spans="2:7" ht="15.75" customHeight="1" x14ac:dyDescent="0.2">
      <c r="B837" s="10"/>
      <c r="G837" s="10"/>
    </row>
    <row r="838" spans="2:7" ht="15.75" customHeight="1" x14ac:dyDescent="0.2">
      <c r="B838" s="10"/>
      <c r="G838" s="10"/>
    </row>
    <row r="839" spans="2:7" ht="15.75" customHeight="1" x14ac:dyDescent="0.2">
      <c r="B839" s="10"/>
      <c r="G839" s="10"/>
    </row>
    <row r="840" spans="2:7" ht="15.75" customHeight="1" x14ac:dyDescent="0.2">
      <c r="B840" s="10"/>
      <c r="G840" s="10"/>
    </row>
    <row r="841" spans="2:7" ht="15.75" customHeight="1" x14ac:dyDescent="0.2">
      <c r="B841" s="10"/>
      <c r="G841" s="10"/>
    </row>
    <row r="842" spans="2:7" ht="15.75" customHeight="1" x14ac:dyDescent="0.2">
      <c r="B842" s="10"/>
      <c r="G842" s="10"/>
    </row>
    <row r="843" spans="2:7" ht="15.75" customHeight="1" x14ac:dyDescent="0.2">
      <c r="B843" s="10"/>
      <c r="G843" s="10"/>
    </row>
    <row r="844" spans="2:7" ht="15.75" customHeight="1" x14ac:dyDescent="0.2">
      <c r="B844" s="10"/>
      <c r="G844" s="10"/>
    </row>
    <row r="845" spans="2:7" ht="15.75" customHeight="1" x14ac:dyDescent="0.2">
      <c r="B845" s="10"/>
      <c r="G845" s="10"/>
    </row>
    <row r="846" spans="2:7" ht="15.75" customHeight="1" x14ac:dyDescent="0.2">
      <c r="B846" s="10"/>
      <c r="G846" s="10"/>
    </row>
    <row r="847" spans="2:7" ht="15.75" customHeight="1" x14ac:dyDescent="0.2">
      <c r="B847" s="10"/>
      <c r="G847" s="10"/>
    </row>
    <row r="848" spans="2:7" ht="15.75" customHeight="1" x14ac:dyDescent="0.2">
      <c r="B848" s="10"/>
      <c r="G848" s="10"/>
    </row>
    <row r="849" spans="2:7" ht="15.75" customHeight="1" x14ac:dyDescent="0.2">
      <c r="B849" s="10"/>
      <c r="G849" s="10"/>
    </row>
    <row r="850" spans="2:7" ht="15.75" customHeight="1" x14ac:dyDescent="0.2">
      <c r="B850" s="10"/>
      <c r="G850" s="10"/>
    </row>
    <row r="851" spans="2:7" ht="15.75" customHeight="1" x14ac:dyDescent="0.2">
      <c r="B851" s="10"/>
      <c r="G851" s="10"/>
    </row>
    <row r="852" spans="2:7" ht="15.75" customHeight="1" x14ac:dyDescent="0.2">
      <c r="B852" s="10"/>
      <c r="G852" s="10"/>
    </row>
    <row r="853" spans="2:7" ht="15.75" customHeight="1" x14ac:dyDescent="0.2">
      <c r="B853" s="10"/>
      <c r="G853" s="10"/>
    </row>
    <row r="854" spans="2:7" ht="15.75" customHeight="1" x14ac:dyDescent="0.2">
      <c r="B854" s="10"/>
      <c r="G854" s="10"/>
    </row>
    <row r="855" spans="2:7" ht="15.75" customHeight="1" x14ac:dyDescent="0.2">
      <c r="B855" s="10"/>
      <c r="G855" s="10"/>
    </row>
    <row r="856" spans="2:7" ht="15.75" customHeight="1" x14ac:dyDescent="0.2">
      <c r="B856" s="10"/>
      <c r="G856" s="10"/>
    </row>
    <row r="857" spans="2:7" ht="15.75" customHeight="1" x14ac:dyDescent="0.2">
      <c r="B857" s="10"/>
      <c r="G857" s="10"/>
    </row>
    <row r="858" spans="2:7" ht="15.75" customHeight="1" x14ac:dyDescent="0.2">
      <c r="B858" s="10"/>
      <c r="G858" s="10"/>
    </row>
    <row r="859" spans="2:7" ht="15.75" customHeight="1" x14ac:dyDescent="0.2">
      <c r="B859" s="10"/>
      <c r="G859" s="10"/>
    </row>
    <row r="860" spans="2:7" ht="15.75" customHeight="1" x14ac:dyDescent="0.2">
      <c r="B860" s="10"/>
      <c r="G860" s="10"/>
    </row>
    <row r="861" spans="2:7" ht="15.75" customHeight="1" x14ac:dyDescent="0.2">
      <c r="B861" s="10"/>
      <c r="G861" s="10"/>
    </row>
    <row r="862" spans="2:7" ht="15.75" customHeight="1" x14ac:dyDescent="0.2">
      <c r="B862" s="10"/>
      <c r="G862" s="10"/>
    </row>
    <row r="863" spans="2:7" ht="15.75" customHeight="1" x14ac:dyDescent="0.2">
      <c r="B863" s="10"/>
      <c r="G863" s="10"/>
    </row>
    <row r="864" spans="2:7" ht="15.75" customHeight="1" x14ac:dyDescent="0.2">
      <c r="B864" s="10"/>
      <c r="G864" s="10"/>
    </row>
    <row r="865" spans="2:7" ht="15.75" customHeight="1" x14ac:dyDescent="0.2">
      <c r="B865" s="10"/>
      <c r="G865" s="10"/>
    </row>
    <row r="866" spans="2:7" ht="15.75" customHeight="1" x14ac:dyDescent="0.2">
      <c r="B866" s="10"/>
      <c r="G866" s="10"/>
    </row>
    <row r="867" spans="2:7" ht="15.75" customHeight="1" x14ac:dyDescent="0.2">
      <c r="B867" s="10"/>
      <c r="G867" s="10"/>
    </row>
    <row r="868" spans="2:7" ht="15.75" customHeight="1" x14ac:dyDescent="0.2">
      <c r="B868" s="10"/>
      <c r="G868" s="10"/>
    </row>
    <row r="869" spans="2:7" ht="15.75" customHeight="1" x14ac:dyDescent="0.2">
      <c r="B869" s="10"/>
      <c r="G869" s="10"/>
    </row>
    <row r="870" spans="2:7" ht="15.75" customHeight="1" x14ac:dyDescent="0.2">
      <c r="B870" s="10"/>
      <c r="G870" s="10"/>
    </row>
    <row r="871" spans="2:7" ht="15.75" customHeight="1" x14ac:dyDescent="0.2">
      <c r="B871" s="10"/>
      <c r="G871" s="10"/>
    </row>
    <row r="872" spans="2:7" ht="15.75" customHeight="1" x14ac:dyDescent="0.2">
      <c r="B872" s="10"/>
      <c r="G872" s="10"/>
    </row>
    <row r="873" spans="2:7" ht="15.75" customHeight="1" x14ac:dyDescent="0.2">
      <c r="B873" s="10"/>
      <c r="G873" s="10"/>
    </row>
    <row r="874" spans="2:7" ht="15.75" customHeight="1" x14ac:dyDescent="0.2">
      <c r="B874" s="10"/>
      <c r="G874" s="10"/>
    </row>
    <row r="875" spans="2:7" ht="15.75" customHeight="1" x14ac:dyDescent="0.2">
      <c r="B875" s="10"/>
      <c r="G875" s="10"/>
    </row>
    <row r="876" spans="2:7" ht="15.75" customHeight="1" x14ac:dyDescent="0.2">
      <c r="B876" s="10"/>
      <c r="G876" s="10"/>
    </row>
    <row r="877" spans="2:7" ht="15.75" customHeight="1" x14ac:dyDescent="0.2">
      <c r="B877" s="10"/>
      <c r="G877" s="10"/>
    </row>
    <row r="878" spans="2:7" ht="15.75" customHeight="1" x14ac:dyDescent="0.2">
      <c r="B878" s="10"/>
      <c r="G878" s="10"/>
    </row>
    <row r="879" spans="2:7" ht="15.75" customHeight="1" x14ac:dyDescent="0.2">
      <c r="B879" s="10"/>
      <c r="G879" s="10"/>
    </row>
    <row r="880" spans="2:7" ht="15.75" customHeight="1" x14ac:dyDescent="0.2">
      <c r="B880" s="10"/>
      <c r="G880" s="10"/>
    </row>
    <row r="881" spans="2:7" ht="15.75" customHeight="1" x14ac:dyDescent="0.2">
      <c r="B881" s="10"/>
      <c r="G881" s="10"/>
    </row>
    <row r="882" spans="2:7" ht="15.75" customHeight="1" x14ac:dyDescent="0.2">
      <c r="B882" s="10"/>
      <c r="G882" s="10"/>
    </row>
    <row r="883" spans="2:7" ht="15.75" customHeight="1" x14ac:dyDescent="0.2">
      <c r="B883" s="10"/>
      <c r="G883" s="10"/>
    </row>
    <row r="884" spans="2:7" ht="15.75" customHeight="1" x14ac:dyDescent="0.2">
      <c r="B884" s="10"/>
      <c r="G884" s="10"/>
    </row>
    <row r="885" spans="2:7" ht="15.75" customHeight="1" x14ac:dyDescent="0.2">
      <c r="B885" s="10"/>
      <c r="G885" s="10"/>
    </row>
    <row r="886" spans="2:7" ht="15.75" customHeight="1" x14ac:dyDescent="0.2">
      <c r="B886" s="10"/>
      <c r="G886" s="10"/>
    </row>
    <row r="887" spans="2:7" ht="15.75" customHeight="1" x14ac:dyDescent="0.2">
      <c r="B887" s="10"/>
      <c r="G887" s="10"/>
    </row>
    <row r="888" spans="2:7" ht="15.75" customHeight="1" x14ac:dyDescent="0.2">
      <c r="B888" s="10"/>
      <c r="G888" s="10"/>
    </row>
    <row r="889" spans="2:7" ht="15.75" customHeight="1" x14ac:dyDescent="0.2">
      <c r="B889" s="10"/>
      <c r="G889" s="10"/>
    </row>
    <row r="890" spans="2:7" ht="15.75" customHeight="1" x14ac:dyDescent="0.2">
      <c r="B890" s="10"/>
      <c r="G890" s="10"/>
    </row>
    <row r="891" spans="2:7" ht="15.75" customHeight="1" x14ac:dyDescent="0.2">
      <c r="B891" s="10"/>
      <c r="G891" s="10"/>
    </row>
    <row r="892" spans="2:7" ht="15.75" customHeight="1" x14ac:dyDescent="0.2">
      <c r="B892" s="10"/>
      <c r="G892" s="10"/>
    </row>
    <row r="893" spans="2:7" ht="15.75" customHeight="1" x14ac:dyDescent="0.2">
      <c r="B893" s="10"/>
      <c r="G893" s="10"/>
    </row>
    <row r="894" spans="2:7" ht="15.75" customHeight="1" x14ac:dyDescent="0.2">
      <c r="B894" s="10"/>
      <c r="G894" s="10"/>
    </row>
    <row r="895" spans="2:7" ht="15.75" customHeight="1" x14ac:dyDescent="0.2">
      <c r="B895" s="10"/>
      <c r="G895" s="10"/>
    </row>
    <row r="896" spans="2:7" ht="15.75" customHeight="1" x14ac:dyDescent="0.2">
      <c r="B896" s="10"/>
      <c r="G896" s="10"/>
    </row>
    <row r="897" spans="2:7" ht="15.75" customHeight="1" x14ac:dyDescent="0.2">
      <c r="B897" s="10"/>
      <c r="G897" s="10"/>
    </row>
    <row r="898" spans="2:7" ht="15.75" customHeight="1" x14ac:dyDescent="0.2">
      <c r="B898" s="10"/>
      <c r="G898" s="10"/>
    </row>
    <row r="899" spans="2:7" ht="15.75" customHeight="1" x14ac:dyDescent="0.2">
      <c r="B899" s="10"/>
      <c r="G899" s="10"/>
    </row>
    <row r="900" spans="2:7" ht="15.75" customHeight="1" x14ac:dyDescent="0.2">
      <c r="B900" s="10"/>
      <c r="G900" s="10"/>
    </row>
    <row r="901" spans="2:7" ht="15.75" customHeight="1" x14ac:dyDescent="0.2">
      <c r="B901" s="10"/>
      <c r="G901" s="10"/>
    </row>
    <row r="902" spans="2:7" ht="15.75" customHeight="1" x14ac:dyDescent="0.2">
      <c r="B902" s="10"/>
      <c r="G902" s="10"/>
    </row>
    <row r="903" spans="2:7" ht="15.75" customHeight="1" x14ac:dyDescent="0.2">
      <c r="B903" s="10"/>
      <c r="G903" s="10"/>
    </row>
    <row r="904" spans="2:7" ht="15.75" customHeight="1" x14ac:dyDescent="0.2">
      <c r="B904" s="10"/>
      <c r="G904" s="10"/>
    </row>
    <row r="905" spans="2:7" ht="15.75" customHeight="1" x14ac:dyDescent="0.2">
      <c r="B905" s="10"/>
      <c r="G905" s="10"/>
    </row>
    <row r="906" spans="2:7" ht="15.75" customHeight="1" x14ac:dyDescent="0.2">
      <c r="B906" s="10"/>
      <c r="G906" s="10"/>
    </row>
    <row r="907" spans="2:7" ht="15.75" customHeight="1" x14ac:dyDescent="0.2">
      <c r="B907" s="10"/>
      <c r="G907" s="10"/>
    </row>
    <row r="908" spans="2:7" ht="15.75" customHeight="1" x14ac:dyDescent="0.2">
      <c r="B908" s="10"/>
      <c r="G908" s="10"/>
    </row>
    <row r="909" spans="2:7" ht="15.75" customHeight="1" x14ac:dyDescent="0.2">
      <c r="B909" s="10"/>
      <c r="G909" s="10"/>
    </row>
    <row r="910" spans="2:7" ht="15.75" customHeight="1" x14ac:dyDescent="0.2">
      <c r="B910" s="10"/>
      <c r="G910" s="10"/>
    </row>
    <row r="911" spans="2:7" ht="15.75" customHeight="1" x14ac:dyDescent="0.2">
      <c r="B911" s="10"/>
      <c r="G911" s="10"/>
    </row>
    <row r="912" spans="2:7" ht="15.75" customHeight="1" x14ac:dyDescent="0.2">
      <c r="B912" s="10"/>
      <c r="G912" s="10"/>
    </row>
    <row r="913" spans="2:7" ht="15.75" customHeight="1" x14ac:dyDescent="0.2">
      <c r="B913" s="10"/>
      <c r="G913" s="10"/>
    </row>
    <row r="914" spans="2:7" ht="15.75" customHeight="1" x14ac:dyDescent="0.2">
      <c r="B914" s="10"/>
      <c r="G914" s="10"/>
    </row>
    <row r="915" spans="2:7" ht="15.75" customHeight="1" x14ac:dyDescent="0.2">
      <c r="B915" s="10"/>
      <c r="G915" s="10"/>
    </row>
    <row r="916" spans="2:7" ht="15.75" customHeight="1" x14ac:dyDescent="0.2">
      <c r="B916" s="10"/>
      <c r="G916" s="10"/>
    </row>
    <row r="917" spans="2:7" ht="15.75" customHeight="1" x14ac:dyDescent="0.2">
      <c r="B917" s="10"/>
      <c r="G917" s="10"/>
    </row>
    <row r="918" spans="2:7" ht="15.75" customHeight="1" x14ac:dyDescent="0.2">
      <c r="B918" s="10"/>
      <c r="G918" s="10"/>
    </row>
    <row r="919" spans="2:7" ht="15.75" customHeight="1" x14ac:dyDescent="0.2">
      <c r="B919" s="10"/>
      <c r="G919" s="10"/>
    </row>
    <row r="920" spans="2:7" ht="15.75" customHeight="1" x14ac:dyDescent="0.2">
      <c r="B920" s="10"/>
      <c r="G920" s="10"/>
    </row>
    <row r="921" spans="2:7" ht="15.75" customHeight="1" x14ac:dyDescent="0.2">
      <c r="B921" s="10"/>
      <c r="G921" s="10"/>
    </row>
    <row r="922" spans="2:7" ht="15.75" customHeight="1" x14ac:dyDescent="0.2">
      <c r="B922" s="10"/>
      <c r="G922" s="10"/>
    </row>
    <row r="923" spans="2:7" ht="15.75" customHeight="1" x14ac:dyDescent="0.2">
      <c r="B923" s="10"/>
      <c r="G923" s="10"/>
    </row>
    <row r="924" spans="2:7" ht="15.75" customHeight="1" x14ac:dyDescent="0.2">
      <c r="B924" s="10"/>
      <c r="G924" s="10"/>
    </row>
    <row r="925" spans="2:7" ht="15.75" customHeight="1" x14ac:dyDescent="0.2">
      <c r="B925" s="10"/>
      <c r="G925" s="10"/>
    </row>
    <row r="926" spans="2:7" ht="15.75" customHeight="1" x14ac:dyDescent="0.2">
      <c r="B926" s="10"/>
      <c r="G926" s="10"/>
    </row>
    <row r="927" spans="2:7" ht="15.75" customHeight="1" x14ac:dyDescent="0.2">
      <c r="B927" s="10"/>
      <c r="G927" s="10"/>
    </row>
    <row r="928" spans="2:7" ht="15.75" customHeight="1" x14ac:dyDescent="0.2">
      <c r="B928" s="10"/>
      <c r="G928" s="10"/>
    </row>
    <row r="929" spans="2:7" ht="15.75" customHeight="1" x14ac:dyDescent="0.2">
      <c r="B929" s="10"/>
      <c r="G929" s="10"/>
    </row>
    <row r="930" spans="2:7" ht="15.75" customHeight="1" x14ac:dyDescent="0.2">
      <c r="B930" s="10"/>
      <c r="G930" s="10"/>
    </row>
    <row r="931" spans="2:7" ht="15.75" customHeight="1" x14ac:dyDescent="0.2">
      <c r="B931" s="10"/>
      <c r="G931" s="10"/>
    </row>
    <row r="932" spans="2:7" ht="15.75" customHeight="1" x14ac:dyDescent="0.2">
      <c r="B932" s="10"/>
      <c r="G932" s="10"/>
    </row>
    <row r="933" spans="2:7" ht="15.75" customHeight="1" x14ac:dyDescent="0.2">
      <c r="B933" s="10"/>
      <c r="G933" s="10"/>
    </row>
    <row r="934" spans="2:7" ht="15.75" customHeight="1" x14ac:dyDescent="0.2">
      <c r="B934" s="10"/>
      <c r="G934" s="10"/>
    </row>
    <row r="935" spans="2:7" ht="15.75" customHeight="1" x14ac:dyDescent="0.2">
      <c r="B935" s="10"/>
      <c r="G935" s="10"/>
    </row>
    <row r="936" spans="2:7" ht="15.75" customHeight="1" x14ac:dyDescent="0.2">
      <c r="B936" s="10"/>
      <c r="G936" s="10"/>
    </row>
    <row r="937" spans="2:7" ht="15.75" customHeight="1" x14ac:dyDescent="0.2">
      <c r="B937" s="10"/>
      <c r="G937" s="10"/>
    </row>
    <row r="938" spans="2:7" ht="15.75" customHeight="1" x14ac:dyDescent="0.2">
      <c r="B938" s="10"/>
      <c r="G938" s="10"/>
    </row>
    <row r="939" spans="2:7" ht="15.75" customHeight="1" x14ac:dyDescent="0.2">
      <c r="B939" s="10"/>
      <c r="G939" s="10"/>
    </row>
    <row r="940" spans="2:7" ht="15.75" customHeight="1" x14ac:dyDescent="0.2">
      <c r="B940" s="10"/>
      <c r="G940" s="10"/>
    </row>
    <row r="941" spans="2:7" ht="15.75" customHeight="1" x14ac:dyDescent="0.2">
      <c r="B941" s="10"/>
      <c r="G941" s="10"/>
    </row>
    <row r="942" spans="2:7" ht="15.75" customHeight="1" x14ac:dyDescent="0.2">
      <c r="B942" s="10"/>
      <c r="G942" s="10"/>
    </row>
    <row r="943" spans="2:7" ht="15.75" customHeight="1" x14ac:dyDescent="0.2">
      <c r="B943" s="10"/>
      <c r="G943" s="10"/>
    </row>
    <row r="944" spans="2:7" ht="15.75" customHeight="1" x14ac:dyDescent="0.2">
      <c r="B944" s="10"/>
      <c r="G944" s="10"/>
    </row>
    <row r="945" spans="2:7" ht="15.75" customHeight="1" x14ac:dyDescent="0.2">
      <c r="B945" s="10"/>
      <c r="G945" s="10"/>
    </row>
    <row r="946" spans="2:7" ht="15.75" customHeight="1" x14ac:dyDescent="0.2">
      <c r="B946" s="10"/>
      <c r="G946" s="10"/>
    </row>
    <row r="947" spans="2:7" ht="15.75" customHeight="1" x14ac:dyDescent="0.2">
      <c r="B947" s="10"/>
      <c r="G947" s="10"/>
    </row>
    <row r="948" spans="2:7" ht="15.75" customHeight="1" x14ac:dyDescent="0.2">
      <c r="B948" s="10"/>
      <c r="G948" s="10"/>
    </row>
    <row r="949" spans="2:7" ht="15.75" customHeight="1" x14ac:dyDescent="0.2">
      <c r="B949" s="10"/>
      <c r="G949" s="10"/>
    </row>
    <row r="950" spans="2:7" ht="15.75" customHeight="1" x14ac:dyDescent="0.2">
      <c r="B950" s="10"/>
      <c r="G950" s="10"/>
    </row>
    <row r="951" spans="2:7" ht="15.75" customHeight="1" x14ac:dyDescent="0.2">
      <c r="B951" s="10"/>
      <c r="G951" s="10"/>
    </row>
    <row r="952" spans="2:7" ht="15.75" customHeight="1" x14ac:dyDescent="0.2">
      <c r="B952" s="10"/>
      <c r="G952" s="10"/>
    </row>
    <row r="953" spans="2:7" ht="15.75" customHeight="1" x14ac:dyDescent="0.2">
      <c r="B953" s="10"/>
      <c r="G953" s="10"/>
    </row>
    <row r="954" spans="2:7" ht="15.75" customHeight="1" x14ac:dyDescent="0.2">
      <c r="B954" s="10"/>
      <c r="G954" s="10"/>
    </row>
    <row r="955" spans="2:7" ht="15.75" customHeight="1" x14ac:dyDescent="0.2">
      <c r="B955" s="10"/>
      <c r="G955" s="10"/>
    </row>
    <row r="956" spans="2:7" ht="15.75" customHeight="1" x14ac:dyDescent="0.2">
      <c r="B956" s="10"/>
      <c r="G956" s="10"/>
    </row>
    <row r="957" spans="2:7" ht="15.75" customHeight="1" x14ac:dyDescent="0.2">
      <c r="B957" s="10"/>
      <c r="G957" s="10"/>
    </row>
    <row r="958" spans="2:7" ht="15.75" customHeight="1" x14ac:dyDescent="0.2">
      <c r="B958" s="10"/>
      <c r="G958" s="10"/>
    </row>
    <row r="959" spans="2:7" ht="15.75" customHeight="1" x14ac:dyDescent="0.2">
      <c r="B959" s="10"/>
      <c r="G959" s="10"/>
    </row>
    <row r="960" spans="2:7" ht="15.75" customHeight="1" x14ac:dyDescent="0.2">
      <c r="B960" s="10"/>
      <c r="G960" s="10"/>
    </row>
    <row r="961" spans="2:7" ht="15.75" customHeight="1" x14ac:dyDescent="0.2">
      <c r="B961" s="10"/>
      <c r="G961" s="10"/>
    </row>
    <row r="962" spans="2:7" ht="15.75" customHeight="1" x14ac:dyDescent="0.2">
      <c r="B962" s="10"/>
      <c r="G962" s="10"/>
    </row>
    <row r="963" spans="2:7" ht="15.75" customHeight="1" x14ac:dyDescent="0.2">
      <c r="B963" s="10"/>
      <c r="G963" s="10"/>
    </row>
    <row r="964" spans="2:7" ht="15.75" customHeight="1" x14ac:dyDescent="0.2">
      <c r="B964" s="10"/>
      <c r="G964" s="10"/>
    </row>
    <row r="965" spans="2:7" ht="15.75" customHeight="1" x14ac:dyDescent="0.2">
      <c r="B965" s="10"/>
      <c r="G965" s="10"/>
    </row>
    <row r="966" spans="2:7" ht="15.75" customHeight="1" x14ac:dyDescent="0.2">
      <c r="B966" s="10"/>
      <c r="G966" s="10"/>
    </row>
    <row r="967" spans="2:7" ht="15.75" customHeight="1" x14ac:dyDescent="0.2">
      <c r="B967" s="10"/>
      <c r="G967" s="10"/>
    </row>
    <row r="968" spans="2:7" ht="15.75" customHeight="1" x14ac:dyDescent="0.2">
      <c r="B968" s="10"/>
      <c r="G968" s="10"/>
    </row>
    <row r="969" spans="2:7" ht="15.75" customHeight="1" x14ac:dyDescent="0.2">
      <c r="B969" s="10"/>
      <c r="G969" s="10"/>
    </row>
    <row r="970" spans="2:7" ht="15.75" customHeight="1" x14ac:dyDescent="0.2">
      <c r="B970" s="10"/>
      <c r="G970" s="10"/>
    </row>
    <row r="971" spans="2:7" ht="15.75" customHeight="1" x14ac:dyDescent="0.2">
      <c r="B971" s="10"/>
      <c r="G971" s="10"/>
    </row>
    <row r="972" spans="2:7" ht="15.75" customHeight="1" x14ac:dyDescent="0.2">
      <c r="B972" s="10"/>
      <c r="G972" s="10"/>
    </row>
    <row r="973" spans="2:7" ht="15.75" customHeight="1" x14ac:dyDescent="0.2">
      <c r="B973" s="10"/>
      <c r="G973" s="10"/>
    </row>
    <row r="974" spans="2:7" ht="15.75" customHeight="1" x14ac:dyDescent="0.2">
      <c r="B974" s="10"/>
      <c r="G974" s="10"/>
    </row>
    <row r="975" spans="2:7" ht="15.75" customHeight="1" x14ac:dyDescent="0.2">
      <c r="B975" s="10"/>
      <c r="G975" s="10"/>
    </row>
    <row r="976" spans="2:7" ht="15.75" customHeight="1" x14ac:dyDescent="0.2">
      <c r="B976" s="10"/>
      <c r="G976" s="10"/>
    </row>
    <row r="977" spans="2:7" ht="15.75" customHeight="1" x14ac:dyDescent="0.2">
      <c r="B977" s="10"/>
      <c r="G977" s="10"/>
    </row>
    <row r="978" spans="2:7" ht="15.75" customHeight="1" x14ac:dyDescent="0.2">
      <c r="B978" s="10"/>
      <c r="G978" s="10"/>
    </row>
    <row r="979" spans="2:7" ht="15.75" customHeight="1" x14ac:dyDescent="0.2">
      <c r="B979" s="10"/>
      <c r="G979" s="10"/>
    </row>
    <row r="980" spans="2:7" ht="15.75" customHeight="1" x14ac:dyDescent="0.2">
      <c r="B980" s="10"/>
      <c r="G980" s="10"/>
    </row>
    <row r="981" spans="2:7" ht="15.75" customHeight="1" x14ac:dyDescent="0.2">
      <c r="B981" s="10"/>
      <c r="G981" s="10"/>
    </row>
    <row r="982" spans="2:7" ht="15.75" customHeight="1" x14ac:dyDescent="0.2">
      <c r="B982" s="10"/>
      <c r="G982" s="10"/>
    </row>
    <row r="983" spans="2:7" ht="15.75" customHeight="1" x14ac:dyDescent="0.2">
      <c r="B983" s="10"/>
      <c r="G983" s="10"/>
    </row>
    <row r="984" spans="2:7" ht="15.75" customHeight="1" x14ac:dyDescent="0.2">
      <c r="B984" s="10"/>
      <c r="G984" s="10"/>
    </row>
    <row r="985" spans="2:7" ht="15.75" customHeight="1" x14ac:dyDescent="0.2">
      <c r="B985" s="10"/>
      <c r="G985" s="10"/>
    </row>
    <row r="986" spans="2:7" ht="15.75" customHeight="1" x14ac:dyDescent="0.2">
      <c r="B986" s="10"/>
      <c r="G986" s="10"/>
    </row>
    <row r="987" spans="2:7" ht="15.75" customHeight="1" x14ac:dyDescent="0.2">
      <c r="B987" s="10"/>
      <c r="G987" s="10"/>
    </row>
    <row r="988" spans="2:7" ht="15.75" customHeight="1" x14ac:dyDescent="0.2">
      <c r="B988" s="10"/>
      <c r="G988" s="10"/>
    </row>
    <row r="989" spans="2:7" ht="15.75" customHeight="1" x14ac:dyDescent="0.2">
      <c r="B989" s="10"/>
      <c r="G989" s="10"/>
    </row>
    <row r="990" spans="2:7" ht="15.75" customHeight="1" x14ac:dyDescent="0.2">
      <c r="B990" s="10"/>
      <c r="G990" s="10"/>
    </row>
    <row r="991" spans="2:7" ht="15.75" customHeight="1" x14ac:dyDescent="0.2">
      <c r="B991" s="10"/>
      <c r="G991" s="10"/>
    </row>
    <row r="992" spans="2:7" ht="15.75" customHeight="1" x14ac:dyDescent="0.2">
      <c r="B992" s="10"/>
      <c r="G992" s="10"/>
    </row>
    <row r="993" spans="2:7" ht="15.75" customHeight="1" x14ac:dyDescent="0.2">
      <c r="B993" s="10"/>
      <c r="G993" s="10"/>
    </row>
    <row r="994" spans="2:7" ht="15.75" customHeight="1" x14ac:dyDescent="0.2">
      <c r="B994" s="10"/>
      <c r="G994" s="10"/>
    </row>
    <row r="995" spans="2:7" ht="15.75" customHeight="1" x14ac:dyDescent="0.2">
      <c r="B995" s="10"/>
      <c r="G995" s="10"/>
    </row>
    <row r="996" spans="2:7" ht="15.75" customHeight="1" x14ac:dyDescent="0.2">
      <c r="B996" s="10"/>
      <c r="G996" s="10"/>
    </row>
    <row r="997" spans="2:7" ht="15.75" customHeight="1" x14ac:dyDescent="0.2">
      <c r="B997" s="10"/>
      <c r="G997" s="10"/>
    </row>
    <row r="998" spans="2:7" ht="15.75" customHeight="1" x14ac:dyDescent="0.2">
      <c r="B998" s="10"/>
      <c r="G998" s="10"/>
    </row>
    <row r="999" spans="2:7" ht="15.75" customHeight="1" x14ac:dyDescent="0.2">
      <c r="B999" s="10"/>
      <c r="G999" s="10"/>
    </row>
    <row r="1000" spans="2:7" ht="15.75" customHeight="1" x14ac:dyDescent="0.2">
      <c r="B1000" s="10"/>
      <c r="G1000" s="10"/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2022-07-14T13:06:45Z</dcterms:modified>
</cp:coreProperties>
</file>