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F031F5B1-F16B-4048-90F1-D92D3D8AFDBC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K37" i="2"/>
  <c r="K18" i="2"/>
  <c r="J37" i="2"/>
  <c r="J18" i="2"/>
  <c r="G20" i="2"/>
  <c r="D2" i="2" s="1"/>
  <c r="G1" i="2"/>
  <c r="B2" i="2" s="1"/>
  <c r="C19" i="1" l="1"/>
  <c r="H17" i="2" s="1"/>
  <c r="A17" i="1"/>
  <c r="F15" i="2" s="1"/>
  <c r="G35" i="2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F35" i="2"/>
  <c r="B33" i="1"/>
  <c r="G32" i="2" s="1"/>
  <c r="C30" i="1"/>
  <c r="H29" i="2" s="1"/>
  <c r="A28" i="1"/>
  <c r="F27" i="2" s="1"/>
  <c r="B25" i="1"/>
  <c r="G24" i="2" s="1"/>
  <c r="G34" i="2"/>
  <c r="B27" i="1"/>
  <c r="G26" i="2" s="1"/>
  <c r="F34" i="2"/>
  <c r="C23" i="1"/>
  <c r="H22" i="2" s="1"/>
  <c r="B29" i="1"/>
  <c r="G28" i="2" s="1"/>
  <c r="G33" i="2"/>
  <c r="A24" i="1"/>
  <c r="F23" i="2" s="1"/>
  <c r="A19" i="1"/>
  <c r="F17" i="2" s="1"/>
  <c r="B16" i="1"/>
  <c r="G14" i="2" s="1"/>
  <c r="H34" i="2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H35" i="2"/>
  <c r="F33" i="2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H13" i="2"/>
  <c r="A13" i="1"/>
  <c r="F11" i="2" s="1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H11" i="2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<sst xmlns="http://schemas.openxmlformats.org/spreadsheetml/2006/main" count="321" uniqueCount="203">
  <si>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</si>
  <si>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</si>
  <si>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</si>
  <si>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</si>
  <si>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</si>
  <si>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</si>
  <si>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</si>
  <si>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</si>
  <si>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</si>
  <si>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</si>
  <si>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</si>
  <si>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</si>
  <si>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</si>
  <si>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</si>
  <si>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</si>
  <si>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</si>
  <si>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</si>
  <si>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</si>
  <si>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</si>
  <si>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</si>
  <si>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</si>
  <si>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</si>
  <si>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</si>
  <si>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</si>
  <si>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</si>
  <si>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</si>
  <si>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</si>
  <si>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</si>
  <si>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</si>
  <si>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</si>
  <si>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</si>
  <si>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</si>
  <si>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</si>
  <si>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</si>
  <si>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</si>
  <si>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</si>
  <si>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</si>
  <si>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</si>
  <si>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</si>
  <si>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</si>
  <si>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</si>
  <si>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</si>
  <si>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</si>
  <si>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</si>
  <si>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</si>
  <si>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</si>
  <si>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</si>
  <si>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</si>
  <si>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</si>
  <si>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</si>
  <si>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</si>
  <si>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</si>
  <si>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</si>
  <si>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</si>
  <si>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</si>
  <si>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</si>
  <si>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</si>
  <si>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</si>
  <si>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</si>
  <si>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</si>
  <si>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</si>
  <si>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</si>
  <si>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</si>
  <si>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</si>
  <si>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</si>
  <si>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</si>
  <si>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</si>
  <si>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</si>
  <si>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</si>
  <si>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</si>
  <si>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</si>
  <si>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</si>
  <si>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</si>
  <si>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</si>
  <si>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</si>
  <si>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</si>
  <si>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</si>
  <si>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</si>
  <si>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</si>
  <si>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</si>
  <si>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</si>
  <si>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</si>
  <si>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</si>
  <si>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</si>
  <si>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</si>
  <si>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</si>
  <si>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</si>
  <si>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</si>
  <si>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</si>
  <si>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</si>
  <si>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</si>
  <si>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</si>
  <si>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</si>
  <si>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</si>
  <si>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</si>
  <si>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</si>
  <si>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</si>
  <si>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</si>
  <si>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</si>
  <si>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</si>
  <si>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</si>
  <si>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</si>
  <si>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</si>
  <si>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</si>
  <si>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</si>
  <si>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</si>
  <si>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</si>
  <si>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</si>
  <si>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</si>
  <si>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</si>
  <si>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</si>
  <si>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</si>
  <si>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</si>
  <si>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</si>
  <si>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</si>
  <si>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</si>
  <si>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</si>
  <si>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</si>
  <si>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</si>
  <si>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</si>
  <si>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</si>
  <si>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</si>
  <si>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</si>
  <si>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</si>
  <si>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</si>
  <si>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</si>
  <si>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</si>
  <si>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</si>
  <si>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</si>
  <si>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</si>
  <si>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</si>
  <si>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</si>
  <si>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</si>
  <si>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</si>
  <si>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</si>
  <si>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</si>
  <si>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</si>
  <si>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</si>
  <si>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</si>
  <si>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</si>
  <si>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</si>
  <si>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</si>
  <si>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</si>
  <si>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</si>
  <si>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</si>
  <si>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</si>
  <si>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</si>
  <si>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</si>
  <si>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</si>
  <si>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</si>
  <si>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</si>
  <si>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</si>
  <si>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</si>
  <si>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</si>
  <si>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</si>
  <si>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</si>
  <si>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</si>
  <si>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</si>
  <si>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</si>
  <si>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</si>
  <si>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</si>
  <si>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</si>
  <si>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</si>
  <si>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</si>
  <si>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</si>
  <si>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</si>
  <si>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</si>
  <si>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</si>
  <si>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</si>
  <si>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</si>
  <si>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</si>
  <si>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</si>
  <si>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</si>
  <si>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</si>
  <si>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</si>
  <si>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</si>
  <si>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</si>
  <si>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</si>
  <si>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</si>
  <si>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</si>
  <si>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</si>
  <si>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</si>
  <si>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</si>
  <si>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</si>
  <si>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</si>
  <si>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</si>
  <si>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</si>
  <si>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</si>
  <si>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</si>
  <si>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</si>
  <si>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</si>
  <si>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</si>
  <si>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</si>
  <si>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</si>
  <si>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</si>
  <si>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</si>
  <si>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</si>
  <si>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</si>
  <si>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</si>
  <si>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Joyce</t>
  </si>
  <si>
    <t>Will</t>
  </si>
  <si>
    <t>Puka</t>
  </si>
  <si>
    <t>Nacua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</si>
</sst>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E2EFD9"/>
        <bgColor rgb="FFE2EF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5" fillId="4" borderId="0" xfId="0" applyFont="1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L4" sqref="L4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Erickson</v>
      </c>
    </row>
    <row r="2" spans="2:12" x14ac:dyDescent="0.2">
      <c r="B2" t="str">
        <f>G1</f>
        <v>Team Erickson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93</v>
      </c>
      <c r="C3" s="3" t="s">
        <v>13</v>
      </c>
      <c r="D3" s="4">
        <f>I37</f>
        <v>95</v>
      </c>
      <c r="F3" t="str">
        <f>'Stats G1'!A5</f>
        <v>Taylor</v>
      </c>
      <c r="G3" t="str">
        <f>'Stats G1'!B5</f>
        <v>Miller</v>
      </c>
      <c r="H3">
        <f>'Stats G1'!C5</f>
        <v>20</v>
      </c>
      <c r="I3">
        <f>'Stats G1'!H5*2+'Stats G1'!N5*3+'Stats G1'!T5</f>
        <v>14</v>
      </c>
      <c r="J3" t="str">
        <f>SUM('Stats G1'!H5+'Stats G1'!N5)&amp;"-"&amp;SUM('Stats G1'!E5+'Stats G1'!K5)</f>
        <v>5-18</v>
      </c>
      <c r="K3" t="str">
        <f>SUM('Stats G1'!N5)&amp;"-"&amp;SUM('Stats G1'!K5)</f>
        <v>4-9</v>
      </c>
      <c r="L3" t="str">
        <f>SUM('Stats G1'!T5)&amp;"-"&amp;SUM('Stats G1'!Q5)</f>
        <v>0-0</v>
      </c>
    </row>
    <row r="4" spans="2:12" x14ac:dyDescent="0.2">
      <c r="F4" t="str">
        <f>'Stats G1'!A6</f>
        <v>Alrek</v>
      </c>
      <c r="G4" t="str">
        <f>'Stats G1'!B6</f>
        <v>Greenhalgh</v>
      </c>
      <c r="H4">
        <f>'Stats G1'!C6</f>
        <v>3</v>
      </c>
      <c r="I4">
        <f>'Stats G1'!H6*2+'Stats G1'!N6*3+'Stats G1'!T6</f>
        <v>26</v>
      </c>
      <c r="J4" t="str">
        <f>SUM('Stats G1'!H6+'Stats G1'!N6)&amp;"-"&amp;SUM('Stats G1'!E6+'Stats G1'!K6)</f>
        <v>11-18</v>
      </c>
      <c r="K4" t="str">
        <f>SUM('Stats G1'!N6)&amp;"-"&amp;SUM('Stats G1'!K6)</f>
        <v>3-7</v>
      </c>
      <c r="L4" t="str">
        <f>SUM('Stats G1'!T6)&amp;"-"&amp;SUM('Stats G1'!Q6)</f>
        <v>1-2</v>
      </c>
    </row>
    <row r="5" spans="2:12" x14ac:dyDescent="0.2">
      <c r="F5" t="str">
        <f>'Stats G1'!A7</f>
        <v>Gideon</v>
      </c>
      <c r="G5" t="str">
        <f>'Stats G1'!B7</f>
        <v>George</v>
      </c>
      <c r="H5">
        <f>'Stats G1'!C7</f>
        <v>5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Brock</v>
      </c>
      <c r="G6" t="str">
        <f>'Stats G1'!B8</f>
        <v>Anderson</v>
      </c>
      <c r="H6">
        <f>'Stats G1'!C8</f>
        <v>30</v>
      </c>
      <c r="I6">
        <f>'Stats G1'!H8*2+'Stats G1'!N8*3+'Stats G1'!T8</f>
        <v>2</v>
      </c>
      <c r="J6" t="str">
        <f>SUM('Stats G1'!H8+'Stats G1'!N8)&amp;"-"&amp;SUM('Stats G1'!E8+'Stats G1'!K8)</f>
        <v>1-6</v>
      </c>
      <c r="K6" t="str">
        <f>SUM('Stats G1'!N8)&amp;"-"&amp;SUM('Stats G1'!K8)</f>
        <v>0-2</v>
      </c>
      <c r="L6" t="str">
        <f>SUM('Stats G1'!T8)&amp;"-"&amp;SUM('Stats G1'!Q8)</f>
        <v>0-0</v>
      </c>
    </row>
    <row r="7" spans="2:12" x14ac:dyDescent="0.2">
      <c r="F7" t="str">
        <f>'Stats G1'!A9</f>
        <v>Dalton</v>
      </c>
      <c r="G7" t="str">
        <f>'Stats G1'!B9</f>
        <v>Nixon</v>
      </c>
      <c r="H7">
        <f>'Stats G1'!C9</f>
        <v>4</v>
      </c>
      <c r="I7">
        <f>'Stats G1'!H9*2+'Stats G1'!N9*3+'Stats G1'!T9</f>
        <v>12</v>
      </c>
      <c r="J7" t="str">
        <f>SUM('Stats G1'!H9+'Stats G1'!N9)&amp;"-"&amp;SUM('Stats G1'!E9+'Stats G1'!K9)</f>
        <v>5-13</v>
      </c>
      <c r="K7" t="str">
        <f>SUM('Stats G1'!N9)&amp;"-"&amp;SUM('Stats G1'!K9)</f>
        <v>2-7</v>
      </c>
      <c r="L7" t="str">
        <f>SUM('Stats G1'!T9)&amp;"-"&amp;SUM('Stats G1'!Q9)</f>
        <v>0-0</v>
      </c>
    </row>
    <row r="8" spans="2:12" x14ac:dyDescent="0.2">
      <c r="F8" t="str">
        <f>'Stats G1'!A10</f>
        <v>Taylor</v>
      </c>
      <c r="G8" t="str">
        <f>'Stats G1'!B10</f>
        <v>Funk</v>
      </c>
      <c r="H8">
        <f>'Stats G1'!C10</f>
        <v>13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Hunter</v>
      </c>
      <c r="G9" t="str">
        <f>'Stats G1'!B11</f>
        <v>Erickson</v>
      </c>
      <c r="H9">
        <f>'Stats G1'!C11</f>
        <v>0</v>
      </c>
      <c r="I9">
        <f>'Stats G1'!H11*2+'Stats G1'!N11*3+'Stats G1'!T11</f>
        <v>16</v>
      </c>
      <c r="J9" t="str">
        <f>SUM('Stats G1'!H11+'Stats G1'!N11)&amp;"-"&amp;SUM('Stats G1'!E11+'Stats G1'!K11)</f>
        <v>7-16</v>
      </c>
      <c r="K9" t="str">
        <f>SUM('Stats G1'!N11)&amp;"-"&amp;SUM('Stats G1'!K11)</f>
        <v>1-5</v>
      </c>
      <c r="L9" t="str">
        <f>SUM('Stats G1'!T11)&amp;"-"&amp;SUM('Stats G1'!Q11)</f>
        <v>1-3</v>
      </c>
    </row>
    <row r="10" spans="2:12" x14ac:dyDescent="0.2">
      <c r="F10" t="str">
        <f>'Stats G1'!A12</f>
        <v>Dayon</v>
      </c>
      <c r="G10" t="str">
        <f>'Stats G1'!B12</f>
        <v>Goodman</v>
      </c>
      <c r="H10">
        <f>'Stats G1'!C12</f>
        <v>35</v>
      </c>
      <c r="I10">
        <f>'Stats G1'!H12*2+'Stats G1'!N12*3+'Stats G1'!T12</f>
        <v>17</v>
      </c>
      <c r="J10" t="str">
        <f>SUM('Stats G1'!H12+'Stats G1'!N12)&amp;"-"&amp;SUM('Stats G1'!E12+'Stats G1'!K12)</f>
        <v>5-8</v>
      </c>
      <c r="K10" t="str">
        <f>SUM('Stats G1'!N12)&amp;"-"&amp;SUM('Stats G1'!K12)</f>
        <v>3-5</v>
      </c>
      <c r="L10" t="str">
        <f>SUM('Stats G1'!T12)&amp;"-"&amp;SUM('Stats G1'!Q12)</f>
        <v>4-4</v>
      </c>
    </row>
    <row r="11" spans="2:12" x14ac:dyDescent="0.2">
      <c r="F11" t="str">
        <f>'Stats G1'!A13</f>
        <v>?</v>
      </c>
      <c r="G11" t="str">
        <f>'Stats G1'!B13</f>
        <v>?</v>
      </c>
      <c r="H11">
        <f>'Stats G1'!C13</f>
        <v>10</v>
      </c>
      <c r="I11">
        <f>'Stats G1'!H13*2+'Stats G1'!N13*3+'Stats G1'!T13</f>
        <v>3</v>
      </c>
      <c r="J11" t="str">
        <f>SUM('Stats G1'!H13+'Stats G1'!N13)&amp;"-"&amp;SUM('Stats G1'!E13+'Stats G1'!K13)</f>
        <v>1-7</v>
      </c>
      <c r="K11" t="str">
        <f>SUM('Stats G1'!N13)&amp;"-"&amp;SUM('Stats G1'!K13)</f>
        <v>1-4</v>
      </c>
      <c r="L11" t="str">
        <f>SUM('Stats G1'!T13)&amp;"-"&amp;SUM('Stats G1'!Q13)</f>
        <v>0-0</v>
      </c>
    </row>
    <row r="12" spans="2:12" x14ac:dyDescent="0.2">
      <c r="F12" t="str">
        <f>'Stats G1'!A14</f>
        <v>?</v>
      </c>
      <c r="G12" t="str">
        <f>'Stats G1'!B14</f>
        <v>?</v>
      </c>
      <c r="H12">
        <f>'Stats G1'!C14</f>
        <v>45</v>
      </c>
      <c r="I12">
        <f>'Stats G1'!H14*2+'Stats G1'!N14*3+'Stats G1'!T14</f>
        <v>0</v>
      </c>
      <c r="J12" t="str">
        <f>SUM('Stats G1'!H14+'Stats G1'!N14)&amp;"-"&amp;SUM('Stats G1'!E14+'Stats G1'!K14)</f>
        <v>0-2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Puka</v>
      </c>
      <c r="G13" t="str">
        <f>'Stats G1'!B15</f>
        <v>Nacua</v>
      </c>
      <c r="H13">
        <f>'Stats G1'!C15</f>
        <v>1</v>
      </c>
      <c r="I13">
        <f>'Stats G1'!H15*2+'Stats G1'!N15*3+'Stats G1'!T15</f>
        <v>3</v>
      </c>
      <c r="J13" t="str">
        <f>SUM('Stats G1'!H15+'Stats G1'!N15)&amp;"-"&amp;SUM('Stats G1'!E15+'Stats G1'!K15)</f>
        <v>1-2</v>
      </c>
      <c r="K13" t="str">
        <f>SUM('Stats G1'!N15)&amp;"-"&amp;SUM('Stats G1'!K15)</f>
        <v>1-2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93</v>
      </c>
      <c r="J18" t="str">
        <f>SUM('Stats G1'!H20+'Stats G1'!N20)&amp;"-"&amp;SUM('Stats G1'!E20+'Stats G1'!K20)</f>
        <v>36-90</v>
      </c>
      <c r="K18" t="str">
        <f>SUM('Stats G1'!N20)&amp;"-"&amp;SUM('Stats G1'!K20)</f>
        <v>15-41</v>
      </c>
      <c r="L18" t="str">
        <f>SUM('Stats G1'!T20)&amp;"-"&amp;SUM('Stats G1'!Q20)</f>
        <v>6-9</v>
      </c>
    </row>
    <row r="20" spans="6:12" x14ac:dyDescent="0.2">
      <c r="F20" t="s">
        <v>11</v>
      </c>
      <c r="G20" t="str">
        <f>'Stats G1'!B21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Kur</v>
      </c>
      <c r="G22" t="str">
        <f>'Stats G1'!B23</f>
        <v>Kuath</v>
      </c>
      <c r="H22">
        <f>'Stats G1'!C23</f>
        <v>34</v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Neema</v>
      </c>
      <c r="G23" t="str">
        <f>'Stats G1'!B24</f>
        <v>Namdar</v>
      </c>
      <c r="H23">
        <f>'Stats G1'!C24</f>
        <v>0</v>
      </c>
      <c r="I23">
        <f>'Stats G1'!H24*2+'Stats G1'!N24*3+'Stats G1'!T24</f>
        <v>4</v>
      </c>
      <c r="J23" t="str">
        <f>SUM('Stats G1'!H24+'Stats G1'!N24)&amp;"-"&amp;SUM('Stats G1'!E24+'Stats G1'!K24)</f>
        <v>2-10</v>
      </c>
      <c r="K23" t="str">
        <f>SUM('Stats G1'!N24)&amp;"-"&amp;SUM('Stats G1'!K24)</f>
        <v>0-5</v>
      </c>
      <c r="L23" t="str">
        <f>SUM('Stats G1'!T24)&amp;"-"&amp;SUM('Stats G1'!Q24)</f>
        <v>0-1</v>
      </c>
    </row>
    <row r="24" spans="6:12" x14ac:dyDescent="0.2">
      <c r="F24" t="str">
        <f>'Stats G1'!A25</f>
        <v>Yoeli</v>
      </c>
      <c r="G24" t="str">
        <f>'Stats G1'!B25</f>
        <v>Childs</v>
      </c>
      <c r="H24">
        <f>'Stats G1'!C25</f>
        <v>23</v>
      </c>
      <c r="I24">
        <f>'Stats G1'!H25*2+'Stats G1'!N25*3+'Stats G1'!T25</f>
        <v>32</v>
      </c>
      <c r="J24" t="str">
        <f>SUM('Stats G1'!H25+'Stats G1'!N25)&amp;"-"&amp;SUM('Stats G1'!E25+'Stats G1'!K25)</f>
        <v>12-22</v>
      </c>
      <c r="K24" t="str">
        <f>SUM('Stats G1'!N25)&amp;"-"&amp;SUM('Stats G1'!K25)</f>
        <v>6-13</v>
      </c>
      <c r="L24" t="str">
        <f>SUM('Stats G1'!T25)&amp;"-"&amp;SUM('Stats G1'!Q25)</f>
        <v>2-4</v>
      </c>
    </row>
    <row r="25" spans="6:12" x14ac:dyDescent="0.2">
      <c r="F25" t="str">
        <f>'Stats G1'!A26</f>
        <v>Blaze</v>
      </c>
      <c r="G25" t="str">
        <f>'Stats G1'!B26</f>
        <v>Nield</v>
      </c>
      <c r="H25">
        <f>'Stats G1'!C26</f>
        <v>3</v>
      </c>
      <c r="I25">
        <f>'Stats G1'!H26*2+'Stats G1'!N26*3+'Stats G1'!T26</f>
        <v>16</v>
      </c>
      <c r="J25" t="str">
        <f>SUM('Stats G1'!H26+'Stats G1'!N26)&amp;"-"&amp;SUM('Stats G1'!E26+'Stats G1'!K26)</f>
        <v>8-14</v>
      </c>
      <c r="K25" t="str">
        <f>SUM('Stats G1'!N26)&amp;"-"&amp;SUM('Stats G1'!K26)</f>
        <v>0-4</v>
      </c>
      <c r="L25" t="str">
        <f>SUM('Stats G1'!T26)&amp;"-"&amp;SUM('Stats G1'!Q26)</f>
        <v>0-0</v>
      </c>
    </row>
    <row r="26" spans="6:12" x14ac:dyDescent="0.2">
      <c r="F26" t="str">
        <f>'Stats G1'!A27</f>
        <v>Kylor</v>
      </c>
      <c r="G26" t="str">
        <f>'Stats G1'!B27</f>
        <v>Kelley</v>
      </c>
      <c r="H26">
        <f>'Stats G1'!C27</f>
        <v>35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Nic</v>
      </c>
      <c r="G27" t="str">
        <f>'Stats G1'!B28</f>
        <v>Paulos</v>
      </c>
      <c r="H27">
        <f>'Stats G1'!C28</f>
        <v>31</v>
      </c>
      <c r="I27">
        <f>'Stats G1'!H28*2+'Stats G1'!N28*3+'Stats G1'!T28</f>
        <v>8</v>
      </c>
      <c r="J27" t="str">
        <f>SUM('Stats G1'!H28+'Stats G1'!N28)&amp;"-"&amp;SUM('Stats G1'!E28+'Stats G1'!K28)</f>
        <v>3-8</v>
      </c>
      <c r="K27" t="str">
        <f>SUM('Stats G1'!N28)&amp;"-"&amp;SUM('Stats G1'!K28)</f>
        <v>2-7</v>
      </c>
      <c r="L27" t="str">
        <f>SUM('Stats G1'!T28)&amp;"-"&amp;SUM('Stats G1'!Q28)</f>
        <v>0-0</v>
      </c>
    </row>
    <row r="28" spans="6:12" x14ac:dyDescent="0.2">
      <c r="F28" t="str">
        <f>'Stats G1'!A29</f>
        <v>Trey</v>
      </c>
      <c r="G28" t="str">
        <f>'Stats G1'!B29</f>
        <v>Farrer</v>
      </c>
      <c r="H28">
        <f>'Stats G1'!C29</f>
        <v>21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Connor</v>
      </c>
      <c r="G29" t="str">
        <f>'Stats G1'!B30</f>
        <v>Harding</v>
      </c>
      <c r="H29">
        <f>'Stats G1'!C30</f>
        <v>11</v>
      </c>
      <c r="I29">
        <f>'Stats G1'!H30*2+'Stats G1'!N30*3+'Stats G1'!T30</f>
        <v>27</v>
      </c>
      <c r="J29" t="str">
        <f>SUM('Stats G1'!H30+'Stats G1'!N30)&amp;"-"&amp;SUM('Stats G1'!E30+'Stats G1'!K30)</f>
        <v>10-14</v>
      </c>
      <c r="K29" t="str">
        <f>SUM('Stats G1'!N30)&amp;"-"&amp;SUM('Stats G1'!K30)</f>
        <v>3-6</v>
      </c>
      <c r="L29" t="str">
        <f>SUM('Stats G1'!T30)&amp;"-"&amp;SUM('Stats G1'!Q30)</f>
        <v>4-7</v>
      </c>
    </row>
    <row r="30" spans="6:12" x14ac:dyDescent="0.2">
      <c r="F30" t="str">
        <f>'Stats G1'!A31</f>
        <v>Evan</v>
      </c>
      <c r="G30" t="str">
        <f>'Stats G1'!B31</f>
        <v>Troy</v>
      </c>
      <c r="H30">
        <f>'Stats G1'!C31</f>
        <v>24</v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Sam</v>
      </c>
      <c r="G31" t="str">
        <f>'Stats G1'!B32</f>
        <v>Velez</v>
      </c>
      <c r="H31">
        <f>'Stats G1'!C32</f>
        <v>1</v>
      </c>
      <c r="I31">
        <f>'Stats G1'!H32*2+'Stats G1'!N32*3+'Stats G1'!T32</f>
        <v>2</v>
      </c>
      <c r="J31" t="str">
        <f>SUM('Stats G1'!H32+'Stats G1'!N32)&amp;"-"&amp;SUM('Stats G1'!E32+'Stats G1'!K32)</f>
        <v>1-1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Gerad</v>
      </c>
      <c r="G32" t="str">
        <f>'Stats G1'!B33</f>
        <v>Davis</v>
      </c>
      <c r="H32">
        <f>'Stats G1'!C33</f>
        <v>10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Will</v>
      </c>
      <c r="G33" t="str">
        <f>'Stats G1'!B34</f>
        <v>Joyce</v>
      </c>
      <c r="H33">
        <f>'Stats G1'!C34</f>
        <v>20</v>
      </c>
      <c r="I33">
        <f>'Stats G1'!H34*2+'Stats G1'!N34*3+'Stats G1'!T34</f>
        <v>0</v>
      </c>
      <c r="J33" t="str">
        <f>SUM('Stats G1'!H34+'Stats G1'!N34)&amp;"-"&amp;SUM('Stats G1'!E34+'Stats G1'!K34)</f>
        <v>0-2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Kylor</v>
      </c>
      <c r="G34" t="str">
        <f>'Stats G1'!B35</f>
        <v>Kelley</v>
      </c>
      <c r="H34">
        <f>'Stats G1'!C35</f>
        <v>25</v>
      </c>
      <c r="I34">
        <f>'Stats G1'!H35*2+'Stats G1'!N35*3+'Stats G1'!T35</f>
        <v>0</v>
      </c>
      <c r="J34" t="str">
        <f>SUM('Stats G1'!H35+'Stats G1'!N35)&amp;"-"&amp;SUM('Stats G1'!E35+'Stats G1'!K35)</f>
        <v>0-2</v>
      </c>
      <c r="K34" t="str">
        <f>SUM('Stats G1'!N35)&amp;"-"&amp;SUM('Stats G1'!K35)</f>
        <v>0-0</v>
      </c>
      <c r="L34" t="str">
        <f>SUM('Stats G1'!T35)&amp;"-"&amp;SUM('Stats G1'!Q35)</f>
        <v>0-2</v>
      </c>
    </row>
    <row r="35" spans="6:12" x14ac:dyDescent="0.2">
      <c r="F35" t="str">
        <f>'Stats G1'!A36</f>
        <v>Gerad</v>
      </c>
      <c r="G35" t="str">
        <f>'Stats G1'!B36</f>
        <v>Davis</v>
      </c>
      <c r="H35">
        <f>'Stats G1'!C36</f>
        <v>6</v>
      </c>
      <c r="I35">
        <f>'Stats G1'!H36*2+'Stats G1'!N36*3+'Stats G1'!T36</f>
        <v>6</v>
      </c>
      <c r="J35" t="str">
        <f>SUM('Stats G1'!H36+'Stats G1'!N36)&amp;"-"&amp;SUM('Stats G1'!E36+'Stats G1'!K36)</f>
        <v>3-12</v>
      </c>
      <c r="K35" t="str">
        <f>SUM('Stats G1'!N36)&amp;"-"&amp;SUM('Stats G1'!K36)</f>
        <v>0-3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95</v>
      </c>
      <c r="J37" t="str">
        <f>SUM('Stats G1'!H38+'Stats G1'!N38)&amp;"-"&amp;SUM('Stats G1'!E38+'Stats G1'!K38)</f>
        <v>39-85</v>
      </c>
      <c r="K37" t="str">
        <f>SUM('Stats G1'!N38)&amp;"-"&amp;SUM('Stats G1'!K38)</f>
        <v>11-38</v>
      </c>
      <c r="L37" t="str">
        <f>SUM('Stats G1'!T38)&amp;"-"&amp;SUM('Stats G1'!Q38)</f>
        <v>6-14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12" zoomScale="90" zoomScaleNormal="90" workbookViewId="0">
      <selection activeCell="A36" sqref="A36:B36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114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4" s="6" customFormat="1" x14ac:dyDescent="0.2">
      <c r="A5" s="5" t="str">
        <f>_xlfn.IFNA(VLOOKUP($B$3&amp;ROWS($A$5:A5),Rosters!$B$2:$C$163,2,0),"?")</f>
        <v>Taylor</v>
      </c>
      <c r="B5" s="5" t="str">
        <f>_xlfn.IFNA(VLOOKUP($B$3&amp;ROWS($B$5:B5),Rosters!$B$2:$D$163,3,0),"?")</f>
        <v>Miller</v>
      </c>
      <c r="C5" s="5">
        <f>_xlfn.IFNA(VLOOKUP($B$3&amp;ROWS($C$5:C5),Rosters!$B$2:$E$163,4,0),"")</f>
        <v>20</v>
      </c>
      <c r="D5" s="5"/>
      <c r="E5" s="5">
        <v>9</v>
      </c>
      <c r="F5" s="5"/>
      <c r="G5" s="5"/>
      <c r="H5" s="5">
        <v>1</v>
      </c>
      <c r="I5" s="5"/>
      <c r="J5" s="5"/>
      <c r="K5" s="5">
        <v>9</v>
      </c>
      <c r="L5" s="5"/>
      <c r="M5" s="5"/>
      <c r="N5" s="5">
        <v>4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Alrek</v>
      </c>
      <c r="B6" s="6" t="str">
        <f>_xlfn.IFNA(VLOOKUP($B$3&amp;ROWS($B$5:B6),Rosters!$B$2:$D$163,3,0),"?")</f>
        <v>Greenhalgh</v>
      </c>
      <c r="C6" s="6">
        <f>_xlfn.IFNA(VLOOKUP($B$3&amp;ROWS($C$5:C6),Rosters!$B$2:$E$163,4,0),"")</f>
        <v>3</v>
      </c>
      <c r="E6" s="6">
        <v>11</v>
      </c>
      <c r="H6" s="6">
        <v>8</v>
      </c>
      <c r="K6" s="6">
        <v>7</v>
      </c>
      <c r="N6" s="6">
        <v>3</v>
      </c>
      <c r="Q6" s="6">
        <v>2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Gideon</v>
      </c>
      <c r="B7" s="5" t="str">
        <f>_xlfn.IFNA(VLOOKUP($B$3&amp;ROWS($B$5:B7),Rosters!$B$2:$D$163,3,0),"?")</f>
        <v>George</v>
      </c>
      <c r="C7" s="5">
        <f>_xlfn.IFNA(VLOOKUP($B$3&amp;ROWS($C$5:C7),Rosters!$B$2:$E$163,4,0),"")</f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Brock</v>
      </c>
      <c r="B8" s="6" t="str">
        <f>_xlfn.IFNA(VLOOKUP($B$3&amp;ROWS($B$5:B8),Rosters!$B$2:$D$163,3,0),"?")</f>
        <v>Anderson</v>
      </c>
      <c r="C8" s="6">
        <f>_xlfn.IFNA(VLOOKUP($B$3&amp;ROWS($C$5:C8),Rosters!$B$2:$E$163,4,0),"")</f>
        <v>30</v>
      </c>
      <c r="E8" s="6">
        <v>4</v>
      </c>
      <c r="H8" s="6">
        <v>1</v>
      </c>
      <c r="K8" s="6">
        <v>2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Dalton</v>
      </c>
      <c r="B9" s="5" t="str">
        <f>_xlfn.IFNA(VLOOKUP($B$3&amp;ROWS($B$5:B9),Rosters!$B$2:$D$163,3,0),"?")</f>
        <v>Nixon</v>
      </c>
      <c r="C9" s="5">
        <f>_xlfn.IFNA(VLOOKUP($B$3&amp;ROWS($C$5:C9),Rosters!$B$2:$E$163,4,0),"")</f>
        <v>4</v>
      </c>
      <c r="D9" s="5"/>
      <c r="E9" s="5">
        <v>6</v>
      </c>
      <c r="F9" s="5"/>
      <c r="G9" s="5"/>
      <c r="H9" s="5">
        <v>3</v>
      </c>
      <c r="I9" s="5"/>
      <c r="J9" s="5"/>
      <c r="K9" s="5">
        <v>7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Taylor</v>
      </c>
      <c r="B10" s="6" t="str">
        <f>_xlfn.IFNA(VLOOKUP($B$3&amp;ROWS($B$5:B10),Rosters!$B$2:$D$163,3,0),"?")</f>
        <v>Funk</v>
      </c>
      <c r="C10" s="6">
        <f>_xlfn.IFNA(VLOOKUP($B$3&amp;ROWS($C$5:C10),Rosters!$B$2:$E$163,4,0),"")</f>
        <v>13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Hunter</v>
      </c>
      <c r="B11" s="5" t="str">
        <f>_xlfn.IFNA(VLOOKUP($B$3&amp;ROWS($B$5:B11),Rosters!$B$2:$D$163,3,0),"?")</f>
        <v>Erickson</v>
      </c>
      <c r="C11" s="5">
        <f>_xlfn.IFNA(VLOOKUP($B$3&amp;ROWS($C$5:C11),Rosters!$B$2:$E$163,4,0),"")</f>
        <v>0</v>
      </c>
      <c r="D11" s="5"/>
      <c r="E11" s="5">
        <v>11</v>
      </c>
      <c r="F11" s="5"/>
      <c r="G11" s="5"/>
      <c r="H11" s="5">
        <v>6</v>
      </c>
      <c r="I11" s="5"/>
      <c r="J11" s="5"/>
      <c r="K11" s="5">
        <v>5</v>
      </c>
      <c r="L11" s="5"/>
      <c r="M11" s="5"/>
      <c r="N11" s="5">
        <v>1</v>
      </c>
      <c r="O11" s="5"/>
      <c r="P11" s="5"/>
      <c r="Q11" s="5">
        <v>3</v>
      </c>
      <c r="R11" s="5"/>
      <c r="S11" s="5"/>
      <c r="T11" s="5">
        <v>1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Dayon</v>
      </c>
      <c r="B12" s="6" t="str">
        <f>_xlfn.IFNA(VLOOKUP($B$3&amp;ROWS($B$5:B12),Rosters!$B$2:$D$163,3,0),"?")</f>
        <v>Goodman</v>
      </c>
      <c r="C12" s="6">
        <f>_xlfn.IFNA(VLOOKUP($B$3&amp;ROWS($C$5:C12),Rosters!$B$2:$E$163,4,0),"")</f>
        <v>35</v>
      </c>
      <c r="E12" s="6">
        <v>3</v>
      </c>
      <c r="H12" s="6">
        <v>2</v>
      </c>
      <c r="K12" s="6">
        <v>5</v>
      </c>
      <c r="N12" s="6">
        <v>3</v>
      </c>
      <c r="Q12" s="6">
        <v>4</v>
      </c>
      <c r="T12" s="6">
        <v>4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>
        <v>10</v>
      </c>
      <c r="D13" s="5"/>
      <c r="E13" s="5">
        <v>3</v>
      </c>
      <c r="F13" s="5"/>
      <c r="G13" s="5"/>
      <c r="H13" s="5">
        <v>0</v>
      </c>
      <c r="I13" s="5"/>
      <c r="J13" s="5"/>
      <c r="K13" s="5">
        <v>4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>
        <v>45</v>
      </c>
      <c r="E14" s="6">
        <v>2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9" t="s">
        <v>201</v>
      </c>
      <c r="B15" s="9" t="s">
        <v>202</v>
      </c>
      <c r="C15" s="5">
        <v>1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2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49</v>
      </c>
      <c r="H20" s="6">
        <f>SUM(H5:H19)</f>
        <v>21</v>
      </c>
      <c r="K20" s="6">
        <f>SUM(K5:K19)</f>
        <v>41</v>
      </c>
      <c r="N20" s="6">
        <f>SUM(N5:N19)</f>
        <v>15</v>
      </c>
      <c r="Q20" s="6">
        <f>SUM(Q5:Q19)</f>
        <v>9</v>
      </c>
      <c r="T20" s="6">
        <f>SUM(T5:T19)</f>
        <v>6</v>
      </c>
      <c r="W20" s="6">
        <f>SUM(W5:W19)</f>
        <v>0</v>
      </c>
    </row>
    <row r="21" spans="1:24" x14ac:dyDescent="0.2">
      <c r="A21" s="2" t="s">
        <v>16</v>
      </c>
      <c r="B21" s="1" t="s">
        <v>130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4" s="6" customFormat="1" x14ac:dyDescent="0.2">
      <c r="A23" s="5" t="str">
        <f>_xlfn.IFNA(VLOOKUP($B$21&amp;ROWS($A$23:A23),Rosters!$B$2:$C$163,2,0),"?")</f>
        <v>Kur</v>
      </c>
      <c r="B23" s="5" t="str">
        <f>_xlfn.IFNA(VLOOKUP($B$21&amp;ROWS($B$23:B23),Rosters!$B$2:$D$163,3,0),"?")</f>
        <v>Kuath</v>
      </c>
      <c r="C23" s="5">
        <f>_xlfn.IFNA(VLOOKUP($B$21&amp;ROWS($C$23:C23),Rosters!$B$2:$E$163,4,0),"")</f>
        <v>34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 s="6">
        <v>5</v>
      </c>
      <c r="F24" s="6"/>
      <c r="G24" s="6"/>
      <c r="H24" s="6">
        <v>2</v>
      </c>
      <c r="I24" s="6"/>
      <c r="J24" s="6"/>
      <c r="K24" s="6">
        <v>5</v>
      </c>
      <c r="L24" s="6"/>
      <c r="M24" s="6"/>
      <c r="N24" s="6">
        <v>0</v>
      </c>
      <c r="O24" s="6"/>
      <c r="P24" s="6"/>
      <c r="Q24" s="6">
        <v>1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 s="5">
        <v>9</v>
      </c>
      <c r="F25" s="5"/>
      <c r="G25" s="5"/>
      <c r="H25" s="5">
        <v>6</v>
      </c>
      <c r="I25" s="5"/>
      <c r="J25" s="5"/>
      <c r="K25" s="5">
        <v>13</v>
      </c>
      <c r="L25" s="5"/>
      <c r="M25" s="5"/>
      <c r="N25" s="5">
        <v>6</v>
      </c>
      <c r="O25" s="5"/>
      <c r="P25" s="5"/>
      <c r="Q25" s="5">
        <v>4</v>
      </c>
      <c r="R25" s="5"/>
      <c r="S25" s="5"/>
      <c r="T25" s="5">
        <v>2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 s="6">
        <v>10</v>
      </c>
      <c r="F26" s="6"/>
      <c r="G26" s="6"/>
      <c r="H26" s="6">
        <v>8</v>
      </c>
      <c r="I26" s="6"/>
      <c r="J26" s="6"/>
      <c r="K26" s="6">
        <v>4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Kylor</v>
      </c>
      <c r="B27" s="5" t="str">
        <f>_xlfn.IFNA(VLOOKUP($B$21&amp;ROWS($B$23:B27),Rosters!$B$2:$D$163,3,0),"?")</f>
        <v>Kelley</v>
      </c>
      <c r="C27" s="5">
        <f>_xlfn.IFNA(VLOOKUP($B$21&amp;ROWS($C$23:C27),Rosters!$B$2:$E$163,4,0),"")</f>
        <v>35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 s="6">
        <v>1</v>
      </c>
      <c r="F28" s="6"/>
      <c r="G28" s="6"/>
      <c r="H28" s="6">
        <v>1</v>
      </c>
      <c r="I28" s="6"/>
      <c r="J28" s="6"/>
      <c r="K28" s="6">
        <v>7</v>
      </c>
      <c r="L28" s="6"/>
      <c r="M28" s="6"/>
      <c r="N28" s="6">
        <v>2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 s="6">
        <v>8</v>
      </c>
      <c r="F30" s="6"/>
      <c r="G30" s="6"/>
      <c r="H30" s="6">
        <v>7</v>
      </c>
      <c r="I30" s="6"/>
      <c r="J30" s="6"/>
      <c r="K30" s="6">
        <v>6</v>
      </c>
      <c r="L30" s="6"/>
      <c r="M30" s="6"/>
      <c r="N30" s="6">
        <v>3</v>
      </c>
      <c r="O30" s="6"/>
      <c r="P30" s="6"/>
      <c r="Q30" s="6">
        <v>7</v>
      </c>
      <c r="R30" s="6"/>
      <c r="S30" s="6"/>
      <c r="T30" s="6">
        <v>4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 s="6">
        <v>1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Gerad</v>
      </c>
      <c r="B33" s="5" t="str">
        <f>_xlfn.IFNA(VLOOKUP($B$21&amp;ROWS($B$23:B33),Rosters!$B$2:$D$163,3,0),"?")</f>
        <v>Davis</v>
      </c>
      <c r="C33" s="5">
        <f>_xlfn.IFNA(VLOOKUP($B$21&amp;ROWS($C$23:C33),Rosters!$B$2:$E$163,4,0),"")</f>
        <v>10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">
        <v>200</v>
      </c>
      <c r="B34" t="s">
        <v>199</v>
      </c>
      <c r="C34">
        <v>20</v>
      </c>
      <c r="D34" s="6"/>
      <c r="E34" s="6">
        <v>2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">
        <v>139</v>
      </c>
      <c r="B35" s="5" t="s">
        <v>140</v>
      </c>
      <c r="C35" s="5">
        <v>25</v>
      </c>
      <c r="D35" s="5"/>
      <c r="E35" s="5">
        <v>2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s="10" t="s">
        <v>151</v>
      </c>
      <c r="B36" s="10" t="s">
        <v>152</v>
      </c>
      <c r="C36">
        <v>6</v>
      </c>
      <c r="D36" s="6"/>
      <c r="E36" s="6">
        <v>9</v>
      </c>
      <c r="F36" s="6"/>
      <c r="G36" s="6"/>
      <c r="H36" s="6">
        <v>3</v>
      </c>
      <c r="I36" s="6"/>
      <c r="J36" s="6"/>
      <c r="K36" s="6">
        <v>3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47</v>
      </c>
      <c r="H38">
        <f>SUM(H23:H37)</f>
        <v>28</v>
      </c>
      <c r="K38">
        <f>SUM(K23:K37)</f>
        <v>38</v>
      </c>
      <c r="N38">
        <f>SUM(N23:N37)</f>
        <v>11</v>
      </c>
      <c r="Q38">
        <f>SUM(Q23:Q37)</f>
        <v>14</v>
      </c>
      <c r="T38">
        <f>SUM(T23:T37)</f>
        <v>6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E12" sqref="E12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18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2022-06-18T05:10:09Z</dcterms:modified>
</cp:coreProperties>
</file>