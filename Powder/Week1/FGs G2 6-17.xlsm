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BFEE2B0F-D007-9E49-95C9-ACD55262D950}" xr6:coauthVersionLast="47" xr6:coauthVersionMax="47" xr10:uidLastSave="{00000000-0000-0000-0000-000000000000}"/>
  <bookViews>
    <workbookView xWindow="7460" yWindow="500" windowWidth="20720" windowHeight="131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L22" i="2"/>
  <c r="K22" i="2"/>
  <c r="J22" i="2"/>
  <c r="I22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W38" i="1"/>
  <c r="W20" i="1"/>
  <c r="T38" i="1"/>
  <c r="L37" i="2" s="1"/>
  <c r="T20" i="1"/>
  <c r="Q38" i="1"/>
  <c r="Q20" i="1"/>
  <c r="N38" i="1"/>
  <c r="N20" i="1"/>
  <c r="K38" i="1"/>
  <c r="K20" i="1"/>
  <c r="H38" i="1"/>
  <c r="H20" i="1"/>
  <c r="E38" i="1"/>
  <c r="E20" i="1"/>
  <c r="K37" i="2" l="1"/>
  <c r="I37" i="2"/>
  <c r="J37" i="2"/>
  <c r="K18" i="2"/>
  <c r="L18" i="2"/>
  <c r="J18" i="2"/>
  <c r="A27" i="1"/>
  <c r="F26" i="2" s="1"/>
  <c r="B8" i="1" l="1"/>
  <c r="G6" i="2" s="1"/>
  <c r="A11" i="1"/>
  <c r="F9" i="2" s="1"/>
  <c r="C13" i="1"/>
  <c r="H11" i="2" s="1"/>
  <c r="B34" i="1"/>
  <c r="G33" i="2" s="1"/>
  <c r="C32" i="1"/>
  <c r="H31" i="2" s="1"/>
  <c r="B19" i="1"/>
  <c r="G17" i="2" s="1"/>
  <c r="A17" i="1"/>
  <c r="F15" i="2" s="1"/>
  <c r="A16" i="1"/>
  <c r="F14" i="2" s="1"/>
  <c r="C34" i="1"/>
  <c r="H33" i="2" s="1"/>
  <c r="A25" i="1"/>
  <c r="F24" i="2" s="1"/>
  <c r="C8" i="1"/>
  <c r="H6" i="2" s="1"/>
  <c r="B11" i="1"/>
  <c r="G9" i="2" s="1"/>
  <c r="A14" i="1"/>
  <c r="F12" i="2" s="1"/>
  <c r="C31" i="1"/>
  <c r="H30" i="2" s="1"/>
  <c r="B17" i="1"/>
  <c r="G15" i="2" s="1"/>
  <c r="B33" i="1"/>
  <c r="G32" i="2" s="1"/>
  <c r="B36" i="1"/>
  <c r="G35" i="2" s="1"/>
  <c r="B27" i="1"/>
  <c r="G26" i="2" s="1"/>
  <c r="A32" i="1"/>
  <c r="F31" i="2" s="1"/>
  <c r="C18" i="1"/>
  <c r="H16" i="2" s="1"/>
  <c r="A9" i="1"/>
  <c r="F7" i="2" s="1"/>
  <c r="C11" i="1"/>
  <c r="H9" i="2" s="1"/>
  <c r="B14" i="1"/>
  <c r="G12" i="2" s="1"/>
  <c r="A29" i="1"/>
  <c r="F28" i="2" s="1"/>
  <c r="H35" i="2"/>
  <c r="B25" i="1"/>
  <c r="G24" i="2" s="1"/>
  <c r="C33" i="1"/>
  <c r="H32" i="2" s="1"/>
  <c r="H36" i="2"/>
  <c r="B29" i="1"/>
  <c r="G28" i="2" s="1"/>
  <c r="A30" i="1"/>
  <c r="F29" i="2" s="1"/>
  <c r="B9" i="1"/>
  <c r="G7" i="2" s="1"/>
  <c r="A12" i="1"/>
  <c r="F10" i="2" s="1"/>
  <c r="C14" i="1"/>
  <c r="H12" i="2" s="1"/>
  <c r="B26" i="1"/>
  <c r="G25" i="2" s="1"/>
  <c r="A34" i="1"/>
  <c r="F33" i="2" s="1"/>
  <c r="A33" i="1"/>
  <c r="F32" i="2" s="1"/>
  <c r="A31" i="1"/>
  <c r="F30" i="2" s="1"/>
  <c r="A19" i="1"/>
  <c r="F17" i="2" s="1"/>
  <c r="C26" i="1"/>
  <c r="H25" i="2" s="1"/>
  <c r="A35" i="1"/>
  <c r="F34" i="2" s="1"/>
  <c r="A7" i="1"/>
  <c r="F5" i="2" s="1"/>
  <c r="C9" i="1"/>
  <c r="H7" i="2" s="1"/>
  <c r="B12" i="1"/>
  <c r="G10" i="2" s="1"/>
  <c r="A15" i="1"/>
  <c r="F13" i="2" s="1"/>
  <c r="A24" i="1"/>
  <c r="F23" i="2" s="1"/>
  <c r="B31" i="1"/>
  <c r="G30" i="2" s="1"/>
  <c r="B35" i="1"/>
  <c r="G34" i="2" s="1"/>
  <c r="B28" i="1"/>
  <c r="G27" i="2" s="1"/>
  <c r="C29" i="1"/>
  <c r="H28" i="2" s="1"/>
  <c r="B24" i="1"/>
  <c r="G23" i="2" s="1"/>
  <c r="C23" i="1"/>
  <c r="B7" i="1"/>
  <c r="G5" i="2" s="1"/>
  <c r="A10" i="1"/>
  <c r="F8" i="2" s="1"/>
  <c r="C12" i="1"/>
  <c r="H10" i="2" s="1"/>
  <c r="B15" i="1"/>
  <c r="G13" i="2" s="1"/>
  <c r="C30" i="1"/>
  <c r="H29" i="2" s="1"/>
  <c r="C28" i="1"/>
  <c r="H27" i="2" s="1"/>
  <c r="C24" i="1"/>
  <c r="H23" i="2" s="1"/>
  <c r="C25" i="1"/>
  <c r="H24" i="2" s="1"/>
  <c r="B32" i="1"/>
  <c r="G31" i="2" s="1"/>
  <c r="C16" i="1"/>
  <c r="H14" i="2" s="1"/>
  <c r="C17" i="1"/>
  <c r="H15" i="2" s="1"/>
  <c r="C7" i="1"/>
  <c r="H5" i="2" s="1"/>
  <c r="B10" i="1"/>
  <c r="G8" i="2" s="1"/>
  <c r="A13" i="1"/>
  <c r="F11" i="2" s="1"/>
  <c r="C15" i="1"/>
  <c r="H13" i="2" s="1"/>
  <c r="C35" i="1"/>
  <c r="H34" i="2" s="1"/>
  <c r="A26" i="1"/>
  <c r="F25" i="2" s="1"/>
  <c r="B18" i="1"/>
  <c r="G16" i="2" s="1"/>
  <c r="A23" i="1"/>
  <c r="A18" i="1"/>
  <c r="F16" i="2" s="1"/>
  <c r="A28" i="1"/>
  <c r="F27" i="2" s="1"/>
  <c r="A36" i="1"/>
  <c r="F35" i="2" s="1"/>
  <c r="A8" i="1"/>
  <c r="F6" i="2" s="1"/>
  <c r="C10" i="1"/>
  <c r="H8" i="2" s="1"/>
  <c r="B13" i="1"/>
  <c r="G11" i="2" s="1"/>
  <c r="A37" i="1"/>
  <c r="F36" i="2" s="1"/>
  <c r="C27" i="1"/>
  <c r="H26" i="2" s="1"/>
  <c r="B23" i="1"/>
  <c r="C19" i="1"/>
  <c r="H17" i="2" s="1"/>
  <c r="B30" i="1"/>
  <c r="G29" i="2" s="1"/>
  <c r="B37" i="1"/>
  <c r="G36" i="2" s="1"/>
  <c r="B16" i="1"/>
  <c r="G14" i="2" s="1"/>
  <c r="G20" i="2"/>
  <c r="D2" i="2" s="1"/>
  <c r="G1" i="2"/>
  <c r="B2" i="2" s="1"/>
  <c r="A5" i="1" l="1"/>
  <c r="F3" i="2" s="1"/>
  <c r="A6" i="1"/>
  <c r="F4" i="2" s="1"/>
  <c r="B5" i="1"/>
  <c r="G3" i="2" s="1"/>
  <c r="B6" i="1"/>
  <c r="G4" i="2" s="1"/>
  <c r="F22" i="2"/>
  <c r="C5" i="1"/>
  <c r="H3" i="2" s="1"/>
  <c r="C6" i="1"/>
  <c r="H4" i="2" s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<sst xmlns="http://schemas.openxmlformats.org/spreadsheetml/2006/main" count="311" uniqueCount="198">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</sst>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M1" sqref="M1:M1048576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26</v>
      </c>
      <c r="F1" t="s">
        <v>7</v>
      </c>
      <c r="G1" t="str">
        <f>'Stats G2'!B3</f>
        <v>Team Berger</v>
      </c>
    </row>
    <row r="2" spans="2:12" x14ac:dyDescent="0.2">
      <c r="B2" t="str">
        <f>G1</f>
        <v>Team Berger</v>
      </c>
      <c r="D2" t="str">
        <f>G20</f>
        <v>Team Stan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132</v>
      </c>
      <c r="C3" s="3" t="s">
        <v>13</v>
      </c>
      <c r="D3" s="4">
        <f>I37</f>
        <v>104</v>
      </c>
      <c r="F3" t="str">
        <f>'Stats G2'!A5</f>
        <v>Sean</v>
      </c>
      <c r="G3" t="str">
        <f>'Stats G2'!B5</f>
        <v>Harris</v>
      </c>
      <c r="H3">
        <f>'Stats G2'!C5</f>
        <v>60</v>
      </c>
      <c r="I3">
        <f>'Stats G2'!H5*2+'Stats G2'!N5*3+'Stats G2'!T5</f>
        <v>9</v>
      </c>
      <c r="J3" t="str">
        <f>SUM('Stats G2'!H5+'Stats G2'!N5)&amp;"-"&amp;SUM('Stats G2'!E5+'Stats G2'!K5)</f>
        <v>4-9</v>
      </c>
      <c r="K3" t="str">
        <f>SUM('Stats G2'!N5)&amp;"-"&amp;SUM('Stats G2'!K5)</f>
        <v>0-3</v>
      </c>
      <c r="L3" t="str">
        <f>SUM('Stats G2'!T5)&amp;"-"&amp;SUM('Stats G2'!Q5)</f>
        <v>1-2</v>
      </c>
    </row>
    <row r="4" spans="2:12" x14ac:dyDescent="0.2">
      <c r="F4" t="str">
        <f>'Stats G2'!A6</f>
        <v>Parker</v>
      </c>
      <c r="G4" t="str">
        <f>'Stats G2'!B6</f>
        <v>Van Dyke</v>
      </c>
      <c r="H4">
        <f>'Stats G2'!C6</f>
        <v>7</v>
      </c>
      <c r="I4">
        <f>'Stats G2'!H6*2+'Stats G2'!N6*3+'Stats G2'!T6</f>
        <v>44</v>
      </c>
      <c r="J4" t="str">
        <f>SUM('Stats G2'!H6+'Stats G2'!N6)&amp;"-"&amp;SUM('Stats G2'!E6+'Stats G2'!K6)</f>
        <v>18-29</v>
      </c>
      <c r="K4" t="str">
        <f>SUM('Stats G2'!N6)&amp;"-"&amp;SUM('Stats G2'!K6)</f>
        <v>7-13</v>
      </c>
      <c r="L4" t="str">
        <f>SUM('Stats G2'!T6)&amp;"-"&amp;SUM('Stats G2'!Q6)</f>
        <v>1-2</v>
      </c>
    </row>
    <row r="5" spans="2:12" x14ac:dyDescent="0.2">
      <c r="F5" t="str">
        <f>'Stats G2'!A7</f>
        <v>Danny</v>
      </c>
      <c r="G5" t="str">
        <f>'Stats G2'!B7</f>
        <v>Berger</v>
      </c>
      <c r="H5">
        <f>'Stats G2'!C7</f>
        <v>12</v>
      </c>
      <c r="I5">
        <f>'Stats G2'!H7*2+'Stats G2'!N7*3+'Stats G2'!T7</f>
        <v>13</v>
      </c>
      <c r="J5" t="str">
        <f>SUM('Stats G2'!H7+'Stats G2'!N7)&amp;"-"&amp;SUM('Stats G2'!E7+'Stats G2'!K7)</f>
        <v>5-8</v>
      </c>
      <c r="K5" t="str">
        <f>SUM('Stats G2'!N7)&amp;"-"&amp;SUM('Stats G2'!K7)</f>
        <v>3-5</v>
      </c>
      <c r="L5" t="str">
        <f>SUM('Stats G2'!T7)&amp;"-"&amp;SUM('Stats G2'!Q7)</f>
        <v>0-0</v>
      </c>
    </row>
    <row r="6" spans="2:12" x14ac:dyDescent="0.2">
      <c r="F6" t="str">
        <f>'Stats G2'!A8</f>
        <v>Zac</v>
      </c>
      <c r="G6" t="str">
        <f>'Stats G2'!B8</f>
        <v>Seljaas</v>
      </c>
      <c r="H6">
        <f>'Stats G2'!C8</f>
        <v>99</v>
      </c>
      <c r="I6">
        <f>'Stats G2'!H8*2+'Stats G2'!N8*3+'Stats G2'!T8</f>
        <v>28</v>
      </c>
      <c r="J6" t="str">
        <f>SUM('Stats G2'!H8+'Stats G2'!N8)&amp;"-"&amp;SUM('Stats G2'!E8+'Stats G2'!K8)</f>
        <v>10-20</v>
      </c>
      <c r="K6" t="str">
        <f>SUM('Stats G2'!N8)&amp;"-"&amp;SUM('Stats G2'!K8)</f>
        <v>3-12</v>
      </c>
      <c r="L6" t="str">
        <f>SUM('Stats G2'!T8)&amp;"-"&amp;SUM('Stats G2'!Q8)</f>
        <v>5-6</v>
      </c>
    </row>
    <row r="7" spans="2:12" x14ac:dyDescent="0.2">
      <c r="F7" t="str">
        <f>'Stats G2'!A9</f>
        <v>Peter</v>
      </c>
      <c r="G7" t="str">
        <f>'Stats G2'!B9</f>
        <v>Brown</v>
      </c>
      <c r="H7">
        <f>'Stats G2'!C9</f>
        <v>33</v>
      </c>
      <c r="I7">
        <f>'Stats G2'!H9*2+'Stats G2'!N9*3+'Stats G2'!T9</f>
        <v>7</v>
      </c>
      <c r="J7" t="str">
        <f>SUM('Stats G2'!H9+'Stats G2'!N9)&amp;"-"&amp;SUM('Stats G2'!E9+'Stats G2'!K9)</f>
        <v>3-5</v>
      </c>
      <c r="K7" t="str">
        <f>SUM('Stats G2'!N9)&amp;"-"&amp;SUM('Stats G2'!K9)</f>
        <v>0-0</v>
      </c>
      <c r="L7" t="str">
        <f>SUM('Stats G2'!T9)&amp;"-"&amp;SUM('Stats G2'!Q9)</f>
        <v>1-1</v>
      </c>
    </row>
    <row r="8" spans="2:12" x14ac:dyDescent="0.2">
      <c r="F8" t="str">
        <f>'Stats G2'!A10</f>
        <v>Zavon</v>
      </c>
      <c r="G8" t="str">
        <f>'Stats G2'!B10</f>
        <v>Jackson</v>
      </c>
      <c r="H8">
        <f>'Stats G2'!C10</f>
        <v>24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Spencer</v>
      </c>
      <c r="G9" t="str">
        <f>'Stats G2'!B11</f>
        <v>Butterfield</v>
      </c>
      <c r="H9">
        <f>'Stats G2'!C11</f>
        <v>21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Rylan</v>
      </c>
      <c r="G10" t="str">
        <f>'Stats G2'!B12</f>
        <v>Jones</v>
      </c>
      <c r="H10">
        <f>'Stats G2'!C12</f>
        <v>15</v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Brandon</v>
      </c>
      <c r="G11" t="str">
        <f>'Stats G2'!B13</f>
        <v>Sly</v>
      </c>
      <c r="H11">
        <f>'Stats G2'!C13</f>
        <v>2</v>
      </c>
      <c r="I11">
        <f>'Stats G2'!H13*2+'Stats G2'!N13*3+'Stats G2'!T13</f>
        <v>23</v>
      </c>
      <c r="J11" t="str">
        <f>SUM('Stats G2'!H13+'Stats G2'!N13)&amp;"-"&amp;SUM('Stats G2'!E13+'Stats G2'!K13)</f>
        <v>10-20</v>
      </c>
      <c r="K11" t="str">
        <f>SUM('Stats G2'!N13)&amp;"-"&amp;SUM('Stats G2'!K13)</f>
        <v>2-5</v>
      </c>
      <c r="L11" t="str">
        <f>SUM('Stats G2'!T13)&amp;"-"&amp;SUM('Stats G2'!Q13)</f>
        <v>1-1</v>
      </c>
    </row>
    <row r="12" spans="2:12" x14ac:dyDescent="0.2">
      <c r="F12" t="str">
        <f>'Stats G2'!A14</f>
        <v>Viko</v>
      </c>
      <c r="G12">
        <f>'Stats G2'!B14</f>
        <v>0</v>
      </c>
      <c r="H12">
        <f>'Stats G2'!C14</f>
        <v>6</v>
      </c>
      <c r="I12">
        <f>'Stats G2'!H14*2+'Stats G2'!N14*3+'Stats G2'!T14</f>
        <v>8</v>
      </c>
      <c r="J12" t="str">
        <f>SUM('Stats G2'!H14+'Stats G2'!N14)&amp;"-"&amp;SUM('Stats G2'!E14+'Stats G2'!K14)</f>
        <v>3-8</v>
      </c>
      <c r="K12" t="str">
        <f>SUM('Stats G2'!N14)&amp;"-"&amp;SUM('Stats G2'!K14)</f>
        <v>2-7</v>
      </c>
      <c r="L12" t="str">
        <f>SUM('Stats G2'!T14)&amp;"-"&amp;SUM('Stats G2'!Q14)</f>
        <v>0-0</v>
      </c>
    </row>
    <row r="13" spans="2:12" x14ac:dyDescent="0.2">
      <c r="F13" t="str">
        <f>'Stats G2'!A15</f>
        <v>Steven</v>
      </c>
      <c r="G13" t="str">
        <f>'Stats G2'!B15</f>
        <v>Ashworth</v>
      </c>
      <c r="H13">
        <f>'Stats G2'!C15</f>
        <v>0</v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132</v>
      </c>
      <c r="J18" t="str">
        <f>SUM('Stats G2'!H20+'Stats G2'!N20)&amp;"-"&amp;SUM('Stats G2'!E20+'Stats G2'!K20)</f>
        <v>53-99</v>
      </c>
      <c r="K18" t="str">
        <f>SUM('Stats G2'!N20)&amp;"-"&amp;SUM('Stats G2'!K20)</f>
        <v>17-45</v>
      </c>
      <c r="L18" t="str">
        <f>SUM('Stats G2'!T20)&amp;"-"&amp;SUM('Stats G2'!Q20)</f>
        <v>9-12</v>
      </c>
    </row>
    <row r="20" spans="6:12" x14ac:dyDescent="0.2">
      <c r="F20" t="s">
        <v>11</v>
      </c>
      <c r="G20" t="str">
        <f>'Stats G2'!B21</f>
        <v>Team Stan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G2'!H23*2+'Stats G2'!N23*3+'Stats G2'!T23</f>
        <v>7</v>
      </c>
      <c r="J22" t="str">
        <f>SUM('Stats G2'!H23+'Stats G2'!N23)&amp;"-"&amp;SUM('Stats G2'!E23+'Stats G2'!K23)</f>
        <v>3-10</v>
      </c>
      <c r="K22" t="str">
        <f>SUM('Stats G2'!N23)&amp;"-"&amp;SUM('Stats G2'!K23)</f>
        <v>1-4</v>
      </c>
      <c r="L22" t="str">
        <f>SUM('Stats G2'!T23)&amp;"-"&amp;SUM('Stats G2'!Q23)</f>
        <v>0-0</v>
      </c>
    </row>
    <row r="23" spans="6:12" x14ac:dyDescent="0.2">
      <c r="F23" t="str">
        <f>'Stats G2'!A24</f>
        <v>Ronald</v>
      </c>
      <c r="G23" t="str">
        <f>'Stats G2'!B24</f>
        <v>Leach</v>
      </c>
      <c r="H23">
        <f>'Stats G2'!C24</f>
        <v>32</v>
      </c>
      <c r="I23">
        <f>'Stats G2'!H24*2+'Stats G2'!N24*3+'Stats G2'!T24</f>
        <v>6</v>
      </c>
      <c r="J23" t="str">
        <f>SUM('Stats G2'!H24+'Stats G2'!N24)&amp;"-"&amp;SUM('Stats G2'!E24+'Stats G2'!K24)</f>
        <v>3-4</v>
      </c>
      <c r="K23" t="str">
        <f>SUM('Stats G2'!N24)&amp;"-"&amp;SUM('Stats G2'!K24)</f>
        <v>0-0</v>
      </c>
      <c r="L23" t="str">
        <f>SUM('Stats G2'!T24)&amp;"-"&amp;SUM('Stats G2'!Q24)</f>
        <v>0-2</v>
      </c>
    </row>
    <row r="24" spans="6:12" x14ac:dyDescent="0.2">
      <c r="F24" t="str">
        <f>'Stats G2'!A25</f>
        <v>Brendan</v>
      </c>
      <c r="G24" t="str">
        <f>'Stats G2'!B25</f>
        <v>Bailey</v>
      </c>
      <c r="H24">
        <f>'Stats G2'!C25</f>
        <v>1</v>
      </c>
      <c r="I24">
        <f>'Stats G2'!H25*2+'Stats G2'!N25*3+'Stats G2'!T25</f>
        <v>18</v>
      </c>
      <c r="J24" t="str">
        <f>SUM('Stats G2'!H25+'Stats G2'!N25)&amp;"-"&amp;SUM('Stats G2'!E25+'Stats G2'!K25)</f>
        <v>8-16</v>
      </c>
      <c r="K24" t="str">
        <f>SUM('Stats G2'!N25)&amp;"-"&amp;SUM('Stats G2'!K25)</f>
        <v>2-7</v>
      </c>
      <c r="L24" t="str">
        <f>SUM('Stats G2'!T25)&amp;"-"&amp;SUM('Stats G2'!Q25)</f>
        <v>0-0</v>
      </c>
    </row>
    <row r="25" spans="6:12" x14ac:dyDescent="0.2">
      <c r="F25" t="str">
        <f>'Stats G2'!A26</f>
        <v>Zahir</v>
      </c>
      <c r="G25" t="str">
        <f>'Stats G2'!B26</f>
        <v>Porter</v>
      </c>
      <c r="H25">
        <f>'Stats G2'!C26</f>
        <v>5</v>
      </c>
      <c r="I25">
        <f>'Stats G2'!H26*2+'Stats G2'!N26*3+'Stats G2'!T26</f>
        <v>15</v>
      </c>
      <c r="J25" t="str">
        <f>SUM('Stats G2'!H26+'Stats G2'!N26)&amp;"-"&amp;SUM('Stats G2'!E26+'Stats G2'!K26)</f>
        <v>6-13</v>
      </c>
      <c r="K25" t="str">
        <f>SUM('Stats G2'!N26)&amp;"-"&amp;SUM('Stats G2'!K26)</f>
        <v>1-6</v>
      </c>
      <c r="L25" t="str">
        <f>SUM('Stats G2'!T26)&amp;"-"&amp;SUM('Stats G2'!Q26)</f>
        <v>2-3</v>
      </c>
    </row>
    <row r="26" spans="6:12" x14ac:dyDescent="0.2">
      <c r="F26" t="str">
        <f>'Stats G2'!A27</f>
        <v>Eli</v>
      </c>
      <c r="G26" t="str">
        <f>'Stats G2'!B27</f>
        <v>Davy</v>
      </c>
      <c r="H26">
        <f>'Stats G2'!C27</f>
        <v>2</v>
      </c>
      <c r="I26">
        <f>'Stats G2'!H27*2+'Stats G2'!N27*3+'Stats G2'!T27</f>
        <v>8</v>
      </c>
      <c r="J26" t="str">
        <f>SUM('Stats G2'!H27+'Stats G2'!N27)&amp;"-"&amp;SUM('Stats G2'!E27+'Stats G2'!K27)</f>
        <v>4-12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Anthony</v>
      </c>
      <c r="G27" t="str">
        <f>'Stats G2'!B28</f>
        <v>Cox</v>
      </c>
      <c r="H27">
        <f>'Stats G2'!C28</f>
        <v>11</v>
      </c>
      <c r="I27">
        <f>'Stats G2'!H28*2+'Stats G2'!N28*3+'Stats G2'!T28</f>
        <v>10</v>
      </c>
      <c r="J27" t="str">
        <f>SUM('Stats G2'!H28+'Stats G2'!N28)&amp;"-"&amp;SUM('Stats G2'!E28+'Stats G2'!K28)</f>
        <v>4-6</v>
      </c>
      <c r="K27" t="str">
        <f>SUM('Stats G2'!N28)&amp;"-"&amp;SUM('Stats G2'!K28)</f>
        <v>2-3</v>
      </c>
      <c r="L27" t="str">
        <f>SUM('Stats G2'!T28)&amp;"-"&amp;SUM('Stats G2'!Q28)</f>
        <v>0-0</v>
      </c>
    </row>
    <row r="28" spans="6:12" x14ac:dyDescent="0.2">
      <c r="F28" t="str">
        <f>'Stats G2'!A29</f>
        <v>Xavier</v>
      </c>
      <c r="G28" t="str">
        <f>'Stats G2'!B29</f>
        <v>Sneed</v>
      </c>
      <c r="H28">
        <f>'Stats G2'!C29</f>
        <v>20</v>
      </c>
      <c r="I28">
        <f>'Stats G2'!H29*2+'Stats G2'!N29*3+'Stats G2'!T29</f>
        <v>10</v>
      </c>
      <c r="J28" t="str">
        <f>SUM('Stats G2'!H29+'Stats G2'!N29)&amp;"-"&amp;SUM('Stats G2'!E29+'Stats G2'!K29)</f>
        <v>3-12</v>
      </c>
      <c r="K28" t="str">
        <f>SUM('Stats G2'!N29)&amp;"-"&amp;SUM('Stats G2'!K29)</f>
        <v>2-9</v>
      </c>
      <c r="L28" t="str">
        <f>SUM('Stats G2'!T29)&amp;"-"&amp;SUM('Stats G2'!Q29)</f>
        <v>2-5</v>
      </c>
    </row>
    <row r="29" spans="6:12" x14ac:dyDescent="0.2">
      <c r="F29" t="str">
        <f>'Stats G2'!A30</f>
        <v>Rayjon</v>
      </c>
      <c r="G29" t="str">
        <f>'Stats G2'!B30</f>
        <v>Tucker</v>
      </c>
      <c r="H29">
        <f>'Stats G2'!C30</f>
        <v>59</v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Branden</v>
      </c>
      <c r="G30" t="str">
        <f>'Stats G2'!B31</f>
        <v>Carlon</v>
      </c>
      <c r="H30">
        <f>'Stats G2'!C31</f>
        <v>35</v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Quae</v>
      </c>
      <c r="G31" t="str">
        <f>'Stats G2'!B32</f>
        <v>Furlow</v>
      </c>
      <c r="H31">
        <f>'Stats G2'!C32</f>
        <v>3</v>
      </c>
      <c r="I31">
        <f>'Stats G2'!H32*2+'Stats G2'!N32*3+'Stats G2'!T32</f>
        <v>6</v>
      </c>
      <c r="J31" t="str">
        <f>SUM('Stats G2'!H32+'Stats G2'!N32)&amp;"-"&amp;SUM('Stats G2'!E32+'Stats G2'!K32)</f>
        <v>3-7</v>
      </c>
      <c r="K31" t="str">
        <f>SUM('Stats G2'!N32)&amp;"-"&amp;SUM('Stats G2'!K32)</f>
        <v>0-2</v>
      </c>
      <c r="L31" t="str">
        <f>SUM('Stats G2'!T32)&amp;"-"&amp;SUM('Stats G2'!Q32)</f>
        <v>0-2</v>
      </c>
    </row>
    <row r="32" spans="6:12" x14ac:dyDescent="0.2">
      <c r="F32" t="str">
        <f>'Stats G2'!A33</f>
        <v>Ibe</v>
      </c>
      <c r="G32" t="str">
        <f>'Stats G2'!B33</f>
        <v>Gerlach</v>
      </c>
      <c r="H32">
        <f>'Stats G2'!C33</f>
        <v>20</v>
      </c>
      <c r="I32">
        <f>'Stats G2'!H33*2+'Stats G2'!N33*3+'Stats G2'!T33</f>
        <v>11</v>
      </c>
      <c r="J32" t="str">
        <f>SUM('Stats G2'!H33+'Stats G2'!N33)&amp;"-"&amp;SUM('Stats G2'!E33+'Stats G2'!K33)</f>
        <v>4-5</v>
      </c>
      <c r="K32" t="str">
        <f>SUM('Stats G2'!N33)&amp;"-"&amp;SUM('Stats G2'!K33)</f>
        <v>3-3</v>
      </c>
      <c r="L32" t="str">
        <f>SUM('Stats G2'!T33)&amp;"-"&amp;SUM('Stats G2'!Q33)</f>
        <v>0-0</v>
      </c>
    </row>
    <row r="33" spans="6:12" x14ac:dyDescent="0.2">
      <c r="F33" t="str">
        <f>'Stats G2'!A34</f>
        <v>Justin</v>
      </c>
      <c r="G33" t="str">
        <f>'Stats G2'!B34</f>
        <v>Harmon</v>
      </c>
      <c r="H33">
        <f>'Stats G2'!C34</f>
        <v>24</v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">
      <c r="F34" t="str">
        <f>'Stats G2'!A35</f>
        <v>KJ</v>
      </c>
      <c r="G34" t="str">
        <f>'Stats G2'!B35</f>
        <v>Cunningham</v>
      </c>
      <c r="H34">
        <f>'Stats G2'!C35</f>
        <v>0</v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>
        <f>'Stats G2'!C36</f>
        <v>1</v>
      </c>
      <c r="I35">
        <f>'Stats G2'!H36*2+'Stats G2'!N36*3+'Stats G2'!T36</f>
        <v>13</v>
      </c>
      <c r="J35" t="str">
        <f>SUM('Stats G2'!H36+'Stats G2'!N36)&amp;"-"&amp;SUM('Stats G2'!E36+'Stats G2'!K36)</f>
        <v>5-8</v>
      </c>
      <c r="K35" t="str">
        <f>SUM('Stats G2'!N36)&amp;"-"&amp;SUM('Stats G2'!K36)</f>
        <v>2-5</v>
      </c>
      <c r="L35" t="str">
        <f>SUM('Stats G2'!T36)&amp;"-"&amp;SUM('Stats G2'!Q36)</f>
        <v>1-2</v>
      </c>
    </row>
    <row r="36" spans="6:12" x14ac:dyDescent="0.2">
      <c r="F36" t="str">
        <f>'Stats G2'!A37</f>
        <v>?</v>
      </c>
      <c r="G36" t="str">
        <f>'Stats G2'!B37</f>
        <v>?</v>
      </c>
      <c r="H36">
        <f>'Stats G2'!C37</f>
        <v>0</v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104</v>
      </c>
      <c r="J37" t="str">
        <f>SUM('Stats G2'!H38+'Stats G2'!N38)&amp;"-"&amp;SUM('Stats G2'!E38+'Stats G2'!K38)</f>
        <v>43-93</v>
      </c>
      <c r="K37" t="str">
        <f>SUM('Stats G2'!N38)&amp;"-"&amp;SUM('Stats G2'!K38)</f>
        <v>13-39</v>
      </c>
      <c r="L37" t="str">
        <f>SUM('Stats G2'!T38)&amp;"-"&amp;SUM('Stats G2'!Q38)</f>
        <v>5-14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Normal="90" workbookViewId="0">
      <selection activeCell="W4" sqref="W4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152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</row>
    <row r="5" spans="1:24" s="6" customFormat="1" x14ac:dyDescent="0.2">
      <c r="A5" s="5" t="str">
        <f>_xlfn.IFNA(VLOOKUP($B$3&amp;ROWS($A$5:A5),Rosters!$B$2:$C$163,2,0),"?")</f>
        <v>Sean</v>
      </c>
      <c r="B5" s="5" t="str">
        <f>_xlfn.IFNA(VLOOKUP($B$3&amp;ROWS($B$5:B5),Rosters!$B$2:$D$163,3,0),"?")</f>
        <v>Harris</v>
      </c>
      <c r="C5" s="5">
        <f>_xlfn.IFNA(VLOOKUP($B$3&amp;ROWS($C$5:C5),Rosters!$B$2:$E$163,4,0),"")</f>
        <v>60</v>
      </c>
      <c r="D5" s="5"/>
      <c r="E5" s="5">
        <v>6</v>
      </c>
      <c r="F5" s="5"/>
      <c r="G5" s="5"/>
      <c r="H5" s="5">
        <v>4</v>
      </c>
      <c r="I5" s="5"/>
      <c r="J5" s="5"/>
      <c r="K5" s="5">
        <v>3</v>
      </c>
      <c r="L5" s="5"/>
      <c r="M5" s="5"/>
      <c r="N5" s="5">
        <v>0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Parker</v>
      </c>
      <c r="B6" s="6" t="str">
        <f>_xlfn.IFNA(VLOOKUP($B$3&amp;ROWS($B$5:B6),Rosters!$B$2:$D$163,3,0),"?")</f>
        <v>Van Dyke</v>
      </c>
      <c r="C6" s="6">
        <f>_xlfn.IFNA(VLOOKUP($B$3&amp;ROWS($C$5:C6),Rosters!$B$2:$E$163,4,0),"")</f>
        <v>7</v>
      </c>
      <c r="E6" s="6">
        <v>16</v>
      </c>
      <c r="H6" s="6">
        <v>11</v>
      </c>
      <c r="K6" s="6">
        <v>13</v>
      </c>
      <c r="N6" s="6">
        <v>7</v>
      </c>
      <c r="Q6" s="6">
        <v>2</v>
      </c>
      <c r="T6" s="6">
        <v>1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Danny</v>
      </c>
      <c r="B7" s="5" t="str">
        <f>_xlfn.IFNA(VLOOKUP($B$3&amp;ROWS($B$5:B7),Rosters!$B$2:$D$163,3,0),"?")</f>
        <v>Berger</v>
      </c>
      <c r="C7" s="5">
        <f>_xlfn.IFNA(VLOOKUP($B$3&amp;ROWS($C$5:C7),Rosters!$B$2:$E$163,4,0),"")</f>
        <v>12</v>
      </c>
      <c r="D7" s="5"/>
      <c r="E7" s="5">
        <v>3</v>
      </c>
      <c r="F7" s="5"/>
      <c r="G7" s="5"/>
      <c r="H7" s="5">
        <v>2</v>
      </c>
      <c r="I7" s="5"/>
      <c r="J7" s="5"/>
      <c r="K7" s="5">
        <v>5</v>
      </c>
      <c r="L7" s="5"/>
      <c r="M7" s="5"/>
      <c r="N7" s="5">
        <v>3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Zac</v>
      </c>
      <c r="B8" s="6" t="str">
        <f>_xlfn.IFNA(VLOOKUP($B$3&amp;ROWS($B$5:B8),Rosters!$B$2:$D$163,3,0),"?")</f>
        <v>Seljaas</v>
      </c>
      <c r="C8" s="6">
        <f>_xlfn.IFNA(VLOOKUP($B$3&amp;ROWS($C$5:C8),Rosters!$B$2:$E$163,4,0),"")</f>
        <v>99</v>
      </c>
      <c r="E8" s="6">
        <v>8</v>
      </c>
      <c r="H8" s="6">
        <v>7</v>
      </c>
      <c r="K8" s="6">
        <v>12</v>
      </c>
      <c r="N8" s="6">
        <v>3</v>
      </c>
      <c r="Q8" s="6">
        <v>6</v>
      </c>
      <c r="T8" s="6">
        <v>5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Peter</v>
      </c>
      <c r="B9" s="5" t="str">
        <f>_xlfn.IFNA(VLOOKUP($B$3&amp;ROWS($B$5:B9),Rosters!$B$2:$D$163,3,0),"?")</f>
        <v>Brown</v>
      </c>
      <c r="C9" s="5">
        <f>_xlfn.IFNA(VLOOKUP($B$3&amp;ROWS($C$5:C9),Rosters!$B$2:$E$163,4,0),"")</f>
        <v>33</v>
      </c>
      <c r="D9" s="5"/>
      <c r="E9" s="5">
        <v>5</v>
      </c>
      <c r="F9" s="5"/>
      <c r="G9" s="5"/>
      <c r="H9" s="5">
        <v>3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1</v>
      </c>
      <c r="R9" s="5"/>
      <c r="S9" s="5"/>
      <c r="T9" s="5">
        <v>1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Zavon</v>
      </c>
      <c r="B10" s="6" t="str">
        <f>_xlfn.IFNA(VLOOKUP($B$3&amp;ROWS($B$5:B10),Rosters!$B$2:$D$163,3,0),"?")</f>
        <v>Jackson</v>
      </c>
      <c r="C10" s="6">
        <f>_xlfn.IFNA(VLOOKUP($B$3&amp;ROWS($C$5:C10),Rosters!$B$2:$E$163,4,0),"")</f>
        <v>24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Spencer</v>
      </c>
      <c r="B11" s="5" t="str">
        <f>_xlfn.IFNA(VLOOKUP($B$3&amp;ROWS($B$5:B11),Rosters!$B$2:$D$163,3,0),"?")</f>
        <v>Butterfield</v>
      </c>
      <c r="C11" s="5">
        <f>_xlfn.IFNA(VLOOKUP($B$3&amp;ROWS($C$5:C11),Rosters!$B$2:$E$163,4,0),"")</f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Rylan</v>
      </c>
      <c r="B12" s="6" t="str">
        <f>_xlfn.IFNA(VLOOKUP($B$3&amp;ROWS($B$5:B12),Rosters!$B$2:$D$163,3,0),"?")</f>
        <v>Jones</v>
      </c>
      <c r="C12" s="6">
        <f>_xlfn.IFNA(VLOOKUP($B$3&amp;ROWS($C$5:C12),Rosters!$B$2:$E$163,4,0),"")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Brandon</v>
      </c>
      <c r="B13" s="5" t="str">
        <f>_xlfn.IFNA(VLOOKUP($B$3&amp;ROWS($B$5:B13),Rosters!$B$2:$D$163,3,0),"?")</f>
        <v>Sly</v>
      </c>
      <c r="C13" s="5">
        <f>_xlfn.IFNA(VLOOKUP($B$3&amp;ROWS($C$5:C13),Rosters!$B$2:$E$163,4,0),"")</f>
        <v>2</v>
      </c>
      <c r="D13" s="5"/>
      <c r="E13" s="5">
        <v>15</v>
      </c>
      <c r="F13" s="5"/>
      <c r="G13" s="5"/>
      <c r="H13" s="5">
        <v>8</v>
      </c>
      <c r="I13" s="5"/>
      <c r="J13" s="5"/>
      <c r="K13" s="5">
        <v>5</v>
      </c>
      <c r="L13" s="5"/>
      <c r="M13" s="5"/>
      <c r="N13" s="5">
        <v>2</v>
      </c>
      <c r="O13" s="5"/>
      <c r="P13" s="5"/>
      <c r="Q13" s="5">
        <v>1</v>
      </c>
      <c r="R13" s="5"/>
      <c r="S13" s="5"/>
      <c r="T13" s="5">
        <v>1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Viko</v>
      </c>
      <c r="B14" s="6">
        <f>_xlfn.IFNA(VLOOKUP($B$3&amp;ROWS($B$5:B14),Rosters!$B$2:$D$163,3,0),"?")</f>
        <v>0</v>
      </c>
      <c r="C14" s="6">
        <f>_xlfn.IFNA(VLOOKUP($B$3&amp;ROWS($C$5:C14),Rosters!$B$2:$E$163,4,0),"")</f>
        <v>6</v>
      </c>
      <c r="E14" s="6">
        <v>1</v>
      </c>
      <c r="H14" s="6">
        <v>1</v>
      </c>
      <c r="K14" s="6">
        <v>7</v>
      </c>
      <c r="N14" s="6">
        <v>2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Steven</v>
      </c>
      <c r="B15" s="5" t="str">
        <f>_xlfn.IFNA(VLOOKUP($B$3&amp;ROWS($B$5:B15),Rosters!$B$2:$D$163,3,0),"?")</f>
        <v>Ashworth</v>
      </c>
      <c r="C15" s="5">
        <f>_xlfn.IFNA(VLOOKUP($B$3&amp;ROWS($C$5:C15),Rosters!$B$2:$E$163,4,0),"")</f>
        <v>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54</v>
      </c>
      <c r="H20" s="6">
        <f>SUM(H5:H19)</f>
        <v>36</v>
      </c>
      <c r="K20" s="6">
        <f>SUM(K5:K19)</f>
        <v>45</v>
      </c>
      <c r="N20" s="6">
        <f>SUM(N5:N19)</f>
        <v>17</v>
      </c>
      <c r="Q20" s="6">
        <f>SUM(Q5:Q19)</f>
        <v>12</v>
      </c>
      <c r="T20" s="6">
        <f>SUM(T5:T19)</f>
        <v>9</v>
      </c>
      <c r="W20" s="6">
        <f>SUM(W5:W19)</f>
        <v>0</v>
      </c>
    </row>
    <row r="21" spans="1:24" x14ac:dyDescent="0.2">
      <c r="A21" s="2" t="s">
        <v>15</v>
      </c>
      <c r="B21" s="1" t="s">
        <v>172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</row>
    <row r="23" spans="1:24" s="6" customFormat="1" x14ac:dyDescent="0.2">
      <c r="A23" s="5" t="str">
        <f>_xlfn.IFNA(VLOOKUP($B$21&amp;ROWS($A$23:A23),Rosters!$B$2:$C$163,2,0),"?")</f>
        <v>Tone</v>
      </c>
      <c r="B23" s="5" t="str">
        <f>_xlfn.IFNA(VLOOKUP($B$21&amp;ROWS($B$23:B23),Rosters!$B$2:$D$163,3,0),"?")</f>
        <v>Anderson</v>
      </c>
      <c r="C23" s="5">
        <f>_xlfn.IFNA(VLOOKUP($B$21&amp;ROWS($C$23:C23),Rosters!$B$2:$E$163,4,0),"")</f>
        <v>0</v>
      </c>
      <c r="D23" s="5"/>
      <c r="E23" s="5">
        <v>6</v>
      </c>
      <c r="F23" s="5"/>
      <c r="G23" s="5"/>
      <c r="H23" s="5">
        <v>2</v>
      </c>
      <c r="I23" s="5"/>
      <c r="J23" s="5"/>
      <c r="K23" s="5">
        <v>4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Ronald</v>
      </c>
      <c r="B24" t="str">
        <f>_xlfn.IFNA(VLOOKUP($B$21&amp;ROWS($B$23:B24),Rosters!$B$2:$D$163,3,0),"?")</f>
        <v>Leach</v>
      </c>
      <c r="C24">
        <f>_xlfn.IFNA(VLOOKUP($B$21&amp;ROWS($C$23:C24),Rosters!$B$2:$E$163,4,0),"")</f>
        <v>32</v>
      </c>
      <c r="D24" s="6"/>
      <c r="E24" s="6">
        <v>4</v>
      </c>
      <c r="F24" s="6"/>
      <c r="G24" s="6"/>
      <c r="H24" s="6">
        <v>3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2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Brendan</v>
      </c>
      <c r="B25" s="5" t="str">
        <f>_xlfn.IFNA(VLOOKUP($B$21&amp;ROWS($B$23:B25),Rosters!$B$2:$D$163,3,0),"?")</f>
        <v>Bailey</v>
      </c>
      <c r="C25" s="5">
        <f>_xlfn.IFNA(VLOOKUP($B$21&amp;ROWS($C$23:C25),Rosters!$B$2:$E$163,4,0),"")</f>
        <v>1</v>
      </c>
      <c r="D25" s="5"/>
      <c r="E25" s="5">
        <v>9</v>
      </c>
      <c r="F25" s="5"/>
      <c r="G25" s="5"/>
      <c r="H25" s="5">
        <v>6</v>
      </c>
      <c r="I25" s="5"/>
      <c r="J25" s="5"/>
      <c r="K25" s="5">
        <v>7</v>
      </c>
      <c r="L25" s="5"/>
      <c r="M25" s="5"/>
      <c r="N25" s="5">
        <v>2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Zahir</v>
      </c>
      <c r="B26" t="str">
        <f>_xlfn.IFNA(VLOOKUP($B$21&amp;ROWS($B$23:B26),Rosters!$B$2:$D$163,3,0),"?")</f>
        <v>Porter</v>
      </c>
      <c r="C26">
        <f>_xlfn.IFNA(VLOOKUP($B$21&amp;ROWS($C$23:C26),Rosters!$B$2:$E$163,4,0),"")</f>
        <v>5</v>
      </c>
      <c r="D26" s="6"/>
      <c r="E26" s="6">
        <v>7</v>
      </c>
      <c r="F26" s="6"/>
      <c r="G26" s="6"/>
      <c r="H26" s="6">
        <v>5</v>
      </c>
      <c r="I26" s="6"/>
      <c r="J26" s="6"/>
      <c r="K26" s="6">
        <v>6</v>
      </c>
      <c r="L26" s="6"/>
      <c r="M26" s="6"/>
      <c r="N26" s="6">
        <v>1</v>
      </c>
      <c r="O26" s="6"/>
      <c r="P26" s="6"/>
      <c r="Q26" s="6">
        <v>3</v>
      </c>
      <c r="R26" s="6"/>
      <c r="S26" s="6"/>
      <c r="T26" s="6">
        <v>2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Eli</v>
      </c>
      <c r="B27" s="5" t="str">
        <f>_xlfn.IFNA(VLOOKUP($B$21&amp;ROWS($B$23:B27),Rosters!$B$2:$D$163,3,0),"?")</f>
        <v>Davy</v>
      </c>
      <c r="C27" s="5">
        <f>_xlfn.IFNA(VLOOKUP($B$21&amp;ROWS($C$23:C27),Rosters!$B$2:$E$163,4,0),"")</f>
        <v>2</v>
      </c>
      <c r="D27" s="5"/>
      <c r="E27" s="5">
        <v>12</v>
      </c>
      <c r="F27" s="5"/>
      <c r="G27" s="5"/>
      <c r="H27" s="5">
        <v>4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Anthony</v>
      </c>
      <c r="B28" t="str">
        <f>_xlfn.IFNA(VLOOKUP($B$21&amp;ROWS($B$23:B28),Rosters!$B$2:$D$163,3,0),"?")</f>
        <v>Cox</v>
      </c>
      <c r="C28">
        <f>_xlfn.IFNA(VLOOKUP($B$21&amp;ROWS($C$23:C28),Rosters!$B$2:$E$163,4,0),"")</f>
        <v>11</v>
      </c>
      <c r="D28" s="6"/>
      <c r="E28" s="6">
        <v>3</v>
      </c>
      <c r="F28" s="6"/>
      <c r="G28" s="6"/>
      <c r="H28" s="6">
        <v>2</v>
      </c>
      <c r="I28" s="6"/>
      <c r="J28" s="6"/>
      <c r="K28" s="6">
        <v>3</v>
      </c>
      <c r="L28" s="6"/>
      <c r="M28" s="6"/>
      <c r="N28" s="6">
        <v>2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Xavier</v>
      </c>
      <c r="B29" s="5" t="str">
        <f>_xlfn.IFNA(VLOOKUP($B$21&amp;ROWS($B$23:B29),Rosters!$B$2:$D$163,3,0),"?")</f>
        <v>Sneed</v>
      </c>
      <c r="C29" s="5">
        <f>_xlfn.IFNA(VLOOKUP($B$21&amp;ROWS($C$23:C29),Rosters!$B$2:$E$163,4,0),"")</f>
        <v>20</v>
      </c>
      <c r="D29" s="5"/>
      <c r="E29" s="5">
        <v>3</v>
      </c>
      <c r="F29" s="5"/>
      <c r="G29" s="5"/>
      <c r="H29" s="5">
        <v>1</v>
      </c>
      <c r="I29" s="5"/>
      <c r="J29" s="5"/>
      <c r="K29" s="5">
        <v>9</v>
      </c>
      <c r="L29" s="5"/>
      <c r="M29" s="5"/>
      <c r="N29" s="5">
        <v>2</v>
      </c>
      <c r="O29" s="5"/>
      <c r="P29" s="5"/>
      <c r="Q29" s="5">
        <v>5</v>
      </c>
      <c r="R29" s="5"/>
      <c r="S29" s="5"/>
      <c r="T29" s="5">
        <v>2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Rayjon</v>
      </c>
      <c r="B30" t="str">
        <f>_xlfn.IFNA(VLOOKUP($B$21&amp;ROWS($B$23:B30),Rosters!$B$2:$D$163,3,0),"?")</f>
        <v>Tucker</v>
      </c>
      <c r="C30">
        <f>_xlfn.IFNA(VLOOKUP($B$21&amp;ROWS($C$23:C30),Rosters!$B$2:$E$163,4,0),"")</f>
        <v>59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Branden</v>
      </c>
      <c r="B31" s="5" t="str">
        <f>_xlfn.IFNA(VLOOKUP($B$21&amp;ROWS($B$23:B31),Rosters!$B$2:$D$163,3,0),"?")</f>
        <v>Carlon</v>
      </c>
      <c r="C31" s="5">
        <f>_xlfn.IFNA(VLOOKUP($B$21&amp;ROWS($C$23:C31),Rosters!$B$2:$E$163,4,0),"")</f>
        <v>35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Quae</v>
      </c>
      <c r="B32" t="str">
        <f>_xlfn.IFNA(VLOOKUP($B$21&amp;ROWS($B$23:B32),Rosters!$B$2:$D$163,3,0),"?")</f>
        <v>Furlow</v>
      </c>
      <c r="C32">
        <f>_xlfn.IFNA(VLOOKUP($B$21&amp;ROWS($C$23:C32),Rosters!$B$2:$E$163,4,0),"")</f>
        <v>3</v>
      </c>
      <c r="D32" s="6"/>
      <c r="E32" s="6">
        <v>5</v>
      </c>
      <c r="F32" s="6"/>
      <c r="G32" s="6"/>
      <c r="H32" s="6">
        <v>3</v>
      </c>
      <c r="I32" s="6"/>
      <c r="J32" s="6"/>
      <c r="K32" s="6">
        <v>2</v>
      </c>
      <c r="L32" s="6"/>
      <c r="M32" s="6"/>
      <c r="N32" s="6">
        <v>0</v>
      </c>
      <c r="O32" s="6"/>
      <c r="P32" s="6"/>
      <c r="Q32" s="6">
        <v>2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Ibe</v>
      </c>
      <c r="B33" s="5" t="str">
        <f>_xlfn.IFNA(VLOOKUP($B$21&amp;ROWS($B$23:B33),Rosters!$B$2:$D$163,3,0),"?")</f>
        <v>Gerlach</v>
      </c>
      <c r="C33" s="5">
        <f>_xlfn.IFNA(VLOOKUP($B$21&amp;ROWS($C$23:C33),Rosters!$B$2:$E$163,4,0),"")</f>
        <v>20</v>
      </c>
      <c r="D33" s="5"/>
      <c r="E33" s="5">
        <v>2</v>
      </c>
      <c r="F33" s="5"/>
      <c r="G33" s="5"/>
      <c r="H33" s="5">
        <v>1</v>
      </c>
      <c r="I33" s="5"/>
      <c r="J33" s="5"/>
      <c r="K33" s="5">
        <v>3</v>
      </c>
      <c r="L33" s="5"/>
      <c r="M33" s="5"/>
      <c r="N33" s="5">
        <v>3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Justin</v>
      </c>
      <c r="B34" t="str">
        <f>_xlfn.IFNA(VLOOKUP($B$21&amp;ROWS($B$23:B34),Rosters!$B$2:$D$163,3,0),"?")</f>
        <v>Harmon</v>
      </c>
      <c r="C34">
        <f>_xlfn.IFNA(VLOOKUP($B$21&amp;ROWS($C$23:C34),Rosters!$B$2:$E$163,4,0),"")</f>
        <v>24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KJ</v>
      </c>
      <c r="B35" s="5" t="str">
        <f>_xlfn.IFNA(VLOOKUP($B$21&amp;ROWS($B$23:B35),Rosters!$B$2:$D$163,3,0),"?")</f>
        <v>Cunningham</v>
      </c>
      <c r="C35" s="5">
        <f>_xlfn.IFNA(VLOOKUP($B$21&amp;ROWS($C$23:C35),Rosters!$B$2:$E$163,4,0),"")</f>
        <v>0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>
        <v>1</v>
      </c>
      <c r="D36" s="6"/>
      <c r="E36" s="6">
        <v>3</v>
      </c>
      <c r="F36" s="6"/>
      <c r="G36" s="6"/>
      <c r="H36" s="6">
        <v>3</v>
      </c>
      <c r="I36" s="6"/>
      <c r="J36" s="6"/>
      <c r="K36" s="6">
        <v>5</v>
      </c>
      <c r="L36" s="6"/>
      <c r="M36" s="6"/>
      <c r="N36" s="6">
        <v>2</v>
      </c>
      <c r="O36" s="6"/>
      <c r="P36" s="6"/>
      <c r="Q36" s="6">
        <v>2</v>
      </c>
      <c r="R36" s="6"/>
      <c r="S36" s="6"/>
      <c r="T36" s="6">
        <v>1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54</v>
      </c>
      <c r="H38">
        <f>SUM(H23:H37)</f>
        <v>30</v>
      </c>
      <c r="K38">
        <f>SUM(K23:K37)</f>
        <v>39</v>
      </c>
      <c r="N38">
        <f>SUM(N23:N37)</f>
        <v>13</v>
      </c>
      <c r="Q38">
        <f>SUM(Q23:Q37)</f>
        <v>14</v>
      </c>
      <c r="T38">
        <f>SUM(T23:T37)</f>
        <v>5</v>
      </c>
      <c r="W38">
        <f>SUM(W23:W37)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opLeftCell="A48" workbookViewId="0">
      <selection activeCell="G12" sqref="G12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>
        <v>0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17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2022-06-18T05:09:36Z</dcterms:modified>
</cp:coreProperties>
</file>