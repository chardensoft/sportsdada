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C8C4A4FE-CF6F-EA42-975F-08C75BDBB44D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gDHlaqi8RFXwNFhaeP9vDxKMRXg=="/>
    </ext>
  </extLst>
</workbook>
</file>

<file path=xl/calcChain.xml><?xml version="1.0" encoding="utf-8"?>
<calcChain xmlns="http://schemas.openxmlformats.org/spreadsheetml/2006/main">
  <c r="A23" i="2" l="1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C22" i="2"/>
  <c r="B22" i="2"/>
  <c r="A22" i="2"/>
  <c r="C21" i="2"/>
  <c r="B21" i="2"/>
  <c r="A21" i="2"/>
  <c r="C17" i="2"/>
  <c r="C16" i="2"/>
  <c r="A16" i="2"/>
  <c r="F16" i="1" s="1"/>
  <c r="B16" i="2"/>
  <c r="A17" i="2"/>
  <c r="B17" i="2"/>
  <c r="A6" i="2"/>
  <c r="B6" i="2"/>
  <c r="C6" i="2"/>
  <c r="A7" i="2"/>
  <c r="B7" i="2"/>
  <c r="G7" i="1" s="1"/>
  <c r="C7" i="2"/>
  <c r="A8" i="2"/>
  <c r="B8" i="2"/>
  <c r="C8" i="2"/>
  <c r="A9" i="2"/>
  <c r="B9" i="2"/>
  <c r="C9" i="2"/>
  <c r="A10" i="2"/>
  <c r="F10" i="1" s="1"/>
  <c r="B10" i="2"/>
  <c r="C10" i="2"/>
  <c r="A11" i="2"/>
  <c r="B11" i="2"/>
  <c r="C11" i="2"/>
  <c r="A12" i="2"/>
  <c r="B12" i="2"/>
  <c r="C12" i="2"/>
  <c r="H12" i="1" s="1"/>
  <c r="A13" i="2"/>
  <c r="B13" i="2"/>
  <c r="C13" i="2"/>
  <c r="C4" i="2"/>
  <c r="C3" i="2"/>
  <c r="B4" i="2"/>
  <c r="B3" i="2"/>
  <c r="A4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F23" i="1" s="1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G29" i="1" s="1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25" i="1"/>
  <c r="W18" i="2"/>
  <c r="T18" i="2"/>
  <c r="Q18" i="2"/>
  <c r="N18" i="2"/>
  <c r="K18" i="2"/>
  <c r="H18" i="2"/>
  <c r="E18" i="2"/>
  <c r="H4" i="1"/>
  <c r="P36" i="1"/>
  <c r="O36" i="1"/>
  <c r="N36" i="1"/>
  <c r="M36" i="1"/>
  <c r="L36" i="1"/>
  <c r="J36" i="1"/>
  <c r="K36" i="1" s="1"/>
  <c r="I36" i="1"/>
  <c r="P35" i="1"/>
  <c r="O35" i="1"/>
  <c r="N35" i="1"/>
  <c r="M35" i="1"/>
  <c r="L35" i="1"/>
  <c r="J35" i="1"/>
  <c r="I35" i="1"/>
  <c r="K35" i="1" s="1"/>
  <c r="P34" i="1"/>
  <c r="O34" i="1"/>
  <c r="N34" i="1"/>
  <c r="M34" i="1"/>
  <c r="L34" i="1"/>
  <c r="J34" i="1"/>
  <c r="K34" i="1" s="1"/>
  <c r="I34" i="1"/>
  <c r="P33" i="1"/>
  <c r="O33" i="1"/>
  <c r="N33" i="1"/>
  <c r="M33" i="1"/>
  <c r="L33" i="1"/>
  <c r="J33" i="1"/>
  <c r="K33" i="1" s="1"/>
  <c r="I33" i="1"/>
  <c r="P32" i="1"/>
  <c r="O32" i="1"/>
  <c r="N32" i="1"/>
  <c r="M32" i="1"/>
  <c r="L32" i="1"/>
  <c r="J32" i="1"/>
  <c r="K32" i="1" s="1"/>
  <c r="I32" i="1"/>
  <c r="P31" i="1"/>
  <c r="O31" i="1"/>
  <c r="N31" i="1"/>
  <c r="M31" i="1"/>
  <c r="L31" i="1"/>
  <c r="J31" i="1"/>
  <c r="K31" i="1" s="1"/>
  <c r="I31" i="1"/>
  <c r="P30" i="1"/>
  <c r="O30" i="1"/>
  <c r="N30" i="1"/>
  <c r="M30" i="1"/>
  <c r="L30" i="1"/>
  <c r="J30" i="1"/>
  <c r="K30" i="1" s="1"/>
  <c r="I30" i="1"/>
  <c r="P29" i="1"/>
  <c r="O29" i="1"/>
  <c r="N29" i="1"/>
  <c r="M29" i="1"/>
  <c r="L29" i="1"/>
  <c r="K29" i="1"/>
  <c r="J29" i="1"/>
  <c r="I29" i="1"/>
  <c r="P28" i="1"/>
  <c r="O28" i="1"/>
  <c r="N28" i="1"/>
  <c r="N37" i="1" s="1"/>
  <c r="M28" i="1"/>
  <c r="L28" i="1"/>
  <c r="J28" i="1"/>
  <c r="K28" i="1" s="1"/>
  <c r="I28" i="1"/>
  <c r="P27" i="1"/>
  <c r="O27" i="1"/>
  <c r="N27" i="1"/>
  <c r="M27" i="1"/>
  <c r="L27" i="1"/>
  <c r="J27" i="1"/>
  <c r="I27" i="1"/>
  <c r="K27" i="1" s="1"/>
  <c r="P26" i="1"/>
  <c r="O26" i="1"/>
  <c r="N26" i="1"/>
  <c r="M26" i="1"/>
  <c r="L26" i="1"/>
  <c r="K26" i="1"/>
  <c r="J26" i="1"/>
  <c r="I26" i="1"/>
  <c r="P25" i="1"/>
  <c r="O25" i="1"/>
  <c r="N25" i="1"/>
  <c r="M25" i="1"/>
  <c r="L25" i="1"/>
  <c r="J25" i="1"/>
  <c r="K25" i="1" s="1"/>
  <c r="I25" i="1"/>
  <c r="I37" i="1" s="1"/>
  <c r="D3" i="1" s="1"/>
  <c r="P24" i="1"/>
  <c r="O24" i="1"/>
  <c r="N24" i="1"/>
  <c r="M24" i="1"/>
  <c r="L24" i="1"/>
  <c r="J24" i="1"/>
  <c r="K24" i="1" s="1"/>
  <c r="I24" i="1"/>
  <c r="P23" i="1"/>
  <c r="O23" i="1"/>
  <c r="N23" i="1"/>
  <c r="M23" i="1"/>
  <c r="L23" i="1"/>
  <c r="J23" i="1"/>
  <c r="K23" i="1" s="1"/>
  <c r="I23" i="1"/>
  <c r="P22" i="1"/>
  <c r="P37" i="1" s="1"/>
  <c r="O22" i="1"/>
  <c r="O37" i="1" s="1"/>
  <c r="N22" i="1"/>
  <c r="M22" i="1"/>
  <c r="M37" i="1" s="1"/>
  <c r="L22" i="1"/>
  <c r="L37" i="1" s="1"/>
  <c r="J22" i="1"/>
  <c r="J37" i="1" s="1"/>
  <c r="I22" i="1"/>
  <c r="G20" i="1"/>
  <c r="P17" i="1"/>
  <c r="O17" i="1"/>
  <c r="N17" i="1"/>
  <c r="M17" i="1"/>
  <c r="L17" i="1"/>
  <c r="J17" i="1"/>
  <c r="I17" i="1"/>
  <c r="K17" i="1" s="1"/>
  <c r="P16" i="1"/>
  <c r="O16" i="1"/>
  <c r="N16" i="1"/>
  <c r="M16" i="1"/>
  <c r="L16" i="1"/>
  <c r="J16" i="1"/>
  <c r="K16" i="1" s="1"/>
  <c r="I16" i="1"/>
  <c r="P15" i="1"/>
  <c r="O15" i="1"/>
  <c r="N15" i="1"/>
  <c r="M15" i="1"/>
  <c r="L15" i="1"/>
  <c r="J15" i="1"/>
  <c r="K15" i="1" s="1"/>
  <c r="I15" i="1"/>
  <c r="H15" i="1"/>
  <c r="P14" i="1"/>
  <c r="O14" i="1"/>
  <c r="N14" i="1"/>
  <c r="M14" i="1"/>
  <c r="L14" i="1"/>
  <c r="J14" i="1"/>
  <c r="I14" i="1"/>
  <c r="K14" i="1" s="1"/>
  <c r="H14" i="1"/>
  <c r="P13" i="1"/>
  <c r="O13" i="1"/>
  <c r="N13" i="1"/>
  <c r="M13" i="1"/>
  <c r="L13" i="1"/>
  <c r="J13" i="1"/>
  <c r="K13" i="1" s="1"/>
  <c r="I13" i="1"/>
  <c r="P12" i="1"/>
  <c r="O12" i="1"/>
  <c r="N12" i="1"/>
  <c r="M12" i="1"/>
  <c r="L12" i="1"/>
  <c r="K12" i="1"/>
  <c r="J12" i="1"/>
  <c r="I12" i="1"/>
  <c r="P11" i="1"/>
  <c r="O11" i="1"/>
  <c r="N11" i="1"/>
  <c r="M11" i="1"/>
  <c r="L11" i="1"/>
  <c r="J11" i="1"/>
  <c r="K11" i="1" s="1"/>
  <c r="I11" i="1"/>
  <c r="P10" i="1"/>
  <c r="O10" i="1"/>
  <c r="N10" i="1"/>
  <c r="M10" i="1"/>
  <c r="L10" i="1"/>
  <c r="J10" i="1"/>
  <c r="I10" i="1"/>
  <c r="K10" i="1" s="1"/>
  <c r="P9" i="1"/>
  <c r="O9" i="1"/>
  <c r="N9" i="1"/>
  <c r="M9" i="1"/>
  <c r="L9" i="1"/>
  <c r="L18" i="1" s="1"/>
  <c r="J9" i="1"/>
  <c r="K9" i="1" s="1"/>
  <c r="I9" i="1"/>
  <c r="P8" i="1"/>
  <c r="O8" i="1"/>
  <c r="N8" i="1"/>
  <c r="M8" i="1"/>
  <c r="L8" i="1"/>
  <c r="J8" i="1"/>
  <c r="K8" i="1" s="1"/>
  <c r="I8" i="1"/>
  <c r="P7" i="1"/>
  <c r="O7" i="1"/>
  <c r="N7" i="1"/>
  <c r="M7" i="1"/>
  <c r="L7" i="1"/>
  <c r="J7" i="1"/>
  <c r="K7" i="1" s="1"/>
  <c r="I7" i="1"/>
  <c r="P6" i="1"/>
  <c r="O6" i="1"/>
  <c r="O18" i="1" s="1"/>
  <c r="N6" i="1"/>
  <c r="M6" i="1"/>
  <c r="L6" i="1"/>
  <c r="J6" i="1"/>
  <c r="K6" i="1" s="1"/>
  <c r="I6" i="1"/>
  <c r="P5" i="1"/>
  <c r="O5" i="1"/>
  <c r="N5" i="1"/>
  <c r="M5" i="1"/>
  <c r="L5" i="1"/>
  <c r="J5" i="1"/>
  <c r="K5" i="1" s="1"/>
  <c r="I5" i="1"/>
  <c r="P4" i="1"/>
  <c r="O4" i="1"/>
  <c r="N4" i="1"/>
  <c r="M4" i="1"/>
  <c r="L4" i="1"/>
  <c r="K4" i="1"/>
  <c r="J4" i="1"/>
  <c r="I4" i="1"/>
  <c r="P3" i="1"/>
  <c r="P18" i="1" s="1"/>
  <c r="O3" i="1"/>
  <c r="N3" i="1"/>
  <c r="N18" i="1" s="1"/>
  <c r="M3" i="1"/>
  <c r="M18" i="1" s="1"/>
  <c r="L3" i="1"/>
  <c r="J3" i="1"/>
  <c r="J18" i="1" s="1"/>
  <c r="I3" i="1"/>
  <c r="I18" i="1" s="1"/>
  <c r="B3" i="1" s="1"/>
  <c r="D2" i="1"/>
  <c r="G1" i="1"/>
  <c r="B2" i="1" s="1"/>
  <c r="G13" i="1" l="1"/>
  <c r="F36" i="1"/>
  <c r="F31" i="1"/>
  <c r="H33" i="1"/>
  <c r="F5" i="1"/>
  <c r="H7" i="1"/>
  <c r="G10" i="1"/>
  <c r="F13" i="1"/>
  <c r="G16" i="1"/>
  <c r="G23" i="1"/>
  <c r="F26" i="1"/>
  <c r="H28" i="1"/>
  <c r="G31" i="1"/>
  <c r="F34" i="1"/>
  <c r="H36" i="1"/>
  <c r="G5" i="1"/>
  <c r="G34" i="1"/>
  <c r="F24" i="1"/>
  <c r="G36" i="1"/>
  <c r="H10" i="1"/>
  <c r="G26" i="1"/>
  <c r="F11" i="1"/>
  <c r="H26" i="1"/>
  <c r="G32" i="1"/>
  <c r="F8" i="1"/>
  <c r="H23" i="1"/>
  <c r="H31" i="1"/>
  <c r="K22" i="1"/>
  <c r="K37" i="1" s="1"/>
  <c r="F6" i="1"/>
  <c r="F14" i="1"/>
  <c r="F27" i="1"/>
  <c r="K3" i="1"/>
  <c r="K18" i="1" s="1"/>
  <c r="H3" i="1"/>
  <c r="G6" i="1"/>
  <c r="F9" i="1"/>
  <c r="H11" i="1"/>
  <c r="G14" i="1"/>
  <c r="H17" i="1"/>
  <c r="F22" i="1"/>
  <c r="H24" i="1"/>
  <c r="G27" i="1"/>
  <c r="F30" i="1"/>
  <c r="H32" i="1"/>
  <c r="G35" i="1"/>
  <c r="G28" i="1"/>
  <c r="H16" i="1"/>
  <c r="F29" i="1"/>
  <c r="H5" i="1"/>
  <c r="H13" i="1"/>
  <c r="F32" i="1"/>
  <c r="H8" i="1"/>
  <c r="G17" i="1"/>
  <c r="H29" i="1"/>
  <c r="F4" i="1"/>
  <c r="H6" i="1"/>
  <c r="G9" i="1"/>
  <c r="F12" i="1"/>
  <c r="F15" i="1"/>
  <c r="G22" i="1"/>
  <c r="F25" i="1"/>
  <c r="H27" i="1"/>
  <c r="G30" i="1"/>
  <c r="F33" i="1"/>
  <c r="H35" i="1"/>
  <c r="F3" i="1"/>
  <c r="G8" i="1"/>
  <c r="F17" i="1"/>
  <c r="H34" i="1"/>
  <c r="G3" i="1"/>
  <c r="G11" i="1"/>
  <c r="G24" i="1"/>
  <c r="F35" i="1"/>
  <c r="G4" i="1"/>
  <c r="F7" i="1"/>
  <c r="H9" i="1"/>
  <c r="G12" i="1"/>
  <c r="G15" i="1"/>
  <c r="H22" i="1"/>
  <c r="G25" i="1"/>
  <c r="F28" i="1"/>
  <c r="H30" i="1"/>
  <c r="G33" i="1"/>
</calcChain>
</file>

<file path=xl/sharedStrings.xml><?xml version="1.0" encoding="utf-8"?>
<sst xmlns="http://schemas.openxmlformats.org/spreadsheetml/2006/main" count="196" uniqueCount="110">
  <si>
    <t>GAME 2</t>
  </si>
  <si>
    <t>Home Team (Gray)</t>
  </si>
  <si>
    <t>First</t>
  </si>
  <si>
    <t>Last</t>
  </si>
  <si>
    <t>#</t>
  </si>
  <si>
    <t>OREB</t>
  </si>
  <si>
    <t>DREB</t>
  </si>
  <si>
    <t>TREB</t>
  </si>
  <si>
    <t>AST</t>
  </si>
  <si>
    <t>BLK</t>
  </si>
  <si>
    <t>STL</t>
  </si>
  <si>
    <t>TOV</t>
  </si>
  <si>
    <t>PF</t>
  </si>
  <si>
    <t>-</t>
  </si>
  <si>
    <t>Total:</t>
  </si>
  <si>
    <t>Away Team (Black)</t>
  </si>
  <si>
    <t>Gray Team (Home)</t>
  </si>
  <si>
    <t>Team Drisdom</t>
  </si>
  <si>
    <t>Black Team (Away)</t>
  </si>
  <si>
    <t>Team Bullock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</si>
  <si>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</si>
  <si>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</si>
  <si>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</si>
  <si>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</si>
  <si>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</si>
  <si>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</si>
  <si>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</si>
  <si>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</si>
  <si>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</si>
  <si>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</si>
  <si>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</si>
  <si>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</si>
  <si>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</si>
  <si>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</si>
  <si>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</si>
  <si>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</si>
  <si>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</si>
  <si>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</si>
  <si>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</si>
  <si>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</si>
  <si>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</si>
  <si>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</si>
  <si>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</si>
  <si>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</si>
  <si>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</si>
  <si>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</si>
  <si>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</si>
  <si>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</si>
  <si>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</si>
  <si>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</si>
  <si>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</si>
  <si>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</si>
  <si>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</si>
  <si>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</si>
  <si>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</si>
  <si>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</si>
  <si>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</si>
  <si>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</si>
  <si>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</si>
  <si>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</si>
  <si>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</si>
  <si>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</si>
  <si>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</si>
  <si>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</si>
  <si>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</si>
  <si>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</si>
  <si>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</si>
  <si>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</si>
  <si>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</si>
  <si>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</si>
  <si>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</si>
  <si>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</si>
  <si>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</si>
  <si>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</si>
  <si>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</si>
  <si>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</si>
  <si>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</si>
  <si>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</si>
  <si>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</si>
  <si>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</si>
  <si>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</si>
  <si>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</si>
  <si>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</si>
  <si>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</si>
  <si>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</si>
  <si>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</si>
  <si>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</si>
  <si>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</si>
  <si>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</si>
  <si>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</si>
  <si>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</si>
  <si>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</si>
  <si>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</si>
  <si>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</si>
  <si>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</si>
  <si>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</si>
  <si>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</si>
  <si>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</si>
  <si>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</si>
  <si>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</si>
  <si>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</si>
  <si>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</si>
  <si>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</si>
  <si>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</si>
  <si>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</si>
  <si>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</si>
  <si>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</si>
  <si>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</si>
  <si>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Brown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</si>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</sst>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0" borderId="0" xfId="0" applyFont="1"/>
    <xf numFmtId="0" fontId="3" fillId="0" borderId="0" xfId="0" applyFont="1" applyAlignment="1"/>
    <xf numFmtId="0" fontId="3" fillId="2" borderId="1" xfId="0" applyFont="1" applyFill="1" applyBorder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457200</xdr:colOff>
      <xdr:row>0</xdr:row>
      <xdr:rowOff>114300</xdr:rowOff>
    </xdr:from>
    <xdr:ext cx="6467475" cy="25146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117025" y="2527463"/>
          <a:ext cx="6457950" cy="250507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So this sheet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sz="20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1000"/>
  <sheetViews>
    <sheetView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6" ht="15.75" customHeight="1" x14ac:dyDescent="0.2">
      <c r="B1" s="1" t="s">
        <v>0</v>
      </c>
      <c r="F1" s="2" t="s">
        <v>1</v>
      </c>
      <c r="G1" s="2" t="str">
        <f>'Stats G2'!B1</f>
        <v>Team Drisdom</v>
      </c>
    </row>
    <row r="2" spans="2:16" ht="15.75" customHeight="1" x14ac:dyDescent="0.2">
      <c r="B2" s="2" t="str">
        <f>G1</f>
        <v>Team Drisdom</v>
      </c>
      <c r="D2" s="2" t="str">
        <f>G20</f>
        <v>Team Bullock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</row>
    <row r="3" spans="2:16" ht="15.75" customHeight="1" x14ac:dyDescent="0.2">
      <c r="B3" s="2">
        <f>I18</f>
        <v>11</v>
      </c>
      <c r="C3" s="3" t="s">
        <v>13</v>
      </c>
      <c r="D3" s="4">
        <f>I37</f>
        <v>15</v>
      </c>
      <c r="F3" s="2" t="str">
        <f>'Stats G2'!A3</f>
        <v>Corbin</v>
      </c>
      <c r="G3" s="2" t="str">
        <f>'Stats G2'!B3</f>
        <v>Green</v>
      </c>
      <c r="H3" s="2">
        <f>'Stats G2'!C3</f>
        <v>7</v>
      </c>
      <c r="I3" s="2">
        <f>'Stats G2'!E3</f>
        <v>0</v>
      </c>
      <c r="J3" s="2">
        <f>'Stats G2'!H3</f>
        <v>0</v>
      </c>
      <c r="K3" s="2">
        <f t="shared" ref="K3:K17" si="0">J3+I3</f>
        <v>0</v>
      </c>
      <c r="L3" s="2">
        <f>'Stats G2'!K3</f>
        <v>0</v>
      </c>
      <c r="M3" s="2">
        <f>'Stats G2'!N3</f>
        <v>0</v>
      </c>
      <c r="N3" s="2">
        <f>'Stats G2'!Q3</f>
        <v>0</v>
      </c>
      <c r="O3" s="2">
        <f>'Stats G2'!T3</f>
        <v>0</v>
      </c>
      <c r="P3" s="2">
        <f>'Stats G2'!W3</f>
        <v>0</v>
      </c>
    </row>
    <row r="4" spans="2:16" ht="15.75" customHeight="1" x14ac:dyDescent="0.2">
      <c r="F4" s="2" t="str">
        <f>'Stats G2'!A4</f>
        <v>Aubrey</v>
      </c>
      <c r="G4" s="2" t="str">
        <f>'Stats G2'!B4</f>
        <v>Hodges</v>
      </c>
      <c r="H4" s="2">
        <f>'Stats G2'!C4</f>
        <v>5</v>
      </c>
      <c r="I4" s="2">
        <f>'Stats G2'!E4</f>
        <v>1</v>
      </c>
      <c r="J4" s="2">
        <f>'Stats G2'!H4</f>
        <v>5</v>
      </c>
      <c r="K4" s="2">
        <f t="shared" si="0"/>
        <v>6</v>
      </c>
      <c r="L4" s="2">
        <f>'Stats G2'!K4</f>
        <v>0</v>
      </c>
      <c r="M4" s="2">
        <f>'Stats G2'!N4</f>
        <v>0</v>
      </c>
      <c r="N4" s="2">
        <f>'Stats G2'!Q4</f>
        <v>0</v>
      </c>
      <c r="O4" s="2">
        <f>'Stats G2'!T4</f>
        <v>0</v>
      </c>
      <c r="P4" s="2">
        <f>'Stats G2'!W4</f>
        <v>0</v>
      </c>
    </row>
    <row r="5" spans="2:16" ht="15.75" customHeight="1" x14ac:dyDescent="0.2">
      <c r="F5" s="2" t="str">
        <f>'Stats G2'!A5</f>
        <v>?</v>
      </c>
      <c r="G5" s="2" t="str">
        <f>'Stats G2'!B5</f>
        <v>?</v>
      </c>
      <c r="H5" s="2">
        <f>'Stats G2'!C5</f>
        <v>0</v>
      </c>
      <c r="I5" s="2">
        <f>'Stats G2'!E5</f>
        <v>0</v>
      </c>
      <c r="J5" s="2">
        <f>'Stats G2'!H5</f>
        <v>0</v>
      </c>
      <c r="K5" s="2">
        <f t="shared" si="0"/>
        <v>0</v>
      </c>
      <c r="L5" s="2">
        <f>'Stats G2'!K5</f>
        <v>0</v>
      </c>
      <c r="M5" s="2">
        <f>'Stats G2'!N5</f>
        <v>0</v>
      </c>
      <c r="N5" s="2">
        <f>'Stats G2'!Q5</f>
        <v>0</v>
      </c>
      <c r="O5" s="2">
        <f>'Stats G2'!T5</f>
        <v>0</v>
      </c>
      <c r="P5" s="2">
        <f>'Stats G2'!W5</f>
        <v>0</v>
      </c>
    </row>
    <row r="6" spans="2:16" ht="15.75" customHeight="1" x14ac:dyDescent="0.2">
      <c r="F6" s="2" t="str">
        <f>'Stats G2'!A6</f>
        <v>Tim</v>
      </c>
      <c r="G6" s="2" t="str">
        <f>'Stats G2'!B6</f>
        <v>Drisdom</v>
      </c>
      <c r="H6" s="2">
        <f>'Stats G2'!C6</f>
        <v>11</v>
      </c>
      <c r="I6" s="2">
        <f>'Stats G2'!E6</f>
        <v>1</v>
      </c>
      <c r="J6" s="2">
        <f>'Stats G2'!H6</f>
        <v>2</v>
      </c>
      <c r="K6" s="2">
        <f t="shared" si="0"/>
        <v>3</v>
      </c>
      <c r="L6" s="2">
        <f>'Stats G2'!K6</f>
        <v>0</v>
      </c>
      <c r="M6" s="2">
        <f>'Stats G2'!N6</f>
        <v>0</v>
      </c>
      <c r="N6" s="2">
        <f>'Stats G2'!Q6</f>
        <v>0</v>
      </c>
      <c r="O6" s="2">
        <f>'Stats G2'!T6</f>
        <v>0</v>
      </c>
      <c r="P6" s="2">
        <f>'Stats G2'!W6</f>
        <v>0</v>
      </c>
    </row>
    <row r="7" spans="2:16" ht="15.75" customHeight="1" x14ac:dyDescent="0.2">
      <c r="F7" s="2" t="str">
        <f>'Stats G2'!A7</f>
        <v>Terrence</v>
      </c>
      <c r="G7" s="2" t="str">
        <f>'Stats G2'!B7</f>
        <v>Drisdom</v>
      </c>
      <c r="H7" s="2">
        <f>'Stats G2'!C7</f>
        <v>2</v>
      </c>
      <c r="I7" s="2">
        <f>'Stats G2'!E7</f>
        <v>0</v>
      </c>
      <c r="J7" s="2">
        <f>'Stats G2'!H7</f>
        <v>0</v>
      </c>
      <c r="K7" s="2">
        <f t="shared" si="0"/>
        <v>0</v>
      </c>
      <c r="L7" s="2">
        <f>'Stats G2'!K7</f>
        <v>0</v>
      </c>
      <c r="M7" s="2">
        <f>'Stats G2'!N7</f>
        <v>0</v>
      </c>
      <c r="N7" s="2">
        <f>'Stats G2'!Q7</f>
        <v>0</v>
      </c>
      <c r="O7" s="2">
        <f>'Stats G2'!T7</f>
        <v>0</v>
      </c>
      <c r="P7" s="2">
        <f>'Stats G2'!W7</f>
        <v>0</v>
      </c>
    </row>
    <row r="8" spans="2:16" ht="15.75" customHeight="1" x14ac:dyDescent="0.2">
      <c r="F8" s="2" t="str">
        <f>'Stats G2'!A8</f>
        <v>Jared</v>
      </c>
      <c r="G8" s="2" t="str">
        <f>'Stats G2'!B8</f>
        <v>Butler</v>
      </c>
      <c r="H8" s="2">
        <f>'Stats G2'!C8</f>
        <v>0</v>
      </c>
      <c r="I8" s="2">
        <f>'Stats G2'!E8</f>
        <v>0</v>
      </c>
      <c r="J8" s="2">
        <f>'Stats G2'!H8</f>
        <v>0</v>
      </c>
      <c r="K8" s="2">
        <f t="shared" si="0"/>
        <v>0</v>
      </c>
      <c r="L8" s="2">
        <f>'Stats G2'!K8</f>
        <v>0</v>
      </c>
      <c r="M8" s="2">
        <f>'Stats G2'!N8</f>
        <v>0</v>
      </c>
      <c r="N8" s="2">
        <f>'Stats G2'!Q8</f>
        <v>0</v>
      </c>
      <c r="O8" s="2">
        <f>'Stats G2'!T8</f>
        <v>0</v>
      </c>
      <c r="P8" s="2">
        <f>'Stats G2'!W8</f>
        <v>0</v>
      </c>
    </row>
    <row r="9" spans="2:16" ht="15.75" customHeight="1" x14ac:dyDescent="0.2">
      <c r="F9" s="2" t="str">
        <f>'Stats G2'!A9</f>
        <v>Shaun</v>
      </c>
      <c r="G9" s="2" t="str">
        <f>'Stats G2'!B9</f>
        <v>Green</v>
      </c>
      <c r="H9" s="2">
        <f>'Stats G2'!C9</f>
        <v>13</v>
      </c>
      <c r="I9" s="2">
        <f>'Stats G2'!E9</f>
        <v>0</v>
      </c>
      <c r="J9" s="2">
        <f>'Stats G2'!H9</f>
        <v>0</v>
      </c>
      <c r="K9" s="2">
        <f t="shared" si="0"/>
        <v>0</v>
      </c>
      <c r="L9" s="2">
        <f>'Stats G2'!K9</f>
        <v>0</v>
      </c>
      <c r="M9" s="2">
        <f>'Stats G2'!N9</f>
        <v>0</v>
      </c>
      <c r="N9" s="2">
        <f>'Stats G2'!Q9</f>
        <v>0</v>
      </c>
      <c r="O9" s="2">
        <f>'Stats G2'!T9</f>
        <v>0</v>
      </c>
      <c r="P9" s="2">
        <f>'Stats G2'!W9</f>
        <v>0</v>
      </c>
    </row>
    <row r="10" spans="2:16" ht="15.75" customHeight="1" x14ac:dyDescent="0.2">
      <c r="F10" s="2" t="str">
        <f>'Stats G2'!A10</f>
        <v>Zeus</v>
      </c>
      <c r="G10" s="2" t="str">
        <f>'Stats G2'!B10</f>
        <v>Martinez</v>
      </c>
      <c r="H10" s="2">
        <f>'Stats G2'!C10</f>
        <v>1</v>
      </c>
      <c r="I10" s="2">
        <f>'Stats G2'!E10</f>
        <v>3</v>
      </c>
      <c r="J10" s="2">
        <f>'Stats G2'!H10</f>
        <v>4</v>
      </c>
      <c r="K10" s="2">
        <f t="shared" si="0"/>
        <v>7</v>
      </c>
      <c r="L10" s="2">
        <f>'Stats G2'!K10</f>
        <v>0</v>
      </c>
      <c r="M10" s="2">
        <f>'Stats G2'!N10</f>
        <v>0</v>
      </c>
      <c r="N10" s="2">
        <f>'Stats G2'!Q10</f>
        <v>0</v>
      </c>
      <c r="O10" s="2">
        <f>'Stats G2'!T10</f>
        <v>0</v>
      </c>
      <c r="P10" s="2">
        <f>'Stats G2'!W10</f>
        <v>0</v>
      </c>
    </row>
    <row r="11" spans="2:16" ht="15.75" customHeight="1" x14ac:dyDescent="0.2">
      <c r="F11" s="2" t="str">
        <f>'Stats G2'!A11</f>
        <v>Vai</v>
      </c>
      <c r="G11" s="2" t="str">
        <f>'Stats G2'!B11</f>
        <v>Harris</v>
      </c>
      <c r="H11" s="2">
        <f>'Stats G2'!C11</f>
        <v>4</v>
      </c>
      <c r="I11" s="2">
        <f>'Stats G2'!E11</f>
        <v>1</v>
      </c>
      <c r="J11" s="2">
        <f>'Stats G2'!H11</f>
        <v>1</v>
      </c>
      <c r="K11" s="2">
        <f t="shared" si="0"/>
        <v>2</v>
      </c>
      <c r="L11" s="2">
        <f>'Stats G2'!K11</f>
        <v>0</v>
      </c>
      <c r="M11" s="2">
        <f>'Stats G2'!N11</f>
        <v>0</v>
      </c>
      <c r="N11" s="2">
        <f>'Stats G2'!Q11</f>
        <v>0</v>
      </c>
      <c r="O11" s="2">
        <f>'Stats G2'!T11</f>
        <v>0</v>
      </c>
      <c r="P11" s="2">
        <f>'Stats G2'!W11</f>
        <v>0</v>
      </c>
    </row>
    <row r="12" spans="2:16" ht="15.75" customHeight="1" x14ac:dyDescent="0.2">
      <c r="F12" s="2" t="str">
        <f>'Stats G2'!A12</f>
        <v>Brekott</v>
      </c>
      <c r="G12" s="2" t="str">
        <f>'Stats G2'!B12</f>
        <v>Chapman</v>
      </c>
      <c r="H12" s="2">
        <f>'Stats G2'!C12</f>
        <v>6</v>
      </c>
      <c r="I12" s="2">
        <f>'Stats G2'!E12</f>
        <v>1</v>
      </c>
      <c r="J12" s="2">
        <f>'Stats G2'!H12</f>
        <v>10</v>
      </c>
      <c r="K12" s="2">
        <f t="shared" si="0"/>
        <v>11</v>
      </c>
      <c r="L12" s="2">
        <f>'Stats G2'!K12</f>
        <v>0</v>
      </c>
      <c r="M12" s="2">
        <f>'Stats G2'!N12</f>
        <v>0</v>
      </c>
      <c r="N12" s="2">
        <f>'Stats G2'!Q12</f>
        <v>0</v>
      </c>
      <c r="O12" s="2">
        <f>'Stats G2'!T12</f>
        <v>0</v>
      </c>
      <c r="P12" s="2">
        <f>'Stats G2'!W12</f>
        <v>0</v>
      </c>
    </row>
    <row r="13" spans="2:16" ht="15.75" customHeight="1" x14ac:dyDescent="0.2">
      <c r="F13" s="2" t="str">
        <f>'Stats G2'!A13</f>
        <v>Bryant</v>
      </c>
      <c r="G13" s="2" t="str">
        <f>'Stats G2'!B13</f>
        <v>Markson</v>
      </c>
      <c r="H13" s="2">
        <f>'Stats G2'!C13</f>
        <v>20</v>
      </c>
      <c r="I13" s="2">
        <f>'Stats G2'!E13</f>
        <v>0</v>
      </c>
      <c r="J13" s="2">
        <f>'Stats G2'!H13</f>
        <v>0</v>
      </c>
      <c r="K13" s="2">
        <f t="shared" si="0"/>
        <v>0</v>
      </c>
      <c r="L13" s="2">
        <f>'Stats G2'!K13</f>
        <v>0</v>
      </c>
      <c r="M13" s="2">
        <f>'Stats G2'!N13</f>
        <v>0</v>
      </c>
      <c r="N13" s="2">
        <f>'Stats G2'!Q13</f>
        <v>0</v>
      </c>
      <c r="O13" s="2">
        <f>'Stats G2'!T13</f>
        <v>0</v>
      </c>
      <c r="P13" s="2">
        <f>'Stats G2'!W13</f>
        <v>0</v>
      </c>
    </row>
    <row r="14" spans="2:16" ht="15.75" customHeight="1" x14ac:dyDescent="0.2">
      <c r="F14" s="2" t="str">
        <f>'Stats G2'!A14</f>
        <v>Dwayne</v>
      </c>
      <c r="G14" s="2" t="str">
        <f>'Stats G2'!B14</f>
        <v>Brown</v>
      </c>
      <c r="H14" s="2">
        <f>'Stats G2'!C14</f>
        <v>8</v>
      </c>
      <c r="I14" s="2">
        <f>'Stats G2'!E14</f>
        <v>4</v>
      </c>
      <c r="J14" s="2">
        <f>'Stats G2'!H14</f>
        <v>5</v>
      </c>
      <c r="K14" s="2">
        <f t="shared" si="0"/>
        <v>9</v>
      </c>
      <c r="L14" s="2">
        <f>'Stats G2'!K14</f>
        <v>0</v>
      </c>
      <c r="M14" s="2">
        <f>'Stats G2'!N14</f>
        <v>0</v>
      </c>
      <c r="N14" s="2">
        <f>'Stats G2'!Q14</f>
        <v>0</v>
      </c>
      <c r="O14" s="2">
        <f>'Stats G2'!T14</f>
        <v>0</v>
      </c>
      <c r="P14" s="2">
        <f>'Stats G2'!W14</f>
        <v>0</v>
      </c>
    </row>
    <row r="15" spans="2:16" ht="15.75" customHeight="1" x14ac:dyDescent="0.2">
      <c r="F15" s="2" t="str">
        <f>'Stats G2'!A15</f>
        <v>Tre</v>
      </c>
      <c r="G15" s="2" t="str">
        <f>'Stats G2'!B15</f>
        <v>Smith</v>
      </c>
      <c r="H15" s="2">
        <f>'Stats G2'!C15</f>
        <v>3</v>
      </c>
      <c r="I15" s="2">
        <f>'Stats G2'!E15</f>
        <v>0</v>
      </c>
      <c r="J15" s="2">
        <f>'Stats G2'!H15</f>
        <v>3</v>
      </c>
      <c r="K15" s="2">
        <f t="shared" si="0"/>
        <v>3</v>
      </c>
      <c r="L15" s="2">
        <f>'Stats G2'!K15</f>
        <v>0</v>
      </c>
      <c r="M15" s="2">
        <f>'Stats G2'!N15</f>
        <v>0</v>
      </c>
      <c r="N15" s="2">
        <f>'Stats G2'!Q15</f>
        <v>0</v>
      </c>
      <c r="O15" s="2">
        <f>'Stats G2'!T15</f>
        <v>0</v>
      </c>
      <c r="P15" s="2">
        <f>'Stats G2'!W15</f>
        <v>0</v>
      </c>
    </row>
    <row r="16" spans="2:16" ht="15.75" customHeight="1" x14ac:dyDescent="0.2">
      <c r="F16" s="2" t="str">
        <f>'Stats G2'!A16</f>
        <v>?</v>
      </c>
      <c r="G16" s="2" t="str">
        <f>'Stats G2'!B16</f>
        <v>?</v>
      </c>
      <c r="H16" s="2" t="str">
        <f>'Stats G2'!C16</f>
        <v/>
      </c>
      <c r="I16" s="2">
        <f>'Stats G2'!E16</f>
        <v>0</v>
      </c>
      <c r="J16" s="2">
        <f>'Stats G2'!H16</f>
        <v>0</v>
      </c>
      <c r="K16" s="2">
        <f t="shared" si="0"/>
        <v>0</v>
      </c>
      <c r="L16" s="2">
        <f>'Stats G2'!K16</f>
        <v>0</v>
      </c>
      <c r="M16" s="2">
        <f>'Stats G2'!N16</f>
        <v>0</v>
      </c>
      <c r="N16" s="2">
        <f>'Stats G2'!Q16</f>
        <v>0</v>
      </c>
      <c r="O16" s="2">
        <f>'Stats G2'!T16</f>
        <v>0</v>
      </c>
      <c r="P16" s="2">
        <f>'Stats G2'!W16</f>
        <v>0</v>
      </c>
    </row>
    <row r="17" spans="6:16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 t="shared" si="0"/>
        <v>0</v>
      </c>
      <c r="L17" s="2">
        <f>'Stats G2'!K17</f>
        <v>0</v>
      </c>
      <c r="M17" s="2">
        <f>'Stats G2'!N17</f>
        <v>0</v>
      </c>
      <c r="N17" s="2">
        <f>'Stats G2'!Q17</f>
        <v>0</v>
      </c>
      <c r="O17" s="2">
        <f>'Stats G2'!T17</f>
        <v>0</v>
      </c>
      <c r="P17" s="2">
        <f>'Stats G2'!W17</f>
        <v>0</v>
      </c>
    </row>
    <row r="18" spans="6:16" ht="15.75" customHeight="1" x14ac:dyDescent="0.2">
      <c r="H18" s="1" t="s">
        <v>14</v>
      </c>
      <c r="I18" s="2">
        <f t="shared" ref="I18:P18" si="1">SUM(I3:I17)</f>
        <v>11</v>
      </c>
      <c r="J18" s="2">
        <f t="shared" si="1"/>
        <v>30</v>
      </c>
      <c r="K18" s="2">
        <f t="shared" si="1"/>
        <v>41</v>
      </c>
      <c r="L18" s="2">
        <f t="shared" si="1"/>
        <v>0</v>
      </c>
      <c r="M18" s="2">
        <f t="shared" si="1"/>
        <v>0</v>
      </c>
      <c r="N18" s="2">
        <f t="shared" si="1"/>
        <v>0</v>
      </c>
      <c r="O18" s="2">
        <f t="shared" si="1"/>
        <v>0</v>
      </c>
      <c r="P18" s="2">
        <f t="shared" si="1"/>
        <v>0</v>
      </c>
    </row>
    <row r="19" spans="6:16" ht="15.75" customHeight="1" x14ac:dyDescent="0.2"/>
    <row r="20" spans="6:16" ht="15.75" customHeight="1" x14ac:dyDescent="0.2">
      <c r="F20" s="2" t="s">
        <v>15</v>
      </c>
      <c r="G20" s="2" t="str">
        <f>'Stats G2'!B19</f>
        <v>Team Bullock</v>
      </c>
    </row>
    <row r="21" spans="6:16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  <c r="N21" s="2" t="s">
        <v>10</v>
      </c>
      <c r="O21" s="2" t="s">
        <v>11</v>
      </c>
      <c r="P21" s="2" t="s">
        <v>12</v>
      </c>
    </row>
    <row r="22" spans="6:16" ht="15.75" customHeight="1" x14ac:dyDescent="0.2">
      <c r="F22" s="2" t="str">
        <f>'Stats G2'!A21</f>
        <v>Tyus</v>
      </c>
      <c r="G22" s="2" t="str">
        <f>'Stats G2'!B21</f>
        <v>Jefferson</v>
      </c>
      <c r="H22" s="2">
        <f>'Stats G2'!C21</f>
        <v>3</v>
      </c>
      <c r="I22" s="2">
        <f>'Stats G2'!E21</f>
        <v>0</v>
      </c>
      <c r="J22" s="2">
        <f>'Stats G2'!H21</f>
        <v>3</v>
      </c>
      <c r="K22" s="2">
        <f t="shared" ref="K22:K36" si="2">J22+I22</f>
        <v>3</v>
      </c>
      <c r="L22" s="2">
        <f>'Stats G2'!K21</f>
        <v>0</v>
      </c>
      <c r="M22" s="2">
        <f>'Stats G2'!N21</f>
        <v>0</v>
      </c>
      <c r="N22" s="2">
        <f>'Stats G2'!Q21</f>
        <v>0</v>
      </c>
      <c r="O22" s="2">
        <f>'Stats G2'!T21</f>
        <v>0</v>
      </c>
      <c r="P22" s="2">
        <f>'Stats G2'!W21</f>
        <v>0</v>
      </c>
    </row>
    <row r="23" spans="6:16" ht="15.75" customHeight="1" x14ac:dyDescent="0.2">
      <c r="F23" s="2" t="str">
        <f>'Stats G2'!A22</f>
        <v>Jordan</v>
      </c>
      <c r="G23" s="2" t="str">
        <f>'Stats G2'!B22</f>
        <v>Loveridge</v>
      </c>
      <c r="H23" s="2">
        <f>'Stats G2'!C22</f>
        <v>21</v>
      </c>
      <c r="I23" s="2">
        <f>'Stats G2'!E22</f>
        <v>0</v>
      </c>
      <c r="J23" s="2">
        <f>'Stats G2'!H22</f>
        <v>0</v>
      </c>
      <c r="K23" s="2">
        <f t="shared" si="2"/>
        <v>0</v>
      </c>
      <c r="L23" s="2">
        <f>'Stats G2'!K22</f>
        <v>0</v>
      </c>
      <c r="M23" s="2">
        <f>'Stats G2'!N22</f>
        <v>0</v>
      </c>
      <c r="N23" s="2">
        <f>'Stats G2'!Q22</f>
        <v>0</v>
      </c>
      <c r="O23" s="2">
        <f>'Stats G2'!T22</f>
        <v>0</v>
      </c>
      <c r="P23" s="2">
        <f>'Stats G2'!W22</f>
        <v>0</v>
      </c>
    </row>
    <row r="24" spans="6:16" ht="15.75" customHeight="1" x14ac:dyDescent="0.2">
      <c r="F24" s="2" t="str">
        <f>'Stats G2'!A23</f>
        <v>Kyndayl</v>
      </c>
      <c r="G24" s="2" t="str">
        <f>'Stats G2'!B23</f>
        <v>Hill</v>
      </c>
      <c r="H24" s="2">
        <f>'Stats G2'!C23</f>
        <v>15</v>
      </c>
      <c r="I24" s="2">
        <f>'Stats G2'!E23</f>
        <v>1</v>
      </c>
      <c r="J24" s="2">
        <f>'Stats G2'!H23</f>
        <v>6</v>
      </c>
      <c r="K24" s="2">
        <f t="shared" si="2"/>
        <v>7</v>
      </c>
      <c r="L24" s="2">
        <f>'Stats G2'!K23</f>
        <v>0</v>
      </c>
      <c r="M24" s="2">
        <f>'Stats G2'!N23</f>
        <v>0</v>
      </c>
      <c r="N24" s="2">
        <f>'Stats G2'!Q23</f>
        <v>0</v>
      </c>
      <c r="O24" s="2">
        <f>'Stats G2'!T23</f>
        <v>0</v>
      </c>
      <c r="P24" s="2">
        <f>'Stats G2'!W23</f>
        <v>0</v>
      </c>
    </row>
    <row r="25" spans="6:16" ht="15.75" customHeight="1" x14ac:dyDescent="0.2">
      <c r="F25" s="2" t="str">
        <f>'Stats G2'!A24</f>
        <v>Duce</v>
      </c>
      <c r="G25" s="2" t="str">
        <f>'Stats G2'!B24</f>
        <v>Zaid</v>
      </c>
      <c r="H25" s="2">
        <f>'Stats G2'!C24</f>
        <v>5</v>
      </c>
      <c r="I25" s="2">
        <f>'Stats G2'!E24</f>
        <v>0</v>
      </c>
      <c r="J25" s="2">
        <f>'Stats G2'!H24</f>
        <v>3</v>
      </c>
      <c r="K25" s="2">
        <f t="shared" si="2"/>
        <v>3</v>
      </c>
      <c r="L25" s="2">
        <f>'Stats G2'!K24</f>
        <v>0</v>
      </c>
      <c r="M25" s="2">
        <f>'Stats G2'!N24</f>
        <v>0</v>
      </c>
      <c r="N25" s="2">
        <f>'Stats G2'!Q24</f>
        <v>0</v>
      </c>
      <c r="O25" s="2">
        <f>'Stats G2'!T24</f>
        <v>0</v>
      </c>
      <c r="P25" s="2">
        <f>'Stats G2'!W24</f>
        <v>0</v>
      </c>
    </row>
    <row r="26" spans="6:16" ht="15.75" customHeight="1" x14ac:dyDescent="0.2">
      <c r="F26" s="2" t="str">
        <f>'Stats G2'!A25</f>
        <v>Charles</v>
      </c>
      <c r="G26" s="2" t="str">
        <f>'Stats G2'!B25</f>
        <v>Nann</v>
      </c>
      <c r="H26" s="2">
        <f>'Stats G2'!C25</f>
        <v>7</v>
      </c>
      <c r="I26" s="2">
        <f>'Stats G2'!E25</f>
        <v>2</v>
      </c>
      <c r="J26" s="2">
        <f>'Stats G2'!H25</f>
        <v>1</v>
      </c>
      <c r="K26" s="2">
        <f t="shared" si="2"/>
        <v>3</v>
      </c>
      <c r="L26" s="2">
        <f>'Stats G2'!K25</f>
        <v>0</v>
      </c>
      <c r="M26" s="2">
        <f>'Stats G2'!N25</f>
        <v>0</v>
      </c>
      <c r="N26" s="2">
        <f>'Stats G2'!Q25</f>
        <v>0</v>
      </c>
      <c r="O26" s="2">
        <f>'Stats G2'!T25</f>
        <v>0</v>
      </c>
      <c r="P26" s="2">
        <f>'Stats G2'!W25</f>
        <v>0</v>
      </c>
    </row>
    <row r="27" spans="6:16" ht="15.75" customHeight="1" x14ac:dyDescent="0.2">
      <c r="F27" s="2" t="str">
        <f>'Stats G2'!A26</f>
        <v>Marqus</v>
      </c>
      <c r="G27" s="2" t="str">
        <f>'Stats G2'!B26</f>
        <v>Gilson</v>
      </c>
      <c r="H27" s="2">
        <f>'Stats G2'!C26</f>
        <v>24</v>
      </c>
      <c r="I27" s="2">
        <f>'Stats G2'!E26</f>
        <v>0</v>
      </c>
      <c r="J27" s="2">
        <f>'Stats G2'!H26</f>
        <v>0</v>
      </c>
      <c r="K27" s="2">
        <f t="shared" si="2"/>
        <v>0</v>
      </c>
      <c r="L27" s="2">
        <f>'Stats G2'!K26</f>
        <v>0</v>
      </c>
      <c r="M27" s="2">
        <f>'Stats G2'!N26</f>
        <v>0</v>
      </c>
      <c r="N27" s="2">
        <f>'Stats G2'!Q26</f>
        <v>0</v>
      </c>
      <c r="O27" s="2">
        <f>'Stats G2'!T26</f>
        <v>0</v>
      </c>
      <c r="P27" s="2">
        <f>'Stats G2'!W26</f>
        <v>0</v>
      </c>
    </row>
    <row r="28" spans="6:16" ht="15.75" customHeight="1" x14ac:dyDescent="0.2">
      <c r="F28" s="2" t="str">
        <f>'Stats G2'!A27</f>
        <v>Ray</v>
      </c>
      <c r="G28" s="2" t="str">
        <f>'Stats G2'!B27</f>
        <v>Gallegos</v>
      </c>
      <c r="H28" s="2">
        <f>'Stats G2'!C27</f>
        <v>8</v>
      </c>
      <c r="I28" s="2">
        <f>'Stats G2'!E27</f>
        <v>0</v>
      </c>
      <c r="J28" s="2">
        <f>'Stats G2'!H27</f>
        <v>0</v>
      </c>
      <c r="K28" s="2">
        <f t="shared" si="2"/>
        <v>0</v>
      </c>
      <c r="L28" s="2">
        <f>'Stats G2'!K27</f>
        <v>0</v>
      </c>
      <c r="M28" s="2">
        <f>'Stats G2'!N27</f>
        <v>0</v>
      </c>
      <c r="N28" s="2">
        <f>'Stats G2'!Q27</f>
        <v>0</v>
      </c>
      <c r="O28" s="2">
        <f>'Stats G2'!T27</f>
        <v>0</v>
      </c>
      <c r="P28" s="2">
        <f>'Stats G2'!W27</f>
        <v>0</v>
      </c>
    </row>
    <row r="29" spans="6:16" ht="15.75" customHeight="1" x14ac:dyDescent="0.2">
      <c r="F29" s="2" t="str">
        <f>'Stats G2'!A28</f>
        <v>Colton</v>
      </c>
      <c r="G29" s="2" t="str">
        <f>'Stats G2'!B28</f>
        <v>Burgon</v>
      </c>
      <c r="H29" s="2">
        <f>'Stats G2'!C28</f>
        <v>20</v>
      </c>
      <c r="I29" s="2">
        <f>'Stats G2'!E28</f>
        <v>4</v>
      </c>
      <c r="J29" s="2">
        <f>'Stats G2'!H28</f>
        <v>5</v>
      </c>
      <c r="K29" s="2">
        <f t="shared" si="2"/>
        <v>9</v>
      </c>
      <c r="L29" s="2">
        <f>'Stats G2'!K28</f>
        <v>0</v>
      </c>
      <c r="M29" s="2">
        <f>'Stats G2'!N28</f>
        <v>0</v>
      </c>
      <c r="N29" s="2">
        <f>'Stats G2'!Q28</f>
        <v>0</v>
      </c>
      <c r="O29" s="2">
        <f>'Stats G2'!T28</f>
        <v>0</v>
      </c>
      <c r="P29" s="2">
        <f>'Stats G2'!W28</f>
        <v>0</v>
      </c>
    </row>
    <row r="30" spans="6:16" ht="15.75" customHeight="1" x14ac:dyDescent="0.2">
      <c r="F30" s="2" t="str">
        <f>'Stats G2'!A29</f>
        <v>Thomas</v>
      </c>
      <c r="G30" s="2" t="str">
        <f>'Stats G2'!B29</f>
        <v>Bullock</v>
      </c>
      <c r="H30" s="2">
        <f>'Stats G2'!C29</f>
        <v>22</v>
      </c>
      <c r="I30" s="2">
        <f>'Stats G2'!E29</f>
        <v>0</v>
      </c>
      <c r="J30" s="2">
        <f>'Stats G2'!H29</f>
        <v>6</v>
      </c>
      <c r="K30" s="2">
        <f t="shared" si="2"/>
        <v>6</v>
      </c>
      <c r="L30" s="2">
        <f>'Stats G2'!K29</f>
        <v>0</v>
      </c>
      <c r="M30" s="2">
        <f>'Stats G2'!N29</f>
        <v>0</v>
      </c>
      <c r="N30" s="2">
        <f>'Stats G2'!Q29</f>
        <v>0</v>
      </c>
      <c r="O30" s="2">
        <f>'Stats G2'!T29</f>
        <v>0</v>
      </c>
      <c r="P30" s="2">
        <f>'Stats G2'!W29</f>
        <v>0</v>
      </c>
    </row>
    <row r="31" spans="6:16" ht="15.75" customHeight="1" x14ac:dyDescent="0.2">
      <c r="F31" s="2" t="str">
        <f>'Stats G2'!A30</f>
        <v>Tyler</v>
      </c>
      <c r="G31" s="2" t="str">
        <f>'Stats G2'!B30</f>
        <v>Burgess</v>
      </c>
      <c r="H31" s="2">
        <f>'Stats G2'!C30</f>
        <v>23</v>
      </c>
      <c r="I31" s="2">
        <f>'Stats G2'!E30</f>
        <v>0</v>
      </c>
      <c r="J31" s="2">
        <f>'Stats G2'!H30</f>
        <v>3</v>
      </c>
      <c r="K31" s="2">
        <f t="shared" si="2"/>
        <v>3</v>
      </c>
      <c r="L31" s="2">
        <f>'Stats G2'!K30</f>
        <v>0</v>
      </c>
      <c r="M31" s="2">
        <f>'Stats G2'!N30</f>
        <v>0</v>
      </c>
      <c r="N31" s="2">
        <f>'Stats G2'!Q30</f>
        <v>0</v>
      </c>
      <c r="O31" s="2">
        <f>'Stats G2'!T30</f>
        <v>0</v>
      </c>
      <c r="P31" s="2">
        <f>'Stats G2'!W30</f>
        <v>0</v>
      </c>
    </row>
    <row r="32" spans="6:16" ht="15.75" customHeight="1" x14ac:dyDescent="0.2">
      <c r="F32" s="2" t="str">
        <f>'Stats G2'!A31</f>
        <v>Kentrell</v>
      </c>
      <c r="G32" s="2" t="str">
        <f>'Stats G2'!B31</f>
        <v>Barkley</v>
      </c>
      <c r="H32" s="2">
        <f>'Stats G2'!C31</f>
        <v>12</v>
      </c>
      <c r="I32" s="2">
        <f>'Stats G2'!E31</f>
        <v>4</v>
      </c>
      <c r="J32" s="2">
        <f>'Stats G2'!H31</f>
        <v>8</v>
      </c>
      <c r="K32" s="2">
        <f t="shared" si="2"/>
        <v>12</v>
      </c>
      <c r="L32" s="2">
        <f>'Stats G2'!K31</f>
        <v>0</v>
      </c>
      <c r="M32" s="2">
        <f>'Stats G2'!N31</f>
        <v>0</v>
      </c>
      <c r="N32" s="2">
        <f>'Stats G2'!Q31</f>
        <v>0</v>
      </c>
      <c r="O32" s="2">
        <f>'Stats G2'!T31</f>
        <v>0</v>
      </c>
      <c r="P32" s="2">
        <f>'Stats G2'!W31</f>
        <v>0</v>
      </c>
    </row>
    <row r="33" spans="6:16" ht="15.75" customHeight="1" x14ac:dyDescent="0.2">
      <c r="F33" s="2" t="str">
        <f>'Stats G2'!A32</f>
        <v>Brenden</v>
      </c>
      <c r="G33" s="2" t="str">
        <f>'Stats G2'!B32</f>
        <v>Morris</v>
      </c>
      <c r="H33" s="2">
        <f>'Stats G2'!C32</f>
        <v>23</v>
      </c>
      <c r="I33" s="2">
        <f>'Stats G2'!E32</f>
        <v>4</v>
      </c>
      <c r="J33" s="2">
        <f>'Stats G2'!H32</f>
        <v>4</v>
      </c>
      <c r="K33" s="2">
        <f t="shared" si="2"/>
        <v>8</v>
      </c>
      <c r="L33" s="2">
        <f>'Stats G2'!K32</f>
        <v>0</v>
      </c>
      <c r="M33" s="2">
        <f>'Stats G2'!N32</f>
        <v>0</v>
      </c>
      <c r="N33" s="2">
        <f>'Stats G2'!Q32</f>
        <v>0</v>
      </c>
      <c r="O33" s="2">
        <f>'Stats G2'!T32</f>
        <v>0</v>
      </c>
      <c r="P33" s="2">
        <f>'Stats G2'!W32</f>
        <v>0</v>
      </c>
    </row>
    <row r="34" spans="6:16" ht="15.75" customHeight="1" x14ac:dyDescent="0.2">
      <c r="F34" s="2" t="str">
        <f>'Stats G2'!A33</f>
        <v>?</v>
      </c>
      <c r="G34" s="2" t="str">
        <f>'Stats G2'!B33</f>
        <v>?</v>
      </c>
      <c r="H34" s="2" t="str">
        <f>'Stats G2'!C33</f>
        <v/>
      </c>
      <c r="I34" s="2">
        <f>'Stats G2'!E33</f>
        <v>0</v>
      </c>
      <c r="J34" s="2">
        <f>'Stats G2'!H33</f>
        <v>0</v>
      </c>
      <c r="K34" s="2">
        <f t="shared" si="2"/>
        <v>0</v>
      </c>
      <c r="L34" s="2">
        <f>'Stats G2'!K33</f>
        <v>0</v>
      </c>
      <c r="M34" s="2">
        <f>'Stats G2'!N33</f>
        <v>0</v>
      </c>
      <c r="N34" s="2">
        <f>'Stats G2'!Q33</f>
        <v>0</v>
      </c>
      <c r="O34" s="2">
        <f>'Stats G2'!T33</f>
        <v>0</v>
      </c>
      <c r="P34" s="2">
        <f>'Stats G2'!W33</f>
        <v>0</v>
      </c>
    </row>
    <row r="35" spans="6:16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 t="shared" si="2"/>
        <v>0</v>
      </c>
      <c r="L35" s="2">
        <f>'Stats G2'!K34</f>
        <v>0</v>
      </c>
      <c r="M35" s="2">
        <f>'Stats G2'!N34</f>
        <v>0</v>
      </c>
      <c r="N35" s="2">
        <f>'Stats G2'!Q34</f>
        <v>0</v>
      </c>
      <c r="O35" s="2">
        <f>'Stats G2'!T34</f>
        <v>0</v>
      </c>
      <c r="P35" s="2">
        <f>'Stats G2'!W34</f>
        <v>0</v>
      </c>
    </row>
    <row r="36" spans="6:16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 s="2">
        <f>'Stats G2'!K35</f>
        <v>0</v>
      </c>
      <c r="M36" s="2">
        <f>'Stats G2'!N35</f>
        <v>0</v>
      </c>
      <c r="N36" s="2">
        <f>'Stats G2'!Q35</f>
        <v>0</v>
      </c>
      <c r="O36" s="2">
        <f>'Stats G2'!T35</f>
        <v>0</v>
      </c>
      <c r="P36" s="2">
        <f>'Stats G2'!W35</f>
        <v>0</v>
      </c>
    </row>
    <row r="37" spans="6:16" ht="15.75" customHeight="1" x14ac:dyDescent="0.2">
      <c r="H37" s="1" t="s">
        <v>14</v>
      </c>
      <c r="I37" s="2">
        <f t="shared" ref="I37:P37" si="3">SUM(I22:I36)</f>
        <v>15</v>
      </c>
      <c r="J37" s="2">
        <f t="shared" si="3"/>
        <v>39</v>
      </c>
      <c r="K37" s="2">
        <f t="shared" si="3"/>
        <v>54</v>
      </c>
      <c r="L37" s="2">
        <f t="shared" si="3"/>
        <v>0</v>
      </c>
      <c r="M37" s="2">
        <f t="shared" si="3"/>
        <v>0</v>
      </c>
      <c r="N37" s="2">
        <f t="shared" si="3"/>
        <v>0</v>
      </c>
      <c r="O37" s="2">
        <f t="shared" si="3"/>
        <v>0</v>
      </c>
      <c r="P37" s="2">
        <f t="shared" si="3"/>
        <v>0</v>
      </c>
    </row>
    <row r="38" spans="6:16" ht="15.75" customHeight="1" x14ac:dyDescent="0.2"/>
    <row r="39" spans="6:16" ht="15.75" customHeight="1" x14ac:dyDescent="0.2"/>
    <row r="40" spans="6:16" ht="15.75" customHeight="1" x14ac:dyDescent="0.2"/>
    <row r="41" spans="6:16" ht="15.75" customHeight="1" x14ac:dyDescent="0.2"/>
    <row r="42" spans="6:16" ht="15.75" customHeight="1" x14ac:dyDescent="0.2"/>
    <row r="43" spans="6:16" ht="15.75" customHeight="1" x14ac:dyDescent="0.2"/>
    <row r="44" spans="6:16" ht="15.75" customHeight="1" x14ac:dyDescent="0.2"/>
    <row r="45" spans="6:16" ht="15.75" customHeight="1" x14ac:dyDescent="0.2"/>
    <row r="46" spans="6:16" ht="15.75" customHeight="1" x14ac:dyDescent="0.2"/>
    <row r="47" spans="6:16" ht="15.75" customHeight="1" x14ac:dyDescent="0.2"/>
    <row r="48" spans="6:1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A6" sqref="A6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16</v>
      </c>
      <c r="B1" s="5" t="s">
        <v>17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9</v>
      </c>
      <c r="Q2" s="2" t="s">
        <v>10</v>
      </c>
      <c r="T2" s="2" t="s">
        <v>11</v>
      </c>
      <c r="W2" s="2" t="s">
        <v>12</v>
      </c>
    </row>
    <row r="3" spans="1:26" ht="15.75" customHeight="1" x14ac:dyDescent="0.2">
      <c r="A3" s="6" t="str">
        <f>_xlfn.IFNA(VLOOKUP($B$1&amp;ROWS($A$3:A3),Rosters!$B$2:$C$163,2,0),"?")</f>
        <v>Corbin</v>
      </c>
      <c r="B3" s="6" t="str">
        <f>_xlfn.IFNA(VLOOKUP($B$1&amp;ROWS($B$3:B3),Rosters!$B$2:$D$163,3,0),"?")</f>
        <v>Green</v>
      </c>
      <c r="C3" s="6">
        <f>_xlfn.IFNA(VLOOKUP($B$1&amp;ROWS($C$3:C3),Rosters!$B$2:$E$163,4,0),"")</f>
        <v>7</v>
      </c>
      <c r="D3" s="6"/>
      <c r="E3" s="6">
        <v>0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7"/>
      <c r="Z3" s="7"/>
    </row>
    <row r="4" spans="1:26" ht="15.75" customHeight="1" x14ac:dyDescent="0.2">
      <c r="A4" s="7" t="str">
        <f>_xlfn.IFNA(VLOOKUP($B$1&amp;ROWS($A$3:A4),Rosters!$B$2:$C$163,2,0),"?")</f>
        <v>Aubrey</v>
      </c>
      <c r="B4" s="7" t="str">
        <f>_xlfn.IFNA(VLOOKUP($B$1&amp;ROWS($B$3:B4),Rosters!$B$2:$D$163,3,0),"?")</f>
        <v>Hodges</v>
      </c>
      <c r="C4" s="7">
        <f>_xlfn.IFNA(VLOOKUP($B$1&amp;ROWS($C$3:C4),Rosters!$B$2:$E$163,4,0),"")</f>
        <v>5</v>
      </c>
      <c r="D4" s="7"/>
      <c r="E4" s="8">
        <v>1</v>
      </c>
      <c r="F4" s="7"/>
      <c r="G4" s="7"/>
      <c r="H4" s="8">
        <v>5</v>
      </c>
      <c r="I4" s="7"/>
      <c r="J4" s="7"/>
      <c r="K4" s="7">
        <v>0</v>
      </c>
      <c r="L4" s="7"/>
      <c r="M4" s="7"/>
      <c r="N4" s="7">
        <v>0</v>
      </c>
      <c r="O4" s="7"/>
      <c r="P4" s="7"/>
      <c r="Q4" s="7">
        <v>0</v>
      </c>
      <c r="R4" s="7"/>
      <c r="S4" s="7"/>
      <c r="T4" s="7">
        <v>0</v>
      </c>
      <c r="U4" s="7"/>
      <c r="V4" s="7"/>
      <c r="W4" s="7">
        <v>0</v>
      </c>
      <c r="X4" s="7"/>
      <c r="Y4" s="7"/>
      <c r="Z4" s="7"/>
    </row>
    <row r="5" spans="1:26" ht="15.75" customHeight="1" x14ac:dyDescent="0.2">
      <c r="A5" s="6" t="s">
        <v>109</v>
      </c>
      <c r="B5" s="6" t="s">
        <v>109</v>
      </c>
      <c r="C5" s="6"/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/>
      <c r="Z5" s="7"/>
    </row>
    <row r="6" spans="1:26" ht="15.75" customHeight="1" x14ac:dyDescent="0.2">
      <c r="A6" s="7" t="str">
        <f>_xlfn.IFNA(VLOOKUP($B$1&amp;ROWS($A$3:A6),Rosters!$B$2:$C$163,2,0),"?")</f>
        <v>Tim</v>
      </c>
      <c r="B6" s="7" t="str">
        <f>_xlfn.IFNA(VLOOKUP($B$1&amp;ROWS($B$3:B6),Rosters!$B$2:$D$163,3,0),"?")</f>
        <v>Drisdom</v>
      </c>
      <c r="C6" s="7">
        <f>_xlfn.IFNA(VLOOKUP($B$1&amp;ROWS($C$3:C6),Rosters!$B$2:$E$163,4,0),"")</f>
        <v>11</v>
      </c>
      <c r="D6" s="7"/>
      <c r="E6" s="8">
        <v>1</v>
      </c>
      <c r="F6" s="7"/>
      <c r="G6" s="7"/>
      <c r="H6" s="8">
        <v>2</v>
      </c>
      <c r="I6" s="7"/>
      <c r="J6" s="7"/>
      <c r="K6" s="7">
        <v>0</v>
      </c>
      <c r="L6" s="7"/>
      <c r="M6" s="7"/>
      <c r="N6" s="7">
        <v>0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7"/>
      <c r="Z6" s="7"/>
    </row>
    <row r="7" spans="1:26" ht="15.75" customHeight="1" x14ac:dyDescent="0.2">
      <c r="A7" s="6" t="str">
        <f>_xlfn.IFNA(VLOOKUP($B$1&amp;ROWS($A$3:A7),Rosters!$B$2:$C$163,2,0),"?")</f>
        <v>Terrence</v>
      </c>
      <c r="B7" s="6" t="str">
        <f>_xlfn.IFNA(VLOOKUP($B$1&amp;ROWS($B$3:B7),Rosters!$B$2:$D$163,3,0),"?")</f>
        <v>Drisdom</v>
      </c>
      <c r="C7" s="6">
        <f>_xlfn.IFNA(VLOOKUP($B$1&amp;ROWS($C$3:C7),Rosters!$B$2:$E$163,4,0),"")</f>
        <v>2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7"/>
      <c r="Z7" s="7"/>
    </row>
    <row r="8" spans="1:26" ht="15.75" customHeight="1" x14ac:dyDescent="0.2">
      <c r="A8" s="7" t="str">
        <f>_xlfn.IFNA(VLOOKUP($B$1&amp;ROWS($A$3:A8),Rosters!$B$2:$C$163,2,0),"?")</f>
        <v>Jared</v>
      </c>
      <c r="B8" s="7" t="str">
        <f>_xlfn.IFNA(VLOOKUP($B$1&amp;ROWS($B$3:B8),Rosters!$B$2:$D$163,3,0),"?")</f>
        <v>Butler</v>
      </c>
      <c r="C8" s="7">
        <f>_xlfn.IFNA(VLOOKUP($B$1&amp;ROWS($C$3:C8),Rosters!$B$2:$E$163,4,0),"")</f>
        <v>0</v>
      </c>
      <c r="D8" s="7"/>
      <c r="E8" s="8">
        <v>0</v>
      </c>
      <c r="F8" s="7"/>
      <c r="G8" s="7"/>
      <c r="H8" s="7">
        <v>0</v>
      </c>
      <c r="I8" s="7"/>
      <c r="J8" s="7"/>
      <c r="K8" s="7">
        <v>0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</row>
    <row r="9" spans="1:26" ht="15.75" customHeight="1" x14ac:dyDescent="0.2">
      <c r="A9" s="6" t="str">
        <f>_xlfn.IFNA(VLOOKUP($B$1&amp;ROWS($A$3:A9),Rosters!$B$2:$C$163,2,0),"?")</f>
        <v>Shaun</v>
      </c>
      <c r="B9" s="6" t="str">
        <f>_xlfn.IFNA(VLOOKUP($B$1&amp;ROWS($B$3:B9),Rosters!$B$2:$D$163,3,0),"?")</f>
        <v>Green</v>
      </c>
      <c r="C9" s="6">
        <f>_xlfn.IFNA(VLOOKUP($B$1&amp;ROWS($C$3:C9),Rosters!$B$2:$E$163,4,0),"")</f>
        <v>13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7" t="str">
        <f>_xlfn.IFNA(VLOOKUP($B$1&amp;ROWS($A$3:A10),Rosters!$B$2:$C$163,2,0),"?")</f>
        <v>Zeus</v>
      </c>
      <c r="B10" s="7" t="str">
        <f>_xlfn.IFNA(VLOOKUP($B$1&amp;ROWS($B$3:B10),Rosters!$B$2:$D$163,3,0),"?")</f>
        <v>Martinez</v>
      </c>
      <c r="C10" s="7">
        <f>_xlfn.IFNA(VLOOKUP($B$1&amp;ROWS($C$3:C10),Rosters!$B$2:$E$163,4,0),"")</f>
        <v>1</v>
      </c>
      <c r="D10" s="7"/>
      <c r="E10" s="8">
        <v>3</v>
      </c>
      <c r="F10" s="7"/>
      <c r="G10" s="7"/>
      <c r="H10" s="8">
        <v>4</v>
      </c>
      <c r="I10" s="7"/>
      <c r="J10" s="7"/>
      <c r="K10" s="7">
        <v>0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6" t="str">
        <f>_xlfn.IFNA(VLOOKUP($B$1&amp;ROWS($A$3:A11),Rosters!$B$2:$C$163,2,0),"?")</f>
        <v>Vai</v>
      </c>
      <c r="B11" s="6" t="str">
        <f>_xlfn.IFNA(VLOOKUP($B$1&amp;ROWS($B$3:B11),Rosters!$B$2:$D$163,3,0),"?")</f>
        <v>Harris</v>
      </c>
      <c r="C11" s="6">
        <f>_xlfn.IFNA(VLOOKUP($B$1&amp;ROWS($C$3:C11),Rosters!$B$2:$E$163,4,0),"")</f>
        <v>4</v>
      </c>
      <c r="D11" s="6"/>
      <c r="E11" s="9">
        <v>1</v>
      </c>
      <c r="F11" s="6"/>
      <c r="G11" s="6"/>
      <c r="H11" s="9">
        <v>1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7" t="str">
        <f>_xlfn.IFNA(VLOOKUP($B$1&amp;ROWS($A$3:A12),Rosters!$B$2:$C$163,2,0),"?")</f>
        <v>Brekott</v>
      </c>
      <c r="B12" s="7" t="str">
        <f>_xlfn.IFNA(VLOOKUP($B$1&amp;ROWS($B$3:B12),Rosters!$B$2:$D$163,3,0),"?")</f>
        <v>Chapman</v>
      </c>
      <c r="C12" s="7">
        <f>_xlfn.IFNA(VLOOKUP($B$1&amp;ROWS($C$3:C12),Rosters!$B$2:$E$163,4,0),"")</f>
        <v>6</v>
      </c>
      <c r="D12" s="7"/>
      <c r="E12" s="8">
        <v>1</v>
      </c>
      <c r="F12" s="7"/>
      <c r="G12" s="7"/>
      <c r="H12" s="8">
        <v>10</v>
      </c>
      <c r="I12" s="7"/>
      <c r="J12" s="7"/>
      <c r="K12" s="7">
        <v>0</v>
      </c>
      <c r="L12" s="7"/>
      <c r="M12" s="7"/>
      <c r="N12" s="7">
        <v>0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6" t="str">
        <f>_xlfn.IFNA(VLOOKUP($B$1&amp;ROWS($A$3:A13),Rosters!$B$2:$C$163,2,0),"?")</f>
        <v>Bryant</v>
      </c>
      <c r="B13" s="6" t="str">
        <f>_xlfn.IFNA(VLOOKUP($B$1&amp;ROWS($B$3:B13),Rosters!$B$2:$D$163,3,0),"?")</f>
        <v>Markson</v>
      </c>
      <c r="C13" s="6">
        <f>_xlfn.IFNA(VLOOKUP($B$1&amp;ROWS($C$3:C13),Rosters!$B$2:$E$163,4,0),"")</f>
        <v>20</v>
      </c>
      <c r="D13" s="6"/>
      <c r="E13" s="6">
        <v>0</v>
      </c>
      <c r="F13" s="6"/>
      <c r="G13" s="6"/>
      <c r="H13" s="9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7" t="s">
        <v>63</v>
      </c>
      <c r="B14" s="7" t="s">
        <v>108</v>
      </c>
      <c r="C14" s="8">
        <v>8</v>
      </c>
      <c r="D14" s="7"/>
      <c r="E14" s="8">
        <v>4</v>
      </c>
      <c r="F14" s="7"/>
      <c r="G14" s="7"/>
      <c r="H14" s="8">
        <v>5</v>
      </c>
      <c r="I14" s="7"/>
      <c r="J14" s="7"/>
      <c r="K14" s="7">
        <v>0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6" t="s">
        <v>70</v>
      </c>
      <c r="B15" s="6" t="s">
        <v>53</v>
      </c>
      <c r="C15" s="9">
        <v>3</v>
      </c>
      <c r="D15" s="6"/>
      <c r="E15" s="6">
        <v>0</v>
      </c>
      <c r="F15" s="6"/>
      <c r="G15" s="6"/>
      <c r="H15" s="9">
        <v>3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7" t="str">
        <f>_xlfn.IFNA(VLOOKUP($B$1&amp;ROWS($A$3:A16),Rosters!$B$2:$C$163,2,0),"?")</f>
        <v>?</v>
      </c>
      <c r="B16" s="7" t="str">
        <f>_xlfn.IFNA(VLOOKUP($B$1&amp;ROWS($B$3:B16),Rosters!$B$2:$D$163,3,0),"?")</f>
        <v>?</v>
      </c>
      <c r="C16" s="7" t="str">
        <f>_xlfn.IFNA(VLOOKUP($B$1&amp;ROWS($C$3:C16),Rosters!$B$2:$E$163,4,0),"")</f>
        <v/>
      </c>
      <c r="D16" s="7"/>
      <c r="E16" s="7">
        <v>0</v>
      </c>
      <c r="F16" s="7"/>
      <c r="G16" s="7"/>
      <c r="H16" s="7">
        <v>0</v>
      </c>
      <c r="I16" s="7"/>
      <c r="J16" s="7"/>
      <c r="K16" s="7">
        <v>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f>SUM(E3:E17)</f>
        <v>11</v>
      </c>
      <c r="F18" s="7"/>
      <c r="G18" s="7"/>
      <c r="H18" s="7">
        <f>SUM(H3:H17)</f>
        <v>30</v>
      </c>
      <c r="I18" s="7"/>
      <c r="J18" s="7"/>
      <c r="K18" s="7">
        <f>SUM(K3:K17)</f>
        <v>0</v>
      </c>
      <c r="L18" s="7"/>
      <c r="M18" s="7"/>
      <c r="N18" s="7">
        <f>SUM(N3:N17)</f>
        <v>0</v>
      </c>
      <c r="O18" s="7"/>
      <c r="P18" s="7"/>
      <c r="Q18" s="7">
        <f>SUM(Q3:Q17)</f>
        <v>0</v>
      </c>
      <c r="R18" s="7"/>
      <c r="S18" s="7"/>
      <c r="T18" s="7">
        <f>SUM(T3:T17)</f>
        <v>0</v>
      </c>
      <c r="U18" s="7"/>
      <c r="V18" s="7"/>
      <c r="W18" s="7">
        <f>SUM(W3:W17)</f>
        <v>0</v>
      </c>
      <c r="X18" s="7"/>
      <c r="Y18" s="7"/>
      <c r="Z18" s="7"/>
    </row>
    <row r="19" spans="1:26" ht="15.75" customHeight="1" x14ac:dyDescent="0.2">
      <c r="A19" s="1" t="s">
        <v>18</v>
      </c>
      <c r="B19" s="5" t="s">
        <v>19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N20" s="2" t="s">
        <v>9</v>
      </c>
      <c r="Q20" s="2" t="s">
        <v>10</v>
      </c>
      <c r="T20" s="2" t="s">
        <v>11</v>
      </c>
      <c r="W20" s="2" t="s">
        <v>12</v>
      </c>
    </row>
    <row r="21" spans="1:26" ht="15.75" customHeight="1" x14ac:dyDescent="0.2">
      <c r="A21" s="6" t="str">
        <f>_xlfn.IFNA(VLOOKUP($B$19&amp;ROWS($A$21:A21),Rosters!$B$2:$C$163,2,0),"?")</f>
        <v>Tyus</v>
      </c>
      <c r="B21" s="6" t="str">
        <f>_xlfn.IFNA(VLOOKUP($B$19&amp;ROWS($B$21:B21),Rosters!$B$2:$D$163,3,0),"?")</f>
        <v>Jefferson</v>
      </c>
      <c r="C21" s="6">
        <f>_xlfn.IFNA(VLOOKUP($B$19&amp;ROWS($C$21:C21),Rosters!$B$2:$E$163,4,0),"")</f>
        <v>3</v>
      </c>
      <c r="D21" s="6"/>
      <c r="E21" s="6">
        <v>0</v>
      </c>
      <c r="F21" s="6"/>
      <c r="G21" s="6"/>
      <c r="H21" s="9">
        <v>3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7"/>
      <c r="Z21" s="7"/>
    </row>
    <row r="22" spans="1:26" ht="15.75" customHeight="1" x14ac:dyDescent="0.2">
      <c r="A22" s="2" t="str">
        <f>_xlfn.IFNA(VLOOKUP($B$19&amp;ROWS($A$21:A22),Rosters!$B$2:$C$163,2,0),"?")</f>
        <v>Jordan</v>
      </c>
      <c r="B22" s="2" t="str">
        <f>_xlfn.IFNA(VLOOKUP($B$19&amp;ROWS($B$21:B22),Rosters!$B$2:$D$163,3,0),"?")</f>
        <v>Loveridge</v>
      </c>
      <c r="C22" s="2">
        <f>_xlfn.IFNA(VLOOKUP($B$19&amp;ROWS($C$21:C22),Rosters!$B$2:$E$163,4,0),"")</f>
        <v>21</v>
      </c>
      <c r="D22" s="7"/>
      <c r="E22" s="7">
        <v>0</v>
      </c>
      <c r="F22" s="7"/>
      <c r="G22" s="7"/>
      <c r="H22" s="7">
        <v>0</v>
      </c>
      <c r="I22" s="7"/>
      <c r="J22" s="7"/>
      <c r="K22" s="7">
        <v>0</v>
      </c>
      <c r="L22" s="7"/>
      <c r="M22" s="7"/>
      <c r="N22" s="7">
        <v>0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</row>
    <row r="23" spans="1:26" ht="15.75" customHeight="1" x14ac:dyDescent="0.2">
      <c r="A23" s="6" t="str">
        <f>_xlfn.IFNA(VLOOKUP($B$19&amp;ROWS($A$21:A23),Rosters!$B$2:$C$163,2,0),"?")</f>
        <v>Kyndayl</v>
      </c>
      <c r="B23" s="6" t="str">
        <f>_xlfn.IFNA(VLOOKUP($B$19&amp;ROWS($B$21:B23),Rosters!$B$2:$D$163,3,0),"?")</f>
        <v>Hill</v>
      </c>
      <c r="C23" s="6">
        <f>_xlfn.IFNA(VLOOKUP($B$19&amp;ROWS($C$21:C23),Rosters!$B$2:$E$163,4,0),"")</f>
        <v>15</v>
      </c>
      <c r="D23" s="6"/>
      <c r="E23" s="9">
        <v>1</v>
      </c>
      <c r="F23" s="6"/>
      <c r="G23" s="6"/>
      <c r="H23" s="9">
        <v>6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/>
      <c r="Z23" s="7"/>
    </row>
    <row r="24" spans="1:26" ht="15.75" customHeight="1" x14ac:dyDescent="0.2">
      <c r="A24" s="2" t="str">
        <f>_xlfn.IFNA(VLOOKUP($B$19&amp;ROWS($A$21:A24),Rosters!$B$2:$C$163,2,0),"?")</f>
        <v>Duce</v>
      </c>
      <c r="B24" s="2" t="str">
        <f>_xlfn.IFNA(VLOOKUP($B$19&amp;ROWS($B$21:B24),Rosters!$B$2:$D$163,3,0),"?")</f>
        <v>Zaid</v>
      </c>
      <c r="C24" s="2">
        <f>_xlfn.IFNA(VLOOKUP($B$19&amp;ROWS($C$21:C24),Rosters!$B$2:$E$163,4,0),"")</f>
        <v>5</v>
      </c>
      <c r="D24" s="7"/>
      <c r="E24" s="7">
        <v>0</v>
      </c>
      <c r="F24" s="7"/>
      <c r="G24" s="7"/>
      <c r="H24" s="8">
        <v>3</v>
      </c>
      <c r="I24" s="7"/>
      <c r="J24" s="7"/>
      <c r="K24" s="7">
        <v>0</v>
      </c>
      <c r="L24" s="7"/>
      <c r="M24" s="7"/>
      <c r="N24" s="7">
        <v>0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</row>
    <row r="25" spans="1:26" ht="15.75" customHeight="1" x14ac:dyDescent="0.2">
      <c r="A25" s="6" t="str">
        <f>_xlfn.IFNA(VLOOKUP($B$19&amp;ROWS($A$21:A25),Rosters!$B$2:$C$163,2,0),"?")</f>
        <v>Charles</v>
      </c>
      <c r="B25" s="6" t="str">
        <f>_xlfn.IFNA(VLOOKUP($B$19&amp;ROWS($B$21:B25),Rosters!$B$2:$D$163,3,0),"?")</f>
        <v>Nann</v>
      </c>
      <c r="C25" s="6">
        <f>_xlfn.IFNA(VLOOKUP($B$19&amp;ROWS($C$21:C25),Rosters!$B$2:$E$163,4,0),"")</f>
        <v>7</v>
      </c>
      <c r="D25" s="6"/>
      <c r="E25" s="9">
        <v>2</v>
      </c>
      <c r="F25" s="6"/>
      <c r="G25" s="6"/>
      <c r="H25" s="9">
        <v>1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</row>
    <row r="26" spans="1:26" ht="15.75" customHeight="1" x14ac:dyDescent="0.2">
      <c r="A26" s="2" t="str">
        <f>_xlfn.IFNA(VLOOKUP($B$19&amp;ROWS($A$21:A26),Rosters!$B$2:$C$163,2,0),"?")</f>
        <v>Marqus</v>
      </c>
      <c r="B26" s="2" t="str">
        <f>_xlfn.IFNA(VLOOKUP($B$19&amp;ROWS($B$21:B26),Rosters!$B$2:$D$163,3,0),"?")</f>
        <v>Gilson</v>
      </c>
      <c r="C26" s="2">
        <f>_xlfn.IFNA(VLOOKUP($B$19&amp;ROWS($C$21:C26),Rosters!$B$2:$E$163,4,0),"")</f>
        <v>24</v>
      </c>
      <c r="D26" s="7"/>
      <c r="E26" s="7">
        <v>0</v>
      </c>
      <c r="F26" s="7"/>
      <c r="G26" s="7"/>
      <c r="H26" s="7">
        <v>0</v>
      </c>
      <c r="I26" s="7"/>
      <c r="J26" s="7"/>
      <c r="K26" s="7">
        <v>0</v>
      </c>
      <c r="L26" s="7"/>
      <c r="M26" s="7"/>
      <c r="N26" s="7">
        <v>0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>
        <v>0</v>
      </c>
      <c r="X26" s="7"/>
    </row>
    <row r="27" spans="1:26" ht="15.75" customHeight="1" x14ac:dyDescent="0.2">
      <c r="A27" s="6" t="str">
        <f>_xlfn.IFNA(VLOOKUP($B$19&amp;ROWS($A$21:A27),Rosters!$B$2:$C$163,2,0),"?")</f>
        <v>Ray</v>
      </c>
      <c r="B27" s="6" t="str">
        <f>_xlfn.IFNA(VLOOKUP($B$19&amp;ROWS($B$21:B27),Rosters!$B$2:$D$163,3,0),"?")</f>
        <v>Gallegos</v>
      </c>
      <c r="C27" s="6">
        <f>_xlfn.IFNA(VLOOKUP($B$19&amp;ROWS($C$21:C27),Rosters!$B$2:$E$163,4,0),"")</f>
        <v>8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tr">
        <f>_xlfn.IFNA(VLOOKUP($B$19&amp;ROWS($A$21:A28),Rosters!$B$2:$C$163,2,0),"?")</f>
        <v>Colton</v>
      </c>
      <c r="B28" s="2" t="str">
        <f>_xlfn.IFNA(VLOOKUP($B$19&amp;ROWS($B$21:B28),Rosters!$B$2:$D$163,3,0),"?")</f>
        <v>Burgon</v>
      </c>
      <c r="C28" s="2">
        <f>_xlfn.IFNA(VLOOKUP($B$19&amp;ROWS($C$21:C28),Rosters!$B$2:$E$163,4,0),"")</f>
        <v>20</v>
      </c>
      <c r="D28" s="7"/>
      <c r="E28" s="8">
        <v>4</v>
      </c>
      <c r="F28" s="7"/>
      <c r="G28" s="7"/>
      <c r="H28" s="8">
        <v>5</v>
      </c>
      <c r="I28" s="7"/>
      <c r="J28" s="7"/>
      <c r="K28" s="7">
        <v>0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tr">
        <f>_xlfn.IFNA(VLOOKUP($B$19&amp;ROWS($A$21:A29),Rosters!$B$2:$C$163,2,0),"?")</f>
        <v>Thomas</v>
      </c>
      <c r="B29" s="6" t="str">
        <f>_xlfn.IFNA(VLOOKUP($B$19&amp;ROWS($B$21:B29),Rosters!$B$2:$D$163,3,0),"?")</f>
        <v>Bullock</v>
      </c>
      <c r="C29" s="6">
        <f>_xlfn.IFNA(VLOOKUP($B$19&amp;ROWS($C$21:C29),Rosters!$B$2:$E$163,4,0),"")</f>
        <v>22</v>
      </c>
      <c r="D29" s="6"/>
      <c r="E29" s="6">
        <v>0</v>
      </c>
      <c r="F29" s="6"/>
      <c r="G29" s="6"/>
      <c r="H29" s="9">
        <v>6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 t="str">
        <f>_xlfn.IFNA(VLOOKUP($B$19&amp;ROWS($A$21:A30),Rosters!$B$2:$C$163,2,0),"?")</f>
        <v>Tyler</v>
      </c>
      <c r="B30" s="2" t="str">
        <f>_xlfn.IFNA(VLOOKUP($B$19&amp;ROWS($B$21:B30),Rosters!$B$2:$D$163,3,0),"?")</f>
        <v>Burgess</v>
      </c>
      <c r="C30" s="2">
        <f>_xlfn.IFNA(VLOOKUP($B$19&amp;ROWS($C$21:C30),Rosters!$B$2:$E$163,4,0),"")</f>
        <v>23</v>
      </c>
      <c r="D30" s="7"/>
      <c r="E30" s="7">
        <v>0</v>
      </c>
      <c r="F30" s="7"/>
      <c r="G30" s="7"/>
      <c r="H30" s="8">
        <v>3</v>
      </c>
      <c r="I30" s="7"/>
      <c r="J30" s="7"/>
      <c r="K30" s="7">
        <v>0</v>
      </c>
      <c r="L30" s="7"/>
      <c r="M30" s="7"/>
      <c r="N30" s="7">
        <v>0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26" ht="15.75" customHeight="1" x14ac:dyDescent="0.2">
      <c r="A31" s="6" t="str">
        <f>_xlfn.IFNA(VLOOKUP($B$19&amp;ROWS($A$21:A31),Rosters!$B$2:$C$163,2,0),"?")</f>
        <v>Kentrell</v>
      </c>
      <c r="B31" s="6" t="str">
        <f>_xlfn.IFNA(VLOOKUP($B$19&amp;ROWS($B$21:B31),Rosters!$B$2:$D$163,3,0),"?")</f>
        <v>Barkley</v>
      </c>
      <c r="C31" s="6">
        <f>_xlfn.IFNA(VLOOKUP($B$19&amp;ROWS($C$21:C31),Rosters!$B$2:$E$163,4,0),"")</f>
        <v>12</v>
      </c>
      <c r="D31" s="6"/>
      <c r="E31" s="9">
        <v>4</v>
      </c>
      <c r="F31" s="6"/>
      <c r="G31" s="6"/>
      <c r="H31" s="9">
        <v>8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2" t="str">
        <f>_xlfn.IFNA(VLOOKUP($B$19&amp;ROWS($A$21:A32),Rosters!$B$2:$C$163,2,0),"?")</f>
        <v>Brenden</v>
      </c>
      <c r="B32" s="2" t="str">
        <f>_xlfn.IFNA(VLOOKUP($B$19&amp;ROWS($B$21:B32),Rosters!$B$2:$D$163,3,0),"?")</f>
        <v>Morris</v>
      </c>
      <c r="C32" s="2">
        <f>_xlfn.IFNA(VLOOKUP($B$19&amp;ROWS($C$21:C32),Rosters!$B$2:$E$163,4,0),"")</f>
        <v>23</v>
      </c>
      <c r="D32" s="7"/>
      <c r="E32" s="8">
        <v>4</v>
      </c>
      <c r="F32" s="7"/>
      <c r="G32" s="7"/>
      <c r="H32" s="8">
        <v>4</v>
      </c>
      <c r="I32" s="7"/>
      <c r="J32" s="7"/>
      <c r="K32" s="7">
        <v>0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E36" s="2">
        <f>SUM(E21:E35)</f>
        <v>15</v>
      </c>
      <c r="H36" s="2">
        <f>SUM(H21:H35)</f>
        <v>39</v>
      </c>
      <c r="K36" s="2">
        <f>SUM(K21:K35)</f>
        <v>0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20</v>
      </c>
      <c r="B1" s="10" t="s">
        <v>21</v>
      </c>
      <c r="C1" s="2" t="s">
        <v>2</v>
      </c>
      <c r="D1" s="2" t="s">
        <v>3</v>
      </c>
      <c r="E1" s="2" t="s">
        <v>22</v>
      </c>
      <c r="G1" s="10" t="s">
        <v>23</v>
      </c>
    </row>
    <row r="2" spans="1:7" ht="15.75" customHeight="1" x14ac:dyDescent="0.2">
      <c r="A2" s="2" t="s">
        <v>24</v>
      </c>
      <c r="B2" s="10" t="str">
        <f t="shared" ref="B2:B100" si="0">A2&amp;COUNTIF($A$2:$A2,A2)</f>
        <v>Team Egan1</v>
      </c>
      <c r="C2" s="2" t="s">
        <v>25</v>
      </c>
      <c r="D2" s="2" t="s">
        <v>26</v>
      </c>
      <c r="E2" s="2">
        <v>22</v>
      </c>
      <c r="G2" s="10" t="str">
        <f ca="1">IFERROR(__xludf.DUMMYFUNCTION("ARRAY_CONSTRAIN(ARRAYFORMULA(UNIQUE(A2:A100)), 5, 1)"),"Team Egan")</f>
        <v>Team Egan</v>
      </c>
    </row>
    <row r="3" spans="1:7" ht="15.75" customHeight="1" x14ac:dyDescent="0.2">
      <c r="A3" s="2" t="s">
        <v>24</v>
      </c>
      <c r="B3" s="10" t="str">
        <f t="shared" si="0"/>
        <v>Team Egan2</v>
      </c>
      <c r="C3" s="2" t="s">
        <v>27</v>
      </c>
      <c r="D3" s="2" t="s">
        <v>28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24</v>
      </c>
      <c r="B4" s="10" t="str">
        <f t="shared" si="0"/>
        <v>Team Egan3</v>
      </c>
      <c r="C4" s="2" t="s">
        <v>29</v>
      </c>
      <c r="D4" s="2" t="s">
        <v>30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24</v>
      </c>
      <c r="B5" s="10" t="str">
        <f t="shared" si="0"/>
        <v>Team Egan4</v>
      </c>
      <c r="C5" s="2" t="s">
        <v>31</v>
      </c>
      <c r="D5" s="2" t="s">
        <v>32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24</v>
      </c>
      <c r="B6" s="10" t="str">
        <f t="shared" si="0"/>
        <v>Team Egan5</v>
      </c>
      <c r="C6" s="2" t="s">
        <v>33</v>
      </c>
      <c r="D6" s="2" t="s">
        <v>34</v>
      </c>
      <c r="E6" s="2">
        <v>15</v>
      </c>
      <c r="G6" s="10"/>
    </row>
    <row r="7" spans="1:7" ht="15.75" customHeight="1" x14ac:dyDescent="0.2">
      <c r="A7" s="2" t="s">
        <v>24</v>
      </c>
      <c r="B7" s="10" t="str">
        <f t="shared" si="0"/>
        <v>Team Egan6</v>
      </c>
      <c r="C7" s="2" t="s">
        <v>35</v>
      </c>
      <c r="D7" s="2" t="s">
        <v>36</v>
      </c>
      <c r="E7" s="2">
        <v>7</v>
      </c>
      <c r="G7" s="10"/>
    </row>
    <row r="8" spans="1:7" ht="15.75" customHeight="1" x14ac:dyDescent="0.2">
      <c r="A8" s="2" t="s">
        <v>24</v>
      </c>
      <c r="B8" s="10" t="str">
        <f t="shared" si="0"/>
        <v>Team Egan7</v>
      </c>
      <c r="C8" s="2" t="s">
        <v>37</v>
      </c>
      <c r="D8" s="2" t="s">
        <v>38</v>
      </c>
      <c r="E8" s="2">
        <v>4</v>
      </c>
      <c r="G8" s="10"/>
    </row>
    <row r="9" spans="1:7" ht="15.75" customHeight="1" x14ac:dyDescent="0.2">
      <c r="A9" s="2" t="s">
        <v>24</v>
      </c>
      <c r="B9" s="10" t="str">
        <f t="shared" si="0"/>
        <v>Team Egan8</v>
      </c>
      <c r="C9" s="2" t="s">
        <v>39</v>
      </c>
      <c r="D9" s="2" t="s">
        <v>40</v>
      </c>
      <c r="E9" s="2">
        <v>13</v>
      </c>
      <c r="G9" s="10"/>
    </row>
    <row r="10" spans="1:7" ht="15.75" customHeight="1" x14ac:dyDescent="0.2">
      <c r="A10" s="2" t="s">
        <v>24</v>
      </c>
      <c r="B10" s="10" t="str">
        <f t="shared" si="0"/>
        <v>Team Egan9</v>
      </c>
      <c r="C10" s="2" t="s">
        <v>41</v>
      </c>
      <c r="D10" s="2" t="s">
        <v>42</v>
      </c>
      <c r="E10" s="2">
        <v>21</v>
      </c>
      <c r="G10" s="10"/>
    </row>
    <row r="11" spans="1:7" ht="15.75" customHeight="1" x14ac:dyDescent="0.2">
      <c r="A11" s="2" t="s">
        <v>43</v>
      </c>
      <c r="B11" s="10" t="str">
        <f t="shared" si="0"/>
        <v>Team Covington1</v>
      </c>
      <c r="C11" s="2" t="s">
        <v>44</v>
      </c>
      <c r="D11" s="2" t="s">
        <v>45</v>
      </c>
      <c r="E11" s="2">
        <v>34</v>
      </c>
      <c r="G11" s="10"/>
    </row>
    <row r="12" spans="1:7" ht="15.75" customHeight="1" x14ac:dyDescent="0.2">
      <c r="A12" s="2" t="s">
        <v>43</v>
      </c>
      <c r="B12" s="10" t="str">
        <f t="shared" si="0"/>
        <v>Team Covington2</v>
      </c>
      <c r="C12" s="2" t="s">
        <v>46</v>
      </c>
      <c r="D12" s="2" t="s">
        <v>47</v>
      </c>
      <c r="E12" s="2">
        <v>4</v>
      </c>
      <c r="G12" s="10"/>
    </row>
    <row r="13" spans="1:7" ht="15.75" customHeight="1" x14ac:dyDescent="0.2">
      <c r="A13" s="2" t="s">
        <v>43</v>
      </c>
      <c r="B13" s="10" t="str">
        <f t="shared" si="0"/>
        <v>Team Covington3</v>
      </c>
      <c r="C13" s="2" t="s">
        <v>48</v>
      </c>
      <c r="D13" s="2" t="s">
        <v>49</v>
      </c>
      <c r="E13" s="2">
        <v>21</v>
      </c>
      <c r="G13" s="10"/>
    </row>
    <row r="14" spans="1:7" ht="15.75" customHeight="1" x14ac:dyDescent="0.2">
      <c r="A14" s="2" t="s">
        <v>43</v>
      </c>
      <c r="B14" s="10" t="str">
        <f t="shared" si="0"/>
        <v>Team Covington4</v>
      </c>
      <c r="C14" s="2" t="s">
        <v>50</v>
      </c>
      <c r="D14" s="2" t="s">
        <v>51</v>
      </c>
      <c r="E14" s="2">
        <v>87</v>
      </c>
      <c r="G14" s="10"/>
    </row>
    <row r="15" spans="1:7" ht="15.75" customHeight="1" x14ac:dyDescent="0.2">
      <c r="A15" s="2" t="s">
        <v>43</v>
      </c>
      <c r="B15" s="10" t="str">
        <f t="shared" si="0"/>
        <v>Team Covington5</v>
      </c>
      <c r="C15" s="2" t="s">
        <v>52</v>
      </c>
      <c r="D15" s="2" t="s">
        <v>53</v>
      </c>
      <c r="E15" s="2">
        <v>23</v>
      </c>
      <c r="G15" s="10"/>
    </row>
    <row r="16" spans="1:7" ht="15.75" customHeight="1" x14ac:dyDescent="0.2">
      <c r="A16" s="2" t="s">
        <v>43</v>
      </c>
      <c r="B16" s="10" t="str">
        <f t="shared" si="0"/>
        <v>Team Covington6</v>
      </c>
      <c r="C16" s="2" t="s">
        <v>54</v>
      </c>
      <c r="D16" s="2" t="s">
        <v>55</v>
      </c>
      <c r="E16" s="2">
        <v>2</v>
      </c>
      <c r="G16" s="10"/>
    </row>
    <row r="17" spans="1:7" ht="15.75" customHeight="1" x14ac:dyDescent="0.2">
      <c r="A17" s="2" t="s">
        <v>43</v>
      </c>
      <c r="B17" s="10" t="str">
        <f t="shared" si="0"/>
        <v>Team Covington7</v>
      </c>
      <c r="C17" s="2" t="s">
        <v>56</v>
      </c>
      <c r="D17" s="2" t="s">
        <v>57</v>
      </c>
      <c r="E17" s="2">
        <v>10</v>
      </c>
      <c r="G17" s="10"/>
    </row>
    <row r="18" spans="1:7" ht="15.75" customHeight="1" x14ac:dyDescent="0.2">
      <c r="A18" s="2" t="s">
        <v>43</v>
      </c>
      <c r="B18" s="10" t="str">
        <f t="shared" si="0"/>
        <v>Team Covington8</v>
      </c>
      <c r="C18" s="2" t="s">
        <v>58</v>
      </c>
      <c r="D18" s="2" t="s">
        <v>59</v>
      </c>
      <c r="E18" s="2">
        <v>25</v>
      </c>
      <c r="G18" s="10"/>
    </row>
    <row r="19" spans="1:7" ht="15.75" customHeight="1" x14ac:dyDescent="0.2">
      <c r="A19" s="2" t="s">
        <v>43</v>
      </c>
      <c r="B19" s="10" t="str">
        <f t="shared" si="0"/>
        <v>Team Covington9</v>
      </c>
      <c r="C19" s="2" t="s">
        <v>60</v>
      </c>
      <c r="D19" s="2" t="s">
        <v>61</v>
      </c>
      <c r="E19" s="2">
        <v>3</v>
      </c>
      <c r="G19" s="10"/>
    </row>
    <row r="20" spans="1:7" ht="15.75" customHeight="1" x14ac:dyDescent="0.2">
      <c r="A20" s="2" t="s">
        <v>43</v>
      </c>
      <c r="B20" s="10" t="str">
        <f t="shared" si="0"/>
        <v>Team Covington10</v>
      </c>
      <c r="C20" s="2" t="s">
        <v>61</v>
      </c>
      <c r="D20" s="2" t="s">
        <v>62</v>
      </c>
      <c r="E20" s="2">
        <v>33</v>
      </c>
      <c r="G20" s="10"/>
    </row>
    <row r="21" spans="1:7" ht="15.75" customHeight="1" x14ac:dyDescent="0.2">
      <c r="A21" s="2" t="s">
        <v>43</v>
      </c>
      <c r="B21" s="10" t="str">
        <f t="shared" si="0"/>
        <v>Team Covington11</v>
      </c>
      <c r="C21" s="2" t="s">
        <v>63</v>
      </c>
      <c r="D21" s="2" t="s">
        <v>64</v>
      </c>
      <c r="E21" s="2">
        <v>16</v>
      </c>
      <c r="G21" s="10"/>
    </row>
    <row r="22" spans="1:7" ht="15.75" customHeight="1" x14ac:dyDescent="0.2">
      <c r="A22" s="2" t="s">
        <v>43</v>
      </c>
      <c r="B22" s="10" t="str">
        <f t="shared" si="0"/>
        <v>Team Covington12</v>
      </c>
      <c r="C22" s="2" t="s">
        <v>46</v>
      </c>
      <c r="D22" s="2" t="s">
        <v>65</v>
      </c>
      <c r="E22" s="2">
        <v>14</v>
      </c>
      <c r="G22" s="10"/>
    </row>
    <row r="23" spans="1:7" ht="15.75" customHeight="1" x14ac:dyDescent="0.2">
      <c r="A23" s="2" t="s">
        <v>17</v>
      </c>
      <c r="B23" s="10" t="str">
        <f t="shared" si="0"/>
        <v>Team Drisdom1</v>
      </c>
      <c r="C23" s="2" t="s">
        <v>66</v>
      </c>
      <c r="D23" s="2" t="s">
        <v>67</v>
      </c>
      <c r="E23" s="2">
        <v>7</v>
      </c>
      <c r="G23" s="10"/>
    </row>
    <row r="24" spans="1:7" ht="15.75" customHeight="1" x14ac:dyDescent="0.2">
      <c r="A24" s="2" t="s">
        <v>17</v>
      </c>
      <c r="B24" s="10" t="str">
        <f t="shared" si="0"/>
        <v>Team Drisdom2</v>
      </c>
      <c r="C24" s="2" t="s">
        <v>68</v>
      </c>
      <c r="D24" s="2" t="s">
        <v>69</v>
      </c>
      <c r="E24" s="2">
        <v>5</v>
      </c>
      <c r="G24" s="10"/>
    </row>
    <row r="25" spans="1:7" ht="15.75" customHeight="1" x14ac:dyDescent="0.2">
      <c r="A25" s="2" t="s">
        <v>17</v>
      </c>
      <c r="B25" s="10" t="str">
        <f t="shared" si="0"/>
        <v>Team Drisdom3</v>
      </c>
      <c r="C25" s="2" t="s">
        <v>70</v>
      </c>
      <c r="D25" s="2" t="s">
        <v>53</v>
      </c>
      <c r="E25" s="2">
        <v>10</v>
      </c>
      <c r="G25" s="10"/>
    </row>
    <row r="26" spans="1:7" ht="15.75" customHeight="1" x14ac:dyDescent="0.2">
      <c r="A26" s="2" t="s">
        <v>17</v>
      </c>
      <c r="B26" s="10" t="str">
        <f t="shared" si="0"/>
        <v>Team Drisdom4</v>
      </c>
      <c r="C26" s="2" t="s">
        <v>71</v>
      </c>
      <c r="D26" s="2" t="s">
        <v>72</v>
      </c>
      <c r="E26" s="2">
        <v>11</v>
      </c>
      <c r="G26" s="10"/>
    </row>
    <row r="27" spans="1:7" ht="15.75" customHeight="1" x14ac:dyDescent="0.2">
      <c r="A27" s="2" t="s">
        <v>17</v>
      </c>
      <c r="B27" s="10" t="str">
        <f t="shared" si="0"/>
        <v>Team Drisdom5</v>
      </c>
      <c r="C27" s="2" t="s">
        <v>73</v>
      </c>
      <c r="D27" s="2" t="s">
        <v>72</v>
      </c>
      <c r="E27" s="2">
        <v>2</v>
      </c>
      <c r="G27" s="10"/>
    </row>
    <row r="28" spans="1:7" ht="15.75" customHeight="1" x14ac:dyDescent="0.2">
      <c r="A28" s="2" t="s">
        <v>17</v>
      </c>
      <c r="B28" s="10" t="str">
        <f t="shared" si="0"/>
        <v>Team Drisdom6</v>
      </c>
      <c r="C28" s="2" t="s">
        <v>58</v>
      </c>
      <c r="D28" s="2" t="s">
        <v>74</v>
      </c>
      <c r="E28" s="2">
        <v>0</v>
      </c>
      <c r="G28" s="10"/>
    </row>
    <row r="29" spans="1:7" ht="15.75" customHeight="1" x14ac:dyDescent="0.2">
      <c r="A29" s="2" t="s">
        <v>17</v>
      </c>
      <c r="B29" s="10" t="str">
        <f t="shared" si="0"/>
        <v>Team Drisdom7</v>
      </c>
      <c r="C29" s="2" t="s">
        <v>75</v>
      </c>
      <c r="D29" s="2" t="s">
        <v>67</v>
      </c>
      <c r="E29" s="2">
        <v>13</v>
      </c>
      <c r="G29" s="10"/>
    </row>
    <row r="30" spans="1:7" ht="15.75" customHeight="1" x14ac:dyDescent="0.2">
      <c r="A30" s="2" t="s">
        <v>17</v>
      </c>
      <c r="B30" s="10" t="str">
        <f t="shared" si="0"/>
        <v>Team Drisdom8</v>
      </c>
      <c r="C30" s="2" t="s">
        <v>76</v>
      </c>
      <c r="D30" s="2" t="s">
        <v>77</v>
      </c>
      <c r="E30" s="2">
        <v>1</v>
      </c>
      <c r="G30" s="10"/>
    </row>
    <row r="31" spans="1:7" ht="15.75" customHeight="1" x14ac:dyDescent="0.2">
      <c r="A31" s="2" t="s">
        <v>17</v>
      </c>
      <c r="B31" s="10" t="str">
        <f t="shared" si="0"/>
        <v>Team Drisdom9</v>
      </c>
      <c r="C31" s="2" t="s">
        <v>78</v>
      </c>
      <c r="D31" s="2" t="s">
        <v>79</v>
      </c>
      <c r="E31" s="2">
        <v>4</v>
      </c>
      <c r="G31" s="10"/>
    </row>
    <row r="32" spans="1:7" ht="15.75" customHeight="1" x14ac:dyDescent="0.2">
      <c r="A32" s="2" t="s">
        <v>17</v>
      </c>
      <c r="B32" s="10" t="str">
        <f t="shared" si="0"/>
        <v>Team Drisdom10</v>
      </c>
      <c r="C32" s="2" t="s">
        <v>80</v>
      </c>
      <c r="D32" s="2" t="s">
        <v>81</v>
      </c>
      <c r="E32" s="2">
        <v>6</v>
      </c>
      <c r="G32" s="10"/>
    </row>
    <row r="33" spans="1:7" ht="15.75" customHeight="1" x14ac:dyDescent="0.2">
      <c r="A33" s="2" t="s">
        <v>17</v>
      </c>
      <c r="B33" s="10" t="str">
        <f t="shared" si="0"/>
        <v>Team Drisdom11</v>
      </c>
      <c r="C33" s="2" t="s">
        <v>82</v>
      </c>
      <c r="D33" s="2" t="s">
        <v>83</v>
      </c>
      <c r="E33" s="2">
        <v>20</v>
      </c>
      <c r="G33" s="10"/>
    </row>
    <row r="34" spans="1:7" ht="15.75" customHeight="1" x14ac:dyDescent="0.2">
      <c r="A34" s="2" t="s">
        <v>19</v>
      </c>
      <c r="B34" s="10" t="str">
        <f t="shared" si="0"/>
        <v>Team Bullock1</v>
      </c>
      <c r="C34" s="2" t="s">
        <v>84</v>
      </c>
      <c r="D34" s="2" t="s">
        <v>85</v>
      </c>
      <c r="E34" s="2">
        <v>3</v>
      </c>
      <c r="G34" s="10"/>
    </row>
    <row r="35" spans="1:7" ht="15.75" customHeight="1" x14ac:dyDescent="0.2">
      <c r="A35" s="2" t="s">
        <v>19</v>
      </c>
      <c r="B35" s="10" t="str">
        <f t="shared" si="0"/>
        <v>Team Bullock2</v>
      </c>
      <c r="C35" s="2" t="s">
        <v>86</v>
      </c>
      <c r="D35" s="2" t="s">
        <v>87</v>
      </c>
      <c r="E35" s="2">
        <v>21</v>
      </c>
      <c r="G35" s="10"/>
    </row>
    <row r="36" spans="1:7" ht="15.75" customHeight="1" x14ac:dyDescent="0.2">
      <c r="A36" s="2" t="s">
        <v>19</v>
      </c>
      <c r="B36" s="10" t="str">
        <f t="shared" si="0"/>
        <v>Team Bullock3</v>
      </c>
      <c r="C36" s="2" t="s">
        <v>88</v>
      </c>
      <c r="D36" s="2" t="s">
        <v>89</v>
      </c>
      <c r="E36" s="2">
        <v>15</v>
      </c>
      <c r="G36" s="10"/>
    </row>
    <row r="37" spans="1:7" ht="15.75" customHeight="1" x14ac:dyDescent="0.2">
      <c r="A37" s="2" t="s">
        <v>19</v>
      </c>
      <c r="B37" s="10" t="str">
        <f t="shared" si="0"/>
        <v>Team Bullock4</v>
      </c>
      <c r="C37" s="2" t="s">
        <v>90</v>
      </c>
      <c r="D37" s="2" t="s">
        <v>91</v>
      </c>
      <c r="E37" s="2">
        <v>5</v>
      </c>
      <c r="G37" s="10"/>
    </row>
    <row r="38" spans="1:7" ht="15.75" customHeight="1" x14ac:dyDescent="0.2">
      <c r="A38" s="2" t="s">
        <v>19</v>
      </c>
      <c r="B38" s="10" t="str">
        <f t="shared" si="0"/>
        <v>Team Bullock5</v>
      </c>
      <c r="C38" s="2" t="s">
        <v>92</v>
      </c>
      <c r="D38" s="2" t="s">
        <v>93</v>
      </c>
      <c r="E38" s="2">
        <v>7</v>
      </c>
      <c r="G38" s="10"/>
    </row>
    <row r="39" spans="1:7" ht="15.75" customHeight="1" x14ac:dyDescent="0.2">
      <c r="A39" s="2" t="s">
        <v>19</v>
      </c>
      <c r="B39" s="10" t="str">
        <f t="shared" si="0"/>
        <v>Team Bullock6</v>
      </c>
      <c r="C39" s="2" t="s">
        <v>94</v>
      </c>
      <c r="D39" s="2" t="s">
        <v>95</v>
      </c>
      <c r="E39" s="2">
        <v>24</v>
      </c>
      <c r="G39" s="10"/>
    </row>
    <row r="40" spans="1:7" ht="15.75" customHeight="1" x14ac:dyDescent="0.2">
      <c r="A40" s="2" t="s">
        <v>19</v>
      </c>
      <c r="B40" s="10" t="str">
        <f t="shared" si="0"/>
        <v>Team Bullock7</v>
      </c>
      <c r="C40" s="2" t="s">
        <v>96</v>
      </c>
      <c r="D40" s="2" t="s">
        <v>97</v>
      </c>
      <c r="E40" s="2">
        <v>8</v>
      </c>
      <c r="G40" s="10"/>
    </row>
    <row r="41" spans="1:7" ht="15.75" customHeight="1" x14ac:dyDescent="0.2">
      <c r="A41" s="2" t="s">
        <v>19</v>
      </c>
      <c r="B41" s="10" t="str">
        <f t="shared" si="0"/>
        <v>Team Bullock8</v>
      </c>
      <c r="C41" s="2" t="s">
        <v>98</v>
      </c>
      <c r="D41" s="2" t="s">
        <v>99</v>
      </c>
      <c r="E41" s="2">
        <v>20</v>
      </c>
      <c r="G41" s="10"/>
    </row>
    <row r="42" spans="1:7" ht="15.75" customHeight="1" x14ac:dyDescent="0.2">
      <c r="A42" s="2" t="s">
        <v>19</v>
      </c>
      <c r="B42" s="10" t="str">
        <f t="shared" si="0"/>
        <v>Team Bullock9</v>
      </c>
      <c r="C42" s="2" t="s">
        <v>100</v>
      </c>
      <c r="D42" s="2" t="s">
        <v>101</v>
      </c>
      <c r="E42" s="2">
        <v>22</v>
      </c>
      <c r="G42" s="10"/>
    </row>
    <row r="43" spans="1:7" ht="15.75" customHeight="1" x14ac:dyDescent="0.2">
      <c r="A43" s="2" t="s">
        <v>19</v>
      </c>
      <c r="B43" s="10" t="str">
        <f t="shared" si="0"/>
        <v>Team Bullock10</v>
      </c>
      <c r="C43" s="2" t="s">
        <v>102</v>
      </c>
      <c r="D43" s="2" t="s">
        <v>103</v>
      </c>
      <c r="E43" s="2">
        <v>23</v>
      </c>
      <c r="G43" s="10"/>
    </row>
    <row r="44" spans="1:7" ht="15.75" customHeight="1" x14ac:dyDescent="0.2">
      <c r="A44" s="2" t="s">
        <v>19</v>
      </c>
      <c r="B44" s="10" t="str">
        <f t="shared" si="0"/>
        <v>Team Bullock11</v>
      </c>
      <c r="C44" s="2" t="s">
        <v>104</v>
      </c>
      <c r="D44" s="2" t="s">
        <v>105</v>
      </c>
      <c r="E44" s="2">
        <v>12</v>
      </c>
      <c r="G44" s="10"/>
    </row>
    <row r="45" spans="1:7" ht="15.75" customHeight="1" x14ac:dyDescent="0.2">
      <c r="A45" s="2" t="s">
        <v>19</v>
      </c>
      <c r="B45" s="10" t="str">
        <f t="shared" si="0"/>
        <v>Team Bullock12</v>
      </c>
      <c r="C45" s="2" t="s">
        <v>106</v>
      </c>
      <c r="D45" s="2" t="s">
        <v>107</v>
      </c>
      <c r="E45" s="2">
        <v>23</v>
      </c>
      <c r="G45" s="10"/>
    </row>
    <row r="46" spans="1:7" ht="15.75" customHeight="1" x14ac:dyDescent="0.2">
      <c r="B46" s="10" t="str">
        <f t="shared" si="0"/>
        <v>0</v>
      </c>
      <c r="G46" s="10"/>
    </row>
    <row r="47" spans="1:7" ht="15.75" customHeight="1" x14ac:dyDescent="0.2">
      <c r="B47" s="10" t="str">
        <f t="shared" si="0"/>
        <v>0</v>
      </c>
      <c r="G47" s="10"/>
    </row>
    <row r="48" spans="1:7" ht="15.75" customHeight="1" x14ac:dyDescent="0.2">
      <c r="B48" s="10" t="str">
        <f t="shared" si="0"/>
        <v>0</v>
      </c>
      <c r="G48" s="10"/>
    </row>
    <row r="49" spans="2:7" ht="15.75" customHeight="1" x14ac:dyDescent="0.2">
      <c r="B49" s="10" t="str">
        <f t="shared" si="0"/>
        <v>0</v>
      </c>
      <c r="G49" s="10"/>
    </row>
    <row r="50" spans="2:7" ht="15.75" customHeight="1" x14ac:dyDescent="0.2">
      <c r="B50" s="10" t="str">
        <f t="shared" si="0"/>
        <v>0</v>
      </c>
      <c r="G50" s="10"/>
    </row>
    <row r="51" spans="2:7" ht="15.75" customHeight="1" x14ac:dyDescent="0.2">
      <c r="B51" s="10" t="str">
        <f t="shared" si="0"/>
        <v>0</v>
      </c>
      <c r="G51" s="10"/>
    </row>
    <row r="52" spans="2:7" ht="15.75" customHeight="1" x14ac:dyDescent="0.2">
      <c r="B52" s="10" t="str">
        <f t="shared" si="0"/>
        <v>0</v>
      </c>
      <c r="G52" s="10"/>
    </row>
    <row r="53" spans="2:7" ht="15.75" customHeight="1" x14ac:dyDescent="0.2">
      <c r="B53" s="10" t="str">
        <f t="shared" si="0"/>
        <v>0</v>
      </c>
      <c r="G53" s="10"/>
    </row>
    <row r="54" spans="2:7" ht="15.75" customHeight="1" x14ac:dyDescent="0.2">
      <c r="B54" s="10" t="str">
        <f t="shared" si="0"/>
        <v>0</v>
      </c>
      <c r="G54" s="10"/>
    </row>
    <row r="55" spans="2:7" ht="15.75" customHeight="1" x14ac:dyDescent="0.2">
      <c r="B55" s="10" t="str">
        <f t="shared" si="0"/>
        <v>0</v>
      </c>
      <c r="G55" s="10"/>
    </row>
    <row r="56" spans="2:7" ht="15.75" customHeight="1" x14ac:dyDescent="0.2">
      <c r="B56" s="10" t="str">
        <f t="shared" si="0"/>
        <v>0</v>
      </c>
      <c r="G56" s="10"/>
    </row>
    <row r="57" spans="2:7" ht="15.75" customHeight="1" x14ac:dyDescent="0.2">
      <c r="B57" s="10" t="str">
        <f t="shared" si="0"/>
        <v>0</v>
      </c>
      <c r="G57" s="10"/>
    </row>
    <row r="58" spans="2:7" ht="15.75" customHeight="1" x14ac:dyDescent="0.2">
      <c r="B58" s="10" t="str">
        <f t="shared" si="0"/>
        <v>0</v>
      </c>
      <c r="G58" s="10"/>
    </row>
    <row r="59" spans="2:7" ht="15.75" customHeight="1" x14ac:dyDescent="0.2">
      <c r="B59" s="10" t="str">
        <f t="shared" si="0"/>
        <v>0</v>
      </c>
      <c r="G59" s="10"/>
    </row>
    <row r="60" spans="2:7" ht="15.75" customHeight="1" x14ac:dyDescent="0.2">
      <c r="B60" s="10" t="str">
        <f t="shared" si="0"/>
        <v>0</v>
      </c>
      <c r="G60" s="10"/>
    </row>
    <row r="61" spans="2:7" ht="15.75" customHeight="1" x14ac:dyDescent="0.2">
      <c r="B61" s="10" t="str">
        <f t="shared" si="0"/>
        <v>0</v>
      </c>
      <c r="G61" s="10"/>
    </row>
    <row r="62" spans="2:7" ht="15.75" customHeight="1" x14ac:dyDescent="0.2">
      <c r="B62" s="10" t="str">
        <f t="shared" si="0"/>
        <v>0</v>
      </c>
      <c r="G62" s="10"/>
    </row>
    <row r="63" spans="2:7" ht="15.75" customHeight="1" x14ac:dyDescent="0.2">
      <c r="B63" s="10" t="str">
        <f t="shared" si="0"/>
        <v>0</v>
      </c>
      <c r="G63" s="10"/>
    </row>
    <row r="64" spans="2:7" ht="15.75" customHeight="1" x14ac:dyDescent="0.2">
      <c r="B64" s="10" t="str">
        <f t="shared" si="0"/>
        <v>0</v>
      </c>
      <c r="G64" s="10"/>
    </row>
    <row r="65" spans="2:7" ht="15.75" customHeight="1" x14ac:dyDescent="0.2">
      <c r="B65" s="10" t="str">
        <f t="shared" si="0"/>
        <v>0</v>
      </c>
      <c r="G65" s="10"/>
    </row>
    <row r="66" spans="2:7" ht="15.75" customHeight="1" x14ac:dyDescent="0.2">
      <c r="B66" s="10" t="str">
        <f t="shared" si="0"/>
        <v>0</v>
      </c>
      <c r="E66" s="11"/>
      <c r="G66" s="10"/>
    </row>
    <row r="67" spans="2:7" ht="15.75" customHeight="1" x14ac:dyDescent="0.2">
      <c r="B67" s="10" t="str">
        <f t="shared" si="0"/>
        <v>0</v>
      </c>
      <c r="G67" s="10"/>
    </row>
    <row r="68" spans="2:7" ht="15.75" customHeight="1" x14ac:dyDescent="0.2">
      <c r="B68" s="10" t="str">
        <f t="shared" si="0"/>
        <v>0</v>
      </c>
      <c r="G68" s="10"/>
    </row>
    <row r="69" spans="2:7" ht="15.75" customHeight="1" x14ac:dyDescent="0.2">
      <c r="B69" s="10" t="str">
        <f t="shared" si="0"/>
        <v>0</v>
      </c>
      <c r="G69" s="10"/>
    </row>
    <row r="70" spans="2:7" ht="15.75" customHeight="1" x14ac:dyDescent="0.2">
      <c r="B70" s="10" t="str">
        <f t="shared" si="0"/>
        <v>0</v>
      </c>
      <c r="G70" s="10"/>
    </row>
    <row r="71" spans="2:7" ht="15.75" customHeight="1" x14ac:dyDescent="0.2">
      <c r="B71" s="10" t="str">
        <f t="shared" si="0"/>
        <v>0</v>
      </c>
      <c r="G71" s="10"/>
    </row>
    <row r="72" spans="2:7" ht="15.75" customHeight="1" x14ac:dyDescent="0.2">
      <c r="B72" s="10" t="str">
        <f t="shared" si="0"/>
        <v>0</v>
      </c>
      <c r="G72" s="10"/>
    </row>
    <row r="73" spans="2:7" ht="15.75" customHeight="1" x14ac:dyDescent="0.2">
      <c r="B73" s="10" t="str">
        <f t="shared" si="0"/>
        <v>0</v>
      </c>
      <c r="G73" s="10"/>
    </row>
    <row r="74" spans="2:7" ht="15.75" customHeight="1" x14ac:dyDescent="0.2">
      <c r="B74" s="10" t="str">
        <f t="shared" si="0"/>
        <v>0</v>
      </c>
      <c r="G74" s="10"/>
    </row>
    <row r="75" spans="2:7" ht="15.75" customHeight="1" x14ac:dyDescent="0.2">
      <c r="B75" s="10" t="str">
        <f t="shared" si="0"/>
        <v>0</v>
      </c>
      <c r="G75" s="10"/>
    </row>
    <row r="76" spans="2:7" ht="15.75" customHeight="1" x14ac:dyDescent="0.2">
      <c r="B76" s="10" t="str">
        <f t="shared" si="0"/>
        <v>0</v>
      </c>
      <c r="G76" s="10"/>
    </row>
    <row r="77" spans="2:7" ht="15.75" customHeight="1" x14ac:dyDescent="0.2">
      <c r="B77" s="10" t="str">
        <f t="shared" si="0"/>
        <v>0</v>
      </c>
      <c r="G77" s="10"/>
    </row>
    <row r="78" spans="2:7" ht="15.75" customHeight="1" x14ac:dyDescent="0.2">
      <c r="B78" s="10" t="str">
        <f t="shared" si="0"/>
        <v>0</v>
      </c>
      <c r="G78" s="10"/>
    </row>
    <row r="79" spans="2:7" ht="15.75" customHeight="1" x14ac:dyDescent="0.2">
      <c r="B79" s="10" t="str">
        <f t="shared" si="0"/>
        <v>0</v>
      </c>
      <c r="G79" s="10"/>
    </row>
    <row r="80" spans="2:7" ht="15.75" customHeight="1" x14ac:dyDescent="0.2">
      <c r="B80" s="10" t="str">
        <f t="shared" si="0"/>
        <v>0</v>
      </c>
      <c r="G80" s="10"/>
    </row>
    <row r="81" spans="2:7" ht="15.75" customHeight="1" x14ac:dyDescent="0.2">
      <c r="B81" s="10" t="str">
        <f t="shared" si="0"/>
        <v>0</v>
      </c>
      <c r="G81" s="10"/>
    </row>
    <row r="82" spans="2:7" ht="15.75" customHeight="1" x14ac:dyDescent="0.2">
      <c r="B82" s="10" t="str">
        <f t="shared" si="0"/>
        <v>0</v>
      </c>
      <c r="G82" s="10"/>
    </row>
    <row r="83" spans="2:7" ht="15.75" customHeight="1" x14ac:dyDescent="0.2">
      <c r="B83" s="10" t="str">
        <f t="shared" si="0"/>
        <v>0</v>
      </c>
      <c r="G83" s="10"/>
    </row>
    <row r="84" spans="2:7" ht="15.75" customHeight="1" x14ac:dyDescent="0.2">
      <c r="B84" s="10" t="str">
        <f t="shared" si="0"/>
        <v>0</v>
      </c>
      <c r="G84" s="10"/>
    </row>
    <row r="85" spans="2:7" ht="15.75" customHeight="1" x14ac:dyDescent="0.2">
      <c r="B85" s="10" t="str">
        <f t="shared" si="0"/>
        <v>0</v>
      </c>
      <c r="G85" s="10"/>
    </row>
    <row r="86" spans="2:7" ht="15.75" customHeight="1" x14ac:dyDescent="0.2">
      <c r="B86" s="10" t="str">
        <f t="shared" si="0"/>
        <v>0</v>
      </c>
      <c r="G86" s="10"/>
    </row>
    <row r="87" spans="2:7" ht="15.75" customHeight="1" x14ac:dyDescent="0.2">
      <c r="B87" s="10" t="str">
        <f t="shared" si="0"/>
        <v>0</v>
      </c>
      <c r="G87" s="10"/>
    </row>
    <row r="88" spans="2:7" ht="15.75" customHeight="1" x14ac:dyDescent="0.2">
      <c r="B88" s="10" t="str">
        <f t="shared" si="0"/>
        <v>0</v>
      </c>
      <c r="G88" s="10"/>
    </row>
    <row r="89" spans="2:7" ht="15.75" customHeight="1" x14ac:dyDescent="0.2">
      <c r="B89" s="10" t="str">
        <f t="shared" si="0"/>
        <v>0</v>
      </c>
      <c r="G89" s="10"/>
    </row>
    <row r="90" spans="2:7" ht="15.75" customHeight="1" x14ac:dyDescent="0.2">
      <c r="B90" s="10" t="str">
        <f t="shared" si="0"/>
        <v>0</v>
      </c>
      <c r="G90" s="10"/>
    </row>
    <row r="91" spans="2:7" ht="15.75" customHeight="1" x14ac:dyDescent="0.2">
      <c r="B91" s="10" t="str">
        <f t="shared" si="0"/>
        <v>0</v>
      </c>
      <c r="G91" s="10"/>
    </row>
    <row r="92" spans="2:7" ht="15.75" customHeight="1" x14ac:dyDescent="0.2">
      <c r="B92" s="10" t="str">
        <f t="shared" si="0"/>
        <v>0</v>
      </c>
      <c r="G92" s="10"/>
    </row>
    <row r="93" spans="2:7" ht="15.75" customHeight="1" x14ac:dyDescent="0.2">
      <c r="B93" s="10" t="str">
        <f t="shared" si="0"/>
        <v>0</v>
      </c>
      <c r="G93" s="10"/>
    </row>
    <row r="94" spans="2:7" ht="15.75" customHeight="1" x14ac:dyDescent="0.2">
      <c r="B94" s="10" t="str">
        <f t="shared" si="0"/>
        <v>0</v>
      </c>
      <c r="G94" s="10"/>
    </row>
    <row r="95" spans="2:7" ht="15.75" customHeight="1" x14ac:dyDescent="0.2">
      <c r="B95" s="10" t="str">
        <f t="shared" si="0"/>
        <v>0</v>
      </c>
      <c r="G95" s="10"/>
    </row>
    <row r="96" spans="2:7" ht="15.75" customHeight="1" x14ac:dyDescent="0.2">
      <c r="B96" s="10" t="str">
        <f t="shared" si="0"/>
        <v>0</v>
      </c>
      <c r="G96" s="10"/>
    </row>
    <row r="97" spans="2:7" ht="15.75" customHeight="1" x14ac:dyDescent="0.2">
      <c r="B97" s="10" t="str">
        <f t="shared" si="0"/>
        <v>0</v>
      </c>
      <c r="G97" s="10"/>
    </row>
    <row r="98" spans="2:7" ht="15.75" customHeight="1" x14ac:dyDescent="0.2">
      <c r="B98" s="10" t="str">
        <f t="shared" si="0"/>
        <v>0</v>
      </c>
      <c r="G98" s="10"/>
    </row>
    <row r="99" spans="2:7" ht="15.75" customHeight="1" x14ac:dyDescent="0.2">
      <c r="B99" s="10" t="str">
        <f t="shared" si="0"/>
        <v>0</v>
      </c>
      <c r="G99" s="10"/>
    </row>
    <row r="100" spans="2:7" ht="15.75" customHeight="1" x14ac:dyDescent="0.2">
      <c r="B100" s="10" t="str">
        <f t="shared" si="0"/>
        <v>0</v>
      </c>
      <c r="G100" s="10"/>
    </row>
    <row r="101" spans="2:7" ht="15.75" customHeight="1" x14ac:dyDescent="0.2">
      <c r="B101" s="10"/>
      <c r="G101" s="10"/>
    </row>
    <row r="102" spans="2:7" ht="15.75" customHeight="1" x14ac:dyDescent="0.2">
      <c r="B102" s="10"/>
      <c r="G102" s="10"/>
    </row>
    <row r="103" spans="2:7" ht="15.75" customHeight="1" x14ac:dyDescent="0.2">
      <c r="B103" s="10"/>
      <c r="G103" s="10"/>
    </row>
    <row r="104" spans="2:7" ht="15.75" customHeight="1" x14ac:dyDescent="0.2">
      <c r="B104" s="10"/>
      <c r="G104" s="10"/>
    </row>
    <row r="105" spans="2:7" ht="15.75" customHeight="1" x14ac:dyDescent="0.2">
      <c r="B105" s="10"/>
      <c r="G105" s="10"/>
    </row>
    <row r="106" spans="2:7" ht="15.75" customHeight="1" x14ac:dyDescent="0.2">
      <c r="B106" s="10"/>
      <c r="G106" s="10"/>
    </row>
    <row r="107" spans="2:7" ht="15.75" customHeight="1" x14ac:dyDescent="0.2">
      <c r="B107" s="10"/>
      <c r="G107" s="10"/>
    </row>
    <row r="108" spans="2:7" ht="15.75" customHeight="1" x14ac:dyDescent="0.2">
      <c r="B108" s="10"/>
      <c r="G108" s="10"/>
    </row>
    <row r="109" spans="2:7" ht="15.75" customHeight="1" x14ac:dyDescent="0.2">
      <c r="B109" s="10"/>
      <c r="G109" s="10"/>
    </row>
    <row r="110" spans="2:7" ht="15.75" customHeight="1" x14ac:dyDescent="0.2">
      <c r="B110" s="10"/>
      <c r="G110" s="10"/>
    </row>
    <row r="111" spans="2:7" ht="15.75" customHeight="1" x14ac:dyDescent="0.2">
      <c r="B111" s="10"/>
      <c r="G111" s="10"/>
    </row>
    <row r="112" spans="2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2022-06-16T15:37:07Z</dcterms:modified>
</cp:coreProperties>
</file>