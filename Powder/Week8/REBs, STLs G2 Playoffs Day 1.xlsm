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00648Z-001/"/>
    </mc:Choice>
  </mc:AlternateContent>
  <xr:revisionPtr revIDLastSave="0" documentId="13_ncr:1_{DE1C2D54-2A12-1F4A-9797-D5482C53E3AA}" xr6:coauthVersionLast="47" xr6:coauthVersionMax="47" xr10:uidLastSave="{00000000-0000-0000-0000-000000000000}"/>
  <bookViews>
    <workbookView xWindow="8040" yWindow="500" windowWidth="20760" windowHeight="1594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B11" i="1"/>
  <c r="B12" i="1"/>
  <c r="B13" i="1"/>
  <c r="B14" i="1"/>
  <c r="B15" i="1"/>
  <c r="A11" i="1"/>
  <c r="A12" i="1"/>
  <c r="A13" i="1"/>
  <c r="A14" i="1"/>
  <c r="A15" i="1"/>
  <c r="A1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4" i="2"/>
  <c r="K7" i="2"/>
  <c r="K9" i="2"/>
  <c r="K15" i="2"/>
  <c r="K16" i="2"/>
  <c r="K17" i="2"/>
  <c r="K25" i="2"/>
  <c r="K29" i="2"/>
  <c r="K30" i="2"/>
  <c r="K34" i="2"/>
  <c r="K35" i="2"/>
  <c r="K36" i="2"/>
  <c r="I23" i="2"/>
  <c r="J23" i="2"/>
  <c r="I24" i="2"/>
  <c r="J24" i="2"/>
  <c r="K24" i="2" s="1"/>
  <c r="I25" i="2"/>
  <c r="J25" i="2"/>
  <c r="I26" i="2"/>
  <c r="J26" i="2"/>
  <c r="K26" i="2" s="1"/>
  <c r="I27" i="2"/>
  <c r="J27" i="2"/>
  <c r="I28" i="2"/>
  <c r="K28" i="2" s="1"/>
  <c r="J28" i="2"/>
  <c r="I29" i="2"/>
  <c r="J29" i="2"/>
  <c r="I30" i="2"/>
  <c r="J30" i="2"/>
  <c r="I31" i="2"/>
  <c r="J31" i="2"/>
  <c r="K31" i="2" s="1"/>
  <c r="I32" i="2"/>
  <c r="J32" i="2"/>
  <c r="I33" i="2"/>
  <c r="J33" i="2"/>
  <c r="K33" i="2" s="1"/>
  <c r="I34" i="2"/>
  <c r="J34" i="2"/>
  <c r="I35" i="2"/>
  <c r="J35" i="2"/>
  <c r="I36" i="2"/>
  <c r="J36" i="2"/>
  <c r="I22" i="2"/>
  <c r="J22" i="2"/>
  <c r="K22" i="2" s="1"/>
  <c r="I4" i="2"/>
  <c r="J4" i="2"/>
  <c r="I5" i="2"/>
  <c r="J5" i="2"/>
  <c r="K5" i="2" s="1"/>
  <c r="I6" i="2"/>
  <c r="J6" i="2"/>
  <c r="I7" i="2"/>
  <c r="J7" i="2"/>
  <c r="I8" i="2"/>
  <c r="J8" i="2"/>
  <c r="K8" i="2" s="1"/>
  <c r="I9" i="2"/>
  <c r="J9" i="2"/>
  <c r="I10" i="2"/>
  <c r="J10" i="2"/>
  <c r="K10" i="2" s="1"/>
  <c r="I11" i="2"/>
  <c r="J11" i="2"/>
  <c r="I12" i="2"/>
  <c r="J12" i="2"/>
  <c r="I13" i="2"/>
  <c r="J13" i="2"/>
  <c r="I14" i="2"/>
  <c r="J14" i="2"/>
  <c r="K14" i="2" s="1"/>
  <c r="I15" i="2"/>
  <c r="J15" i="2"/>
  <c r="I16" i="2"/>
  <c r="J16" i="2"/>
  <c r="I17" i="2"/>
  <c r="J17" i="2"/>
  <c r="J3" i="2"/>
  <c r="K3" i="2" s="1"/>
  <c r="I3" i="2"/>
  <c r="K12" i="2" l="1"/>
  <c r="K18" i="2" s="1"/>
  <c r="K6" i="2"/>
  <c r="K27" i="2"/>
  <c r="K32" i="2"/>
  <c r="K13" i="2"/>
  <c r="K23" i="2"/>
  <c r="K37" i="2" s="1"/>
  <c r="K11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Y18" i="1" l="1"/>
  <c r="Y36" i="1"/>
  <c r="G20" i="2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H22" i="2"/>
  <c r="H33" i="2"/>
  <c r="F31" i="2"/>
  <c r="B27" i="1"/>
  <c r="G28" i="2" s="1"/>
  <c r="B22" i="1"/>
  <c r="G23" i="2" s="1"/>
  <c r="C26" i="1"/>
  <c r="H27" i="2" s="1"/>
  <c r="C23" i="1"/>
  <c r="H24" i="2" s="1"/>
  <c r="G32" i="2"/>
  <c r="F16" i="2"/>
  <c r="B35" i="1"/>
  <c r="G36" i="2" s="1"/>
  <c r="F30" i="2"/>
  <c r="B23" i="1"/>
  <c r="G24" i="2" s="1"/>
  <c r="C15" i="1"/>
  <c r="H15" i="2" s="1"/>
  <c r="A35" i="1"/>
  <c r="F36" i="2" s="1"/>
  <c r="G33" i="2"/>
  <c r="H30" i="2"/>
  <c r="A27" i="1"/>
  <c r="F28" i="2" s="1"/>
  <c r="B24" i="1"/>
  <c r="G25" i="2" s="1"/>
  <c r="A22" i="1"/>
  <c r="F23" i="2" s="1"/>
  <c r="F33" i="2"/>
  <c r="B21" i="1"/>
  <c r="G22" i="2" s="1"/>
  <c r="A34" i="1"/>
  <c r="F35" i="2" s="1"/>
  <c r="G15" i="2"/>
  <c r="C17" i="1"/>
  <c r="H17" i="2" s="1"/>
  <c r="F15" i="2"/>
  <c r="B34" i="1"/>
  <c r="G35" i="2" s="1"/>
  <c r="H32" i="2"/>
  <c r="A21" i="1"/>
  <c r="F22" i="2" s="1"/>
  <c r="A26" i="1"/>
  <c r="F27" i="2" s="1"/>
  <c r="B17" i="1"/>
  <c r="G17" i="2" s="1"/>
  <c r="A17" i="1"/>
  <c r="F17" i="2" s="1"/>
  <c r="G14" i="2"/>
  <c r="C33" i="1"/>
  <c r="H34" i="2" s="1"/>
  <c r="F32" i="2"/>
  <c r="B28" i="1"/>
  <c r="G29" i="2" s="1"/>
  <c r="C25" i="1"/>
  <c r="H26" i="2" s="1"/>
  <c r="A23" i="1"/>
  <c r="F24" i="2" s="1"/>
  <c r="F14" i="2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H11" i="2"/>
  <c r="A9" i="1"/>
  <c r="F9" i="2" s="1"/>
  <c r="B6" i="1"/>
  <c r="G6" i="2" s="1"/>
  <c r="G11" i="2"/>
  <c r="C8" i="1"/>
  <c r="H8" i="2" s="1"/>
  <c r="A6" i="1"/>
  <c r="F6" i="2" s="1"/>
  <c r="H13" i="2"/>
  <c r="F11" i="2"/>
  <c r="B8" i="1"/>
  <c r="G8" i="2" s="1"/>
  <c r="C5" i="1"/>
  <c r="H5" i="2" s="1"/>
  <c r="G13" i="2"/>
  <c r="C10" i="1"/>
  <c r="H10" i="2" s="1"/>
  <c r="A8" i="1"/>
  <c r="F8" i="2" s="1"/>
  <c r="B5" i="1"/>
  <c r="G5" i="2" s="1"/>
  <c r="F13" i="2"/>
  <c r="B10" i="1"/>
  <c r="G10" i="2" s="1"/>
  <c r="C7" i="1"/>
  <c r="H7" i="2" s="1"/>
  <c r="A5" i="1"/>
  <c r="F5" i="2" s="1"/>
  <c r="H12" i="2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<sst xmlns="http://schemas.openxmlformats.org/spreadsheetml/2006/main" count="353" uniqueCount="223">
  <si>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</si>
  <si>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</si>
  <si>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</si>
  <si>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</si>
  <si>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</si>
  <si>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</si>
  <si>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</si>
  <si>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</si>
  <si>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</si>
  <si>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</si>
  <si>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</si>
  <si>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</si>
  <si>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</si>
  <si>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</si>
  <si>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</si>
  <si>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</si>
  <si>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</si>
  <si>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</si>
  <si>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</si>
  <si>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</si>
  <si>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</si>
  <si>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</si>
  <si>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</si>
  <si>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</si>
  <si>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</si>
  <si>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</si>
  <si>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</si>
  <si>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</si>
  <si>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</si>
  <si>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</si>
  <si>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</si>
  <si>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</si>
  <si>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</si>
  <si>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</si>
  <si>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</si>
  <si>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</si>
  <si>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</si>
  <si>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</si>
  <si>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</si>
  <si>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</si>
  <si>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</si>
  <si>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</si>
  <si>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</si>
  <si>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</si>
  <si>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</si>
  <si>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</si>
  <si>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</si>
  <si>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</si>
  <si>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</si>
  <si>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</si>
  <si>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</si>
  <si>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</si>
  <si>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</si>
  <si>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</si>
  <si>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</si>
  <si>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</si>
  <si>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</si>
  <si>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</si>
  <si>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</si>
  <si>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</si>
  <si>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</si>
  <si>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</si>
  <si>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</si>
  <si>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</si>
  <si>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</si>
  <si>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</si>
  <si>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</si>
  <si>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</si>
  <si>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</si>
  <si>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</si>
  <si>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</si>
  <si>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</si>
  <si>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</si>
  <si>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</si>
  <si>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</si>
  <si>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</si>
  <si>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</si>
  <si>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</si>
  <si>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</si>
  <si>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</si>
  <si>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</si>
  <si>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</si>
  <si>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</si>
  <si>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</si>
  <si>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</si>
  <si>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</si>
  <si>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</si>
  <si>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</si>
  <si>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</si>
  <si>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</si>
  <si>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</si>
  <si>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</si>
  <si>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</si>
  <si>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</si>
  <si>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</si>
  <si>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</si>
  <si>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</si>
  <si>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</si>
  <si>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</si>
  <si>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</si>
  <si>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</si>
  <si>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</si>
  <si>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</si>
  <si>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</si>
  <si>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</si>
  <si>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</si>
  <si>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</si>
  <si>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</si>
  <si>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</si>
  <si>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</si>
  <si>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</si>
  <si>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</si>
  <si>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</si>
  <si>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</si>
  <si>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</si>
  <si>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</si>
  <si>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</si>
  <si>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</si>
  <si>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</si>
  <si>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</si>
  <si>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</si>
  <si>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</si>
  <si>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</si>
  <si>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</si>
  <si>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</si>
  <si>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</si>
  <si>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</si>
  <si>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</si>
  <si>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</si>
  <si>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</si>
  <si>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</si>
  <si>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</si>
  <si>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</si>
  <si>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</si>
  <si>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</si>
  <si>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</si>
  <si>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</si>
  <si>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</si>
  <si>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</si>
  <si>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</si>
  <si>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</si>
  <si>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</si>
  <si>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</si>
  <si>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</si>
  <si>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</si>
  <si>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</si>
  <si>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</si>
  <si>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</si>
  <si>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</si>
  <si>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</si>
  <si>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</si>
  <si>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</si>
  <si>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</si>
  <si>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</si>
  <si>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</si>
  <si>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</si>
  <si>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</si>
  <si>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</si>
  <si>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</si>
  <si>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</si>
  <si>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</si>
  <si>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</si>
  <si>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</si>
  <si>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</si>
  <si>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</si>
  <si>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</si>
  <si>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</si>
  <si>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</si>
  <si>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</si>
  <si>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</si>
  <si>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</si>
  <si>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</si>
  <si>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</si>
  <si>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</si>
  <si>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</si>
  <si>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</si>
  <si>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</si>
  <si>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</si>
  <si>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</si>
  <si>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</si>
  <si>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</si>
  <si>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</si>
  <si>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</si>
  <si>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</si>
  <si>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</si>
  <si>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</si>
  <si>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</si>
  <si>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</si>
  <si>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</si>
  <si>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</si>
  <si>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</si>
  <si>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</si>
  <si>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</si>
  <si>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</si>
  <si>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</si>
  <si>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</si>
  <si>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</si>
  <si>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</si>
  <si>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</si>
  <si>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</si>
  <si>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</si>
  <si>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</si>
  <si>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</si>
  <si>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</si>
  <si>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</si>
  <si>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</si>
  <si>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</si>
  <si>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</si>
  <si>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</si>
  <si>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</si>
  <si>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</si>
  <si>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</si>
  <si>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</si>
  <si>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</si>
  <si>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STLs</t>
  </si>
  <si>
    <t>TOTAL REBs</t>
  </si>
  <si>
    <t>Lewis</t>
  </si>
  <si>
    <t>Max</t>
  </si>
  <si>
    <t>Shulga</t>
  </si>
  <si>
    <t>Szymon</t>
  </si>
  <si>
    <t>Zapala</t>
  </si>
  <si>
    <t>McKay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</si>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</sst>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1" sqref="D1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Bullock</v>
      </c>
    </row>
    <row r="2" spans="2:11" x14ac:dyDescent="0.2">
      <c r="B2" t="str">
        <f>G1</f>
        <v>Team Bullock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</row>
    <row r="3" spans="2:11" x14ac:dyDescent="0.2">
      <c r="B3">
        <f>I18</f>
        <v>12</v>
      </c>
      <c r="C3" s="3" t="s">
        <v>6</v>
      </c>
      <c r="D3" s="4">
        <f>I37</f>
        <v>15</v>
      </c>
      <c r="F3" t="str">
        <f>'Stats G1'!A3</f>
        <v>Tyus</v>
      </c>
      <c r="G3" t="str">
        <f>'Stats G1'!B3</f>
        <v>Jefferson</v>
      </c>
      <c r="H3">
        <f>'Stats G1'!C3</f>
        <v>3</v>
      </c>
      <c r="I3">
        <f>'Stats G1'!E3</f>
        <v>1</v>
      </c>
      <c r="J3">
        <f>'Stats G1'!H3</f>
        <v>2</v>
      </c>
      <c r="K3">
        <f>J3+I3</f>
        <v>3</v>
      </c>
    </row>
    <row r="4" spans="2:11" x14ac:dyDescent="0.2">
      <c r="F4" t="str">
        <f>'Stats G1'!A4</f>
        <v>Jordan</v>
      </c>
      <c r="G4" t="str">
        <f>'Stats G1'!B4</f>
        <v>Loveridge</v>
      </c>
      <c r="H4">
        <f>'Stats G1'!C4</f>
        <v>21</v>
      </c>
      <c r="I4">
        <f>'Stats G1'!E4</f>
        <v>0</v>
      </c>
      <c r="J4">
        <f>'Stats G1'!H4</f>
        <v>0</v>
      </c>
      <c r="K4">
        <f t="shared" ref="K4:K17" si="0">J4+I4</f>
        <v>0</v>
      </c>
    </row>
    <row r="5" spans="2:11" x14ac:dyDescent="0.2">
      <c r="F5" t="str">
        <f>'Stats G1'!A5</f>
        <v>Kyndayl</v>
      </c>
      <c r="G5" t="str">
        <f>'Stats G1'!B5</f>
        <v>Hill</v>
      </c>
      <c r="H5">
        <f>'Stats G1'!C5</f>
        <v>15</v>
      </c>
      <c r="I5">
        <f>'Stats G1'!E5</f>
        <v>1</v>
      </c>
      <c r="J5">
        <f>'Stats G1'!H5</f>
        <v>3</v>
      </c>
      <c r="K5">
        <f t="shared" si="0"/>
        <v>4</v>
      </c>
    </row>
    <row r="6" spans="2:11" x14ac:dyDescent="0.2">
      <c r="F6" t="str">
        <f>'Stats G1'!A6</f>
        <v>Duce</v>
      </c>
      <c r="G6" t="str">
        <f>'Stats G1'!B6</f>
        <v>Zaid</v>
      </c>
      <c r="H6">
        <f>'Stats G1'!C6</f>
        <v>5</v>
      </c>
      <c r="I6">
        <f>'Stats G1'!E6</f>
        <v>0</v>
      </c>
      <c r="J6">
        <f>'Stats G1'!H6</f>
        <v>2</v>
      </c>
      <c r="K6">
        <f t="shared" si="0"/>
        <v>2</v>
      </c>
    </row>
    <row r="7" spans="2:11" x14ac:dyDescent="0.2">
      <c r="F7" t="str">
        <f>'Stats G1'!A7</f>
        <v>Charles</v>
      </c>
      <c r="G7" t="str">
        <f>'Stats G1'!B7</f>
        <v>Nann</v>
      </c>
      <c r="H7">
        <f>'Stats G1'!C7</f>
        <v>7</v>
      </c>
      <c r="I7">
        <f>'Stats G1'!E7</f>
        <v>0</v>
      </c>
      <c r="J7">
        <f>'Stats G1'!H7</f>
        <v>0</v>
      </c>
      <c r="K7">
        <f t="shared" si="0"/>
        <v>0</v>
      </c>
    </row>
    <row r="8" spans="2:11" x14ac:dyDescent="0.2">
      <c r="F8" t="str">
        <f>'Stats G1'!A8</f>
        <v>Marqus</v>
      </c>
      <c r="G8" t="str">
        <f>'Stats G1'!B8</f>
        <v>Gilson</v>
      </c>
      <c r="H8">
        <f>'Stats G1'!C8</f>
        <v>24</v>
      </c>
      <c r="I8">
        <f>'Stats G1'!E8</f>
        <v>0</v>
      </c>
      <c r="J8">
        <f>'Stats G1'!H8</f>
        <v>2</v>
      </c>
      <c r="K8">
        <f t="shared" si="0"/>
        <v>2</v>
      </c>
    </row>
    <row r="9" spans="2:11" x14ac:dyDescent="0.2">
      <c r="F9" t="str">
        <f>'Stats G1'!A9</f>
        <v>Ray</v>
      </c>
      <c r="G9" t="str">
        <f>'Stats G1'!B9</f>
        <v>Gallegos</v>
      </c>
      <c r="H9">
        <f>'Stats G1'!C9</f>
        <v>8</v>
      </c>
      <c r="I9">
        <f>'Stats G1'!E9</f>
        <v>0</v>
      </c>
      <c r="J9">
        <f>'Stats G1'!H9</f>
        <v>0</v>
      </c>
      <c r="K9">
        <f t="shared" si="0"/>
        <v>0</v>
      </c>
    </row>
    <row r="10" spans="2:11" x14ac:dyDescent="0.2">
      <c r="F10" t="str">
        <f>'Stats G1'!A10</f>
        <v>Colton</v>
      </c>
      <c r="G10" t="str">
        <f>'Stats G1'!B10</f>
        <v>Burgon</v>
      </c>
      <c r="H10">
        <f>'Stats G1'!C10</f>
        <v>20</v>
      </c>
      <c r="I10">
        <f>'Stats G1'!E10</f>
        <v>1</v>
      </c>
      <c r="J10">
        <f>'Stats G1'!H10</f>
        <v>3</v>
      </c>
      <c r="K10">
        <f t="shared" si="0"/>
        <v>4</v>
      </c>
    </row>
    <row r="11" spans="2:11" x14ac:dyDescent="0.2">
      <c r="F11" t="str">
        <f>'Stats G1'!A11</f>
        <v>Thomas</v>
      </c>
      <c r="G11" t="str">
        <f>'Stats G1'!B11</f>
        <v>Bullock</v>
      </c>
      <c r="H11">
        <f>'Stats G1'!C11</f>
        <v>22</v>
      </c>
      <c r="I11">
        <f>'Stats G1'!E11</f>
        <v>2</v>
      </c>
      <c r="J11">
        <f>'Stats G1'!H11</f>
        <v>2</v>
      </c>
      <c r="K11">
        <f t="shared" si="0"/>
        <v>4</v>
      </c>
    </row>
    <row r="12" spans="2:11" x14ac:dyDescent="0.2">
      <c r="F12" t="str">
        <f>'Stats G1'!A12</f>
        <v>Tyler</v>
      </c>
      <c r="G12" t="str">
        <f>'Stats G1'!B12</f>
        <v>Burgess</v>
      </c>
      <c r="H12">
        <f>'Stats G1'!C12</f>
        <v>23</v>
      </c>
      <c r="I12">
        <f>'Stats G1'!E12</f>
        <v>2</v>
      </c>
      <c r="J12">
        <f>'Stats G1'!H12</f>
        <v>4</v>
      </c>
      <c r="K12">
        <f t="shared" si="0"/>
        <v>6</v>
      </c>
    </row>
    <row r="13" spans="2:11" x14ac:dyDescent="0.2">
      <c r="F13" t="str">
        <f>'Stats G1'!A13</f>
        <v>Kentrell</v>
      </c>
      <c r="G13" t="str">
        <f>'Stats G1'!B13</f>
        <v>Barkley</v>
      </c>
      <c r="H13">
        <f>'Stats G1'!C13</f>
        <v>12</v>
      </c>
      <c r="I13">
        <f>'Stats G1'!E13</f>
        <v>2</v>
      </c>
      <c r="J13">
        <f>'Stats G1'!H13</f>
        <v>2</v>
      </c>
      <c r="K13">
        <f t="shared" si="0"/>
        <v>4</v>
      </c>
    </row>
    <row r="14" spans="2:11" x14ac:dyDescent="0.2">
      <c r="F14" t="str">
        <f>'Stats G1'!A14</f>
        <v>Brenden</v>
      </c>
      <c r="G14" t="str">
        <f>'Stats G1'!B14</f>
        <v>Morris</v>
      </c>
      <c r="H14">
        <f>'Stats G1'!C14</f>
        <v>23</v>
      </c>
      <c r="I14">
        <f>'Stats G1'!E14</f>
        <v>3</v>
      </c>
      <c r="J14">
        <f>'Stats G1'!H14</f>
        <v>5</v>
      </c>
      <c r="K14">
        <f t="shared" si="0"/>
        <v>8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12</v>
      </c>
      <c r="J18">
        <f t="shared" si="1"/>
        <v>25</v>
      </c>
      <c r="K18">
        <f t="shared" si="1"/>
        <v>37</v>
      </c>
    </row>
    <row r="20" spans="6:11" x14ac:dyDescent="0.2">
      <c r="F20" t="s">
        <v>4</v>
      </c>
      <c r="G20" t="str">
        <f>'Stats G1'!B19</f>
        <v>Team Erickson</v>
      </c>
    </row>
    <row r="21" spans="6:11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</row>
    <row r="22" spans="6:11" x14ac:dyDescent="0.2">
      <c r="F22" t="str">
        <f>'Stats G1'!A21</f>
        <v>Taylor</v>
      </c>
      <c r="G22" t="str">
        <f>'Stats G1'!B21</f>
        <v>Miller</v>
      </c>
      <c r="H22" t="str">
        <f>'Stats G1'!C21</f>
        <v>00</v>
      </c>
      <c r="I22">
        <f>'Stats G1'!E21</f>
        <v>0</v>
      </c>
      <c r="J22">
        <f>'Stats G1'!H21</f>
        <v>3</v>
      </c>
      <c r="K22">
        <f>J22+I22</f>
        <v>3</v>
      </c>
    </row>
    <row r="23" spans="6:11" x14ac:dyDescent="0.2">
      <c r="F23" t="str">
        <f>'Stats G1'!A22</f>
        <v>Alrek</v>
      </c>
      <c r="G23" t="str">
        <f>'Stats G1'!B22</f>
        <v>Greenhalgh</v>
      </c>
      <c r="H23">
        <f>'Stats G1'!C22</f>
        <v>3</v>
      </c>
      <c r="I23">
        <f>'Stats G1'!E22</f>
        <v>3</v>
      </c>
      <c r="J23">
        <f>'Stats G1'!H22</f>
        <v>1</v>
      </c>
      <c r="K23">
        <f t="shared" ref="K23:K36" si="2">J23+I23</f>
        <v>4</v>
      </c>
    </row>
    <row r="24" spans="6:11" x14ac:dyDescent="0.2">
      <c r="F24" t="str">
        <f>'Stats G1'!A23</f>
        <v>Gideon</v>
      </c>
      <c r="G24" t="str">
        <f>'Stats G1'!B23</f>
        <v>George</v>
      </c>
      <c r="H24">
        <f>'Stats G1'!C23</f>
        <v>5</v>
      </c>
      <c r="I24">
        <f>'Stats G1'!E23</f>
        <v>0</v>
      </c>
      <c r="J24">
        <f>'Stats G1'!H23</f>
        <v>0</v>
      </c>
      <c r="K24">
        <f t="shared" si="2"/>
        <v>0</v>
      </c>
    </row>
    <row r="25" spans="6:11" x14ac:dyDescent="0.2">
      <c r="F25" t="str">
        <f>'Stats G1'!A24</f>
        <v>Brock</v>
      </c>
      <c r="G25" t="str">
        <f>'Stats G1'!B24</f>
        <v>Anderson</v>
      </c>
      <c r="H25">
        <f>'Stats G1'!C24</f>
        <v>30</v>
      </c>
      <c r="I25">
        <f>'Stats G1'!E24</f>
        <v>0</v>
      </c>
      <c r="J25">
        <f>'Stats G1'!H24</f>
        <v>0</v>
      </c>
      <c r="K25">
        <f t="shared" si="2"/>
        <v>0</v>
      </c>
    </row>
    <row r="26" spans="6:11" x14ac:dyDescent="0.2">
      <c r="F26" t="str">
        <f>'Stats G1'!A25</f>
        <v>Dalton</v>
      </c>
      <c r="G26" t="str">
        <f>'Stats G1'!B25</f>
        <v>Nixon</v>
      </c>
      <c r="H26">
        <f>'Stats G1'!C25</f>
        <v>4</v>
      </c>
      <c r="I26">
        <f>'Stats G1'!E25</f>
        <v>0</v>
      </c>
      <c r="J26">
        <f>'Stats G1'!H25</f>
        <v>0</v>
      </c>
      <c r="K26">
        <f t="shared" si="2"/>
        <v>0</v>
      </c>
    </row>
    <row r="27" spans="6:11" x14ac:dyDescent="0.2">
      <c r="F27" t="str">
        <f>'Stats G1'!A26</f>
        <v>Taylor</v>
      </c>
      <c r="G27" t="str">
        <f>'Stats G1'!B26</f>
        <v>Funk</v>
      </c>
      <c r="H27">
        <f>'Stats G1'!C26</f>
        <v>13</v>
      </c>
      <c r="I27">
        <f>'Stats G1'!E26</f>
        <v>3</v>
      </c>
      <c r="J27">
        <f>'Stats G1'!H26</f>
        <v>2</v>
      </c>
      <c r="K27">
        <f t="shared" si="2"/>
        <v>5</v>
      </c>
    </row>
    <row r="28" spans="6:11" x14ac:dyDescent="0.2">
      <c r="F28" t="str">
        <f>'Stats G1'!A27</f>
        <v>Hunter</v>
      </c>
      <c r="G28" t="str">
        <f>'Stats G1'!B27</f>
        <v>Erickson</v>
      </c>
      <c r="H28">
        <f>'Stats G1'!C27</f>
        <v>0</v>
      </c>
      <c r="I28">
        <f>'Stats G1'!E27</f>
        <v>2</v>
      </c>
      <c r="J28">
        <f>'Stats G1'!H27</f>
        <v>1</v>
      </c>
      <c r="K28">
        <f t="shared" si="2"/>
        <v>3</v>
      </c>
    </row>
    <row r="29" spans="6:11" x14ac:dyDescent="0.2">
      <c r="F29" t="str">
        <f>'Stats G1'!A28</f>
        <v>Dayon</v>
      </c>
      <c r="G29" t="str">
        <f>'Stats G1'!B28</f>
        <v>Goodman</v>
      </c>
      <c r="H29">
        <f>'Stats G1'!C28</f>
        <v>35</v>
      </c>
      <c r="I29">
        <f>'Stats G1'!E28</f>
        <v>0</v>
      </c>
      <c r="J29">
        <f>'Stats G1'!H28</f>
        <v>0</v>
      </c>
      <c r="K29">
        <f t="shared" si="2"/>
        <v>0</v>
      </c>
    </row>
    <row r="30" spans="6:11" x14ac:dyDescent="0.2">
      <c r="F30" t="str">
        <f>'Stats G1'!A29</f>
        <v>Lewis</v>
      </c>
      <c r="G30" t="str">
        <f>'Stats G1'!B29</f>
        <v>Johnson</v>
      </c>
      <c r="H30">
        <f>'Stats G1'!C29</f>
        <v>10</v>
      </c>
      <c r="I30">
        <f>'Stats G1'!E29</f>
        <v>0</v>
      </c>
      <c r="J30">
        <f>'Stats G1'!H29</f>
        <v>3</v>
      </c>
      <c r="K30">
        <f t="shared" si="2"/>
        <v>3</v>
      </c>
    </row>
    <row r="31" spans="6:11" x14ac:dyDescent="0.2">
      <c r="F31" t="str">
        <f>'Stats G1'!A30</f>
        <v>Max</v>
      </c>
      <c r="G31" t="str">
        <f>'Stats G1'!B30</f>
        <v>Shulga</v>
      </c>
      <c r="H31">
        <f>'Stats G1'!C30</f>
        <v>45</v>
      </c>
      <c r="I31">
        <f>'Stats G1'!E30</f>
        <v>0</v>
      </c>
      <c r="J31">
        <f>'Stats G1'!H30</f>
        <v>6</v>
      </c>
      <c r="K31">
        <f t="shared" si="2"/>
        <v>6</v>
      </c>
    </row>
    <row r="32" spans="6:11" x14ac:dyDescent="0.2">
      <c r="F32" t="str">
        <f>'Stats G1'!A31</f>
        <v>Szymon</v>
      </c>
      <c r="G32" t="str">
        <f>'Stats G1'!B31</f>
        <v>Zapala</v>
      </c>
      <c r="H32">
        <f>'Stats G1'!C31</f>
        <v>5</v>
      </c>
      <c r="I32">
        <f>'Stats G1'!E31</f>
        <v>5</v>
      </c>
      <c r="J32">
        <f>'Stats G1'!H31</f>
        <v>5</v>
      </c>
      <c r="K32">
        <f t="shared" si="2"/>
        <v>10</v>
      </c>
    </row>
    <row r="33" spans="6:11" x14ac:dyDescent="0.2">
      <c r="F33" t="str">
        <f>'Stats G1'!A32</f>
        <v>McKay</v>
      </c>
      <c r="G33" t="str">
        <f>'Stats G1'!B32</f>
        <v>Johnson</v>
      </c>
      <c r="H33">
        <f>'Stats G1'!C32</f>
        <v>23</v>
      </c>
      <c r="I33">
        <f>'Stats G1'!E32</f>
        <v>2</v>
      </c>
      <c r="J33">
        <f>'Stats G1'!H32</f>
        <v>1</v>
      </c>
      <c r="K33">
        <f t="shared" si="2"/>
        <v>3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15</v>
      </c>
      <c r="J37">
        <f t="shared" si="3"/>
        <v>22</v>
      </c>
      <c r="K37">
        <f t="shared" si="3"/>
        <v>37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abSelected="1" topLeftCell="A14" zoomScale="130" zoomScaleNormal="130" workbookViewId="0">
      <selection activeCell="H32" sqref="H3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20</v>
      </c>
    </row>
    <row r="2" spans="1:25" x14ac:dyDescent="0.2">
      <c r="A2" t="s">
        <v>1</v>
      </c>
      <c r="B2" t="s">
        <v>2</v>
      </c>
      <c r="C2" s="2" t="s">
        <v>0</v>
      </c>
      <c r="E2" t="s">
        <v>14</v>
      </c>
      <c r="H2" t="s">
        <v>15</v>
      </c>
      <c r="K2" t="s">
        <v>214</v>
      </c>
      <c r="Y2" t="s">
        <v>215</v>
      </c>
    </row>
    <row r="3" spans="1:25" s="6" customFormat="1" x14ac:dyDescent="0.2">
      <c r="A3" s="5" t="str">
        <f>_xlfn.IFNA(VLOOKUP($B$1&amp;ROWS($A$3:A3),Rosters!$B$2:$C$163,2,0),"?")</f>
        <v>Tyus</v>
      </c>
      <c r="B3" s="5" t="str">
        <f>_xlfn.IFNA(VLOOKUP($B$1&amp;ROWS($B$3:B3),Rosters!$B$2:$D$163,3,0),"?")</f>
        <v>Jefferson</v>
      </c>
      <c r="C3" s="9">
        <f>_xlfn.IFNA(VLOOKUP($B$1&amp;ROWS($C$3:C3),Rosters!$B$2:$E$163,4,0),"")</f>
        <v>3</v>
      </c>
      <c r="D3" s="5"/>
      <c r="E3" s="5">
        <v>1</v>
      </c>
      <c r="F3" s="5"/>
      <c r="G3" s="5"/>
      <c r="H3" s="5">
        <v>2</v>
      </c>
      <c r="I3" s="5"/>
      <c r="J3" s="5"/>
      <c r="K3" s="5">
        <v>3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>
        <f>SUM(E3,H3)</f>
        <v>3</v>
      </c>
    </row>
    <row r="4" spans="1:25" s="6" customFormat="1" x14ac:dyDescent="0.2">
      <c r="A4" s="6" t="str">
        <f>_xlfn.IFNA(VLOOKUP($B$1&amp;ROWS($A$3:A4),Rosters!$B$2:$C$163,2,0),"?")</f>
        <v>Jordan</v>
      </c>
      <c r="B4" s="6" t="str">
        <f>_xlfn.IFNA(VLOOKUP($B$1&amp;ROWS($B$3:B4),Rosters!$B$2:$D$163,3,0),"?")</f>
        <v>Loveridge</v>
      </c>
      <c r="C4" s="10">
        <f>_xlfn.IFNA(VLOOKUP($B$1&amp;ROWS($C$3:C4),Rosters!$B$2:$E$163,4,0),"")</f>
        <v>21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>
        <f t="shared" ref="Y4:Y36" si="0">SUM(E4,H4)</f>
        <v>0</v>
      </c>
    </row>
    <row r="5" spans="1:25" s="6" customFormat="1" x14ac:dyDescent="0.2">
      <c r="A5" s="5" t="str">
        <f>_xlfn.IFNA(VLOOKUP($B$1&amp;ROWS($A$3:A5),Rosters!$B$2:$C$163,2,0),"?")</f>
        <v>Kyndayl</v>
      </c>
      <c r="B5" s="5" t="str">
        <f>_xlfn.IFNA(VLOOKUP($B$1&amp;ROWS($B$3:B5),Rosters!$B$2:$D$163,3,0),"?")</f>
        <v>Hill</v>
      </c>
      <c r="C5" s="9">
        <f>_xlfn.IFNA(VLOOKUP($B$1&amp;ROWS($C$3:C5),Rosters!$B$2:$E$163,4,0),"")</f>
        <v>15</v>
      </c>
      <c r="D5" s="5"/>
      <c r="E5" s="5">
        <v>1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>
        <f t="shared" si="0"/>
        <v>4</v>
      </c>
    </row>
    <row r="6" spans="1:25" s="6" customFormat="1" x14ac:dyDescent="0.2">
      <c r="A6" s="6" t="str">
        <f>_xlfn.IFNA(VLOOKUP($B$1&amp;ROWS($A$3:A6),Rosters!$B$2:$C$163,2,0),"?")</f>
        <v>Duce</v>
      </c>
      <c r="B6" s="6" t="str">
        <f>_xlfn.IFNA(VLOOKUP($B$1&amp;ROWS($B$3:B6),Rosters!$B$2:$D$163,3,0),"?")</f>
        <v>Zaid</v>
      </c>
      <c r="C6" s="10">
        <f>_xlfn.IFNA(VLOOKUP($B$1&amp;ROWS($C$3:C6),Rosters!$B$2:$E$163,4,0),"")</f>
        <v>5</v>
      </c>
      <c r="E6" s="6">
        <v>0</v>
      </c>
      <c r="H6" s="6">
        <v>2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f t="shared" si="0"/>
        <v>2</v>
      </c>
    </row>
    <row r="7" spans="1:25" s="6" customFormat="1" x14ac:dyDescent="0.2">
      <c r="A7" s="5" t="str">
        <f>_xlfn.IFNA(VLOOKUP($B$1&amp;ROWS($A$3:A7),Rosters!$B$2:$C$163,2,0),"?")</f>
        <v>Charles</v>
      </c>
      <c r="B7" s="5" t="str">
        <f>_xlfn.IFNA(VLOOKUP($B$1&amp;ROWS($B$3:B7),Rosters!$B$2:$D$163,3,0),"?")</f>
        <v>Nann</v>
      </c>
      <c r="C7" s="9">
        <f>_xlfn.IFNA(VLOOKUP($B$1&amp;ROWS($C$3:C7),Rosters!$B$2:$E$163,4,0),"")</f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>
        <f t="shared" si="0"/>
        <v>0</v>
      </c>
    </row>
    <row r="8" spans="1:25" s="6" customFormat="1" x14ac:dyDescent="0.2">
      <c r="A8" s="6" t="str">
        <f>_xlfn.IFNA(VLOOKUP($B$1&amp;ROWS($A$3:A8),Rosters!$B$2:$C$163,2,0),"?")</f>
        <v>Marqus</v>
      </c>
      <c r="B8" s="6" t="str">
        <f>_xlfn.IFNA(VLOOKUP($B$1&amp;ROWS($B$3:B8),Rosters!$B$2:$D$163,3,0),"?")</f>
        <v>Gilson</v>
      </c>
      <c r="C8" s="10">
        <f>_xlfn.IFNA(VLOOKUP($B$1&amp;ROWS($C$3:C8),Rosters!$B$2:$E$163,4,0),"")</f>
        <v>24</v>
      </c>
      <c r="E8" s="6">
        <v>0</v>
      </c>
      <c r="H8" s="6">
        <v>2</v>
      </c>
      <c r="K8" s="6">
        <v>0</v>
      </c>
      <c r="N8" s="6">
        <v>0</v>
      </c>
      <c r="Q8" s="6">
        <v>0</v>
      </c>
      <c r="T8" s="6">
        <v>0</v>
      </c>
      <c r="W8" s="6">
        <v>0</v>
      </c>
      <c r="Y8" s="6">
        <f t="shared" si="0"/>
        <v>2</v>
      </c>
    </row>
    <row r="9" spans="1:25" s="6" customFormat="1" x14ac:dyDescent="0.2">
      <c r="A9" s="5" t="str">
        <f>_xlfn.IFNA(VLOOKUP($B$1&amp;ROWS($A$3:A9),Rosters!$B$2:$C$163,2,0),"?")</f>
        <v>Ray</v>
      </c>
      <c r="B9" s="5" t="str">
        <f>_xlfn.IFNA(VLOOKUP($B$1&amp;ROWS($B$3:B9),Rosters!$B$2:$D$163,3,0),"?")</f>
        <v>Gallegos</v>
      </c>
      <c r="C9" s="9">
        <f>_xlfn.IFNA(VLOOKUP($B$1&amp;ROWS($C$3:C9),Rosters!$B$2:$E$163,4,0),"")</f>
        <v>8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</row>
    <row r="10" spans="1:25" s="6" customFormat="1" x14ac:dyDescent="0.2">
      <c r="A10" s="6" t="str">
        <f>_xlfn.IFNA(VLOOKUP($B$1&amp;ROWS($A$3:A10),Rosters!$B$2:$C$163,2,0),"?")</f>
        <v>Colton</v>
      </c>
      <c r="B10" s="6" t="str">
        <f>_xlfn.IFNA(VLOOKUP($B$1&amp;ROWS($B$3:B10),Rosters!$B$2:$D$163,3,0),"?")</f>
        <v>Burgon</v>
      </c>
      <c r="C10" s="10">
        <f>_xlfn.IFNA(VLOOKUP($B$1&amp;ROWS($C$3:C10),Rosters!$B$2:$E$163,4,0),"")</f>
        <v>20</v>
      </c>
      <c r="E10" s="6">
        <v>1</v>
      </c>
      <c r="H10" s="6">
        <v>3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4</v>
      </c>
    </row>
    <row r="11" spans="1:25" s="6" customFormat="1" x14ac:dyDescent="0.2">
      <c r="A11" s="5" t="str">
        <f>_xlfn.IFNA(VLOOKUP($B$1&amp;ROWS($A$3:A11),Rosters!$B$2:$C$163,2,0),"?")</f>
        <v>Thomas</v>
      </c>
      <c r="B11" s="5" t="str">
        <f>_xlfn.IFNA(VLOOKUP($B$1&amp;ROWS($B$3:B11),Rosters!$B$2:$D$163,3,0),"?")</f>
        <v>Bullock</v>
      </c>
      <c r="C11" s="9">
        <f>_xlfn.IFNA(VLOOKUP($B$1&amp;ROWS($C$3:C11),Rosters!$B$2:$E$163,4,0),"")</f>
        <v>22</v>
      </c>
      <c r="D11" s="5"/>
      <c r="E11" s="5">
        <v>2</v>
      </c>
      <c r="F11" s="5"/>
      <c r="G11" s="5"/>
      <c r="H11" s="5">
        <v>2</v>
      </c>
      <c r="I11" s="5"/>
      <c r="J11" s="5"/>
      <c r="K11" s="5">
        <v>3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4</v>
      </c>
    </row>
    <row r="12" spans="1:25" s="6" customFormat="1" x14ac:dyDescent="0.2">
      <c r="A12" s="6" t="str">
        <f>_xlfn.IFNA(VLOOKUP($B$1&amp;ROWS($A$3:A12),Rosters!$B$2:$C$163,2,0),"?")</f>
        <v>Tyler</v>
      </c>
      <c r="B12" s="6" t="str">
        <f>_xlfn.IFNA(VLOOKUP($B$1&amp;ROWS($B$3:B12),Rosters!$B$2:$D$163,3,0),"?")</f>
        <v>Burgess</v>
      </c>
      <c r="C12" s="10">
        <f>_xlfn.IFNA(VLOOKUP($B$1&amp;ROWS($C$3:C12),Rosters!$B$2:$E$163,4,0),"")</f>
        <v>23</v>
      </c>
      <c r="E12" s="6">
        <v>2</v>
      </c>
      <c r="H12" s="6">
        <v>4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Y12" s="6">
        <f t="shared" si="0"/>
        <v>6</v>
      </c>
    </row>
    <row r="13" spans="1:25" s="6" customFormat="1" x14ac:dyDescent="0.2">
      <c r="A13" s="5" t="str">
        <f>_xlfn.IFNA(VLOOKUP($B$1&amp;ROWS($A$3:A13),Rosters!$B$2:$C$163,2,0),"?")</f>
        <v>Kentrell</v>
      </c>
      <c r="B13" s="5" t="str">
        <f>_xlfn.IFNA(VLOOKUP($B$1&amp;ROWS($B$3:B13),Rosters!$B$2:$D$163,3,0),"?")</f>
        <v>Barkley</v>
      </c>
      <c r="C13" s="9">
        <f>_xlfn.IFNA(VLOOKUP($B$1&amp;ROWS($C$3:C13),Rosters!$B$2:$E$163,4,0),"")</f>
        <v>12</v>
      </c>
      <c r="D13" s="5"/>
      <c r="E13" s="5">
        <v>2</v>
      </c>
      <c r="F13" s="5"/>
      <c r="G13" s="5"/>
      <c r="H13" s="5">
        <v>2</v>
      </c>
      <c r="I13" s="5"/>
      <c r="J13" s="5"/>
      <c r="K13" s="5">
        <v>2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4</v>
      </c>
    </row>
    <row r="14" spans="1:25" s="6" customFormat="1" x14ac:dyDescent="0.2">
      <c r="A14" s="6" t="str">
        <f>_xlfn.IFNA(VLOOKUP($B$1&amp;ROWS($A$3:A14),Rosters!$B$2:$C$163,2,0),"?")</f>
        <v>Brenden</v>
      </c>
      <c r="B14" s="6" t="str">
        <f>_xlfn.IFNA(VLOOKUP($B$1&amp;ROWS($B$3:B14),Rosters!$B$2:$D$163,3,0),"?")</f>
        <v>Morris</v>
      </c>
      <c r="C14" s="10">
        <f>_xlfn.IFNA(VLOOKUP($B$1&amp;ROWS($C$3:C14),Rosters!$B$2:$E$163,4,0),"")</f>
        <v>23</v>
      </c>
      <c r="E14" s="6">
        <v>3</v>
      </c>
      <c r="H14" s="6">
        <v>5</v>
      </c>
      <c r="K14" s="6">
        <v>2</v>
      </c>
      <c r="N14" s="6">
        <v>0</v>
      </c>
      <c r="Q14" s="6">
        <v>0</v>
      </c>
      <c r="T14" s="6">
        <v>0</v>
      </c>
      <c r="W14" s="6">
        <v>0</v>
      </c>
      <c r="Y14" s="6">
        <f t="shared" si="0"/>
        <v>8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9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  <c r="Y15" s="6">
        <f t="shared" si="0"/>
        <v>0</v>
      </c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10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  <c r="Y16" s="6">
        <f t="shared" si="0"/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9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  <c r="Y17" s="6">
        <f t="shared" si="0"/>
        <v>0</v>
      </c>
    </row>
    <row r="18" spans="1:25" s="6" customFormat="1" x14ac:dyDescent="0.2">
      <c r="C18" s="10"/>
      <c r="E18" s="6">
        <f>SUM(E3:E17)</f>
        <v>12</v>
      </c>
      <c r="H18" s="6">
        <f>SUM(H3:H17)</f>
        <v>25</v>
      </c>
      <c r="K18" s="6">
        <f>SUM(K3:K17)</f>
        <v>10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  <c r="Y18" s="6">
        <f t="shared" si="0"/>
        <v>37</v>
      </c>
    </row>
    <row r="19" spans="1:25" x14ac:dyDescent="0.2">
      <c r="A19" s="2" t="s">
        <v>9</v>
      </c>
      <c r="B19" s="1" t="s">
        <v>103</v>
      </c>
      <c r="C19" s="2"/>
      <c r="Y19" s="6"/>
    </row>
    <row r="20" spans="1:25" x14ac:dyDescent="0.2">
      <c r="A20" t="s">
        <v>1</v>
      </c>
      <c r="B20" t="s">
        <v>2</v>
      </c>
      <c r="C20" s="2" t="s">
        <v>0</v>
      </c>
      <c r="E20" t="s">
        <v>14</v>
      </c>
      <c r="H20" t="s">
        <v>15</v>
      </c>
      <c r="K20" t="s">
        <v>214</v>
      </c>
      <c r="Y20" s="6"/>
    </row>
    <row r="21" spans="1:25" s="6" customFormat="1" x14ac:dyDescent="0.2">
      <c r="A21" s="5" t="str">
        <f>_xlfn.IFNA(VLOOKUP($B$19&amp;ROWS($A$21:A21),Rosters!$B$2:$C$163,2,0),"?")</f>
        <v>Taylor</v>
      </c>
      <c r="B21" s="5" t="str">
        <f>_xlfn.IFNA(VLOOKUP($B$19&amp;ROWS($B$21:B21),Rosters!$B$2:$D$163,3,0),"?")</f>
        <v>Miller</v>
      </c>
      <c r="C21" s="11" t="s">
        <v>222</v>
      </c>
      <c r="D21" s="5"/>
      <c r="E21" s="5">
        <v>0</v>
      </c>
      <c r="F21" s="5"/>
      <c r="G21" s="5"/>
      <c r="H21" s="5">
        <v>3</v>
      </c>
      <c r="I21" s="5"/>
      <c r="J21" s="5"/>
      <c r="K21" s="5">
        <v>1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>
        <f t="shared" si="0"/>
        <v>3</v>
      </c>
    </row>
    <row r="22" spans="1:25" x14ac:dyDescent="0.2">
      <c r="A22" t="str">
        <f>_xlfn.IFNA(VLOOKUP($B$19&amp;ROWS($A$21:A22),Rosters!$B$2:$C$163,2,0),"?")</f>
        <v>Alrek</v>
      </c>
      <c r="B22" t="str">
        <f>_xlfn.IFNA(VLOOKUP($B$19&amp;ROWS($B$21:B22),Rosters!$B$2:$D$163,3,0),"?")</f>
        <v>Greenhalgh</v>
      </c>
      <c r="C22" s="2">
        <f>_xlfn.IFNA(VLOOKUP($B$19&amp;ROWS($C$21:C22),Rosters!$B$2:$E$163,4,0),"")</f>
        <v>3</v>
      </c>
      <c r="D22" s="6"/>
      <c r="E22" s="6">
        <v>3</v>
      </c>
      <c r="F22" s="6"/>
      <c r="G22" s="6"/>
      <c r="H22" s="6">
        <v>1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>
        <f t="shared" si="0"/>
        <v>4</v>
      </c>
    </row>
    <row r="23" spans="1:25" s="6" customFormat="1" x14ac:dyDescent="0.2">
      <c r="A23" s="5" t="str">
        <f>_xlfn.IFNA(VLOOKUP($B$19&amp;ROWS($A$21:A23),Rosters!$B$2:$C$163,2,0),"?")</f>
        <v>Gideon</v>
      </c>
      <c r="B23" s="5" t="str">
        <f>_xlfn.IFNA(VLOOKUP($B$19&amp;ROWS($B$21:B23),Rosters!$B$2:$D$163,3,0),"?")</f>
        <v>George</v>
      </c>
      <c r="C23" s="9">
        <f>_xlfn.IFNA(VLOOKUP($B$19&amp;ROWS($C$21:C23),Rosters!$B$2:$E$163,4,0),"")</f>
        <v>5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>
        <f t="shared" si="0"/>
        <v>0</v>
      </c>
    </row>
    <row r="24" spans="1:25" x14ac:dyDescent="0.2">
      <c r="A24" t="str">
        <f>_xlfn.IFNA(VLOOKUP($B$19&amp;ROWS($A$21:A24),Rosters!$B$2:$C$163,2,0),"?")</f>
        <v>Brock</v>
      </c>
      <c r="B24" t="str">
        <f>_xlfn.IFNA(VLOOKUP($B$19&amp;ROWS($B$21:B24),Rosters!$B$2:$D$163,3,0),"?")</f>
        <v>Anderson</v>
      </c>
      <c r="C24" s="2">
        <f>_xlfn.IFNA(VLOOKUP($B$19&amp;ROWS($C$21:C24),Rosters!$B$2:$E$163,4,0),"")</f>
        <v>30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>
        <f t="shared" si="0"/>
        <v>0</v>
      </c>
    </row>
    <row r="25" spans="1:25" s="6" customFormat="1" x14ac:dyDescent="0.2">
      <c r="A25" s="5" t="str">
        <f>_xlfn.IFNA(VLOOKUP($B$19&amp;ROWS($A$21:A25),Rosters!$B$2:$C$163,2,0),"?")</f>
        <v>Dalton</v>
      </c>
      <c r="B25" s="5" t="str">
        <f>_xlfn.IFNA(VLOOKUP($B$19&amp;ROWS($B$21:B25),Rosters!$B$2:$D$163,3,0),"?")</f>
        <v>Nixon</v>
      </c>
      <c r="C25" s="9">
        <f>_xlfn.IFNA(VLOOKUP($B$19&amp;ROWS($C$21:C25),Rosters!$B$2:$E$163,4,0),"")</f>
        <v>4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>
        <f t="shared" si="0"/>
        <v>0</v>
      </c>
    </row>
    <row r="26" spans="1:25" x14ac:dyDescent="0.2">
      <c r="A26" t="str">
        <f>_xlfn.IFNA(VLOOKUP($B$19&amp;ROWS($A$21:A26),Rosters!$B$2:$C$163,2,0),"?")</f>
        <v>Taylor</v>
      </c>
      <c r="B26" t="str">
        <f>_xlfn.IFNA(VLOOKUP($B$19&amp;ROWS($B$21:B26),Rosters!$B$2:$D$163,3,0),"?")</f>
        <v>Funk</v>
      </c>
      <c r="C26" s="2">
        <f>_xlfn.IFNA(VLOOKUP($B$19&amp;ROWS($C$21:C26),Rosters!$B$2:$E$163,4,0),"")</f>
        <v>13</v>
      </c>
      <c r="D26" s="6"/>
      <c r="E26" s="6">
        <v>3</v>
      </c>
      <c r="F26" s="6"/>
      <c r="G26" s="6"/>
      <c r="H26" s="6">
        <v>2</v>
      </c>
      <c r="I26" s="6"/>
      <c r="J26" s="6"/>
      <c r="K26" s="6">
        <v>1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 s="6">
        <f t="shared" si="0"/>
        <v>5</v>
      </c>
    </row>
    <row r="27" spans="1:25" s="6" customFormat="1" x14ac:dyDescent="0.2">
      <c r="A27" s="5" t="str">
        <f>_xlfn.IFNA(VLOOKUP($B$19&amp;ROWS($A$21:A27),Rosters!$B$2:$C$163,2,0),"?")</f>
        <v>Hunter</v>
      </c>
      <c r="B27" s="5" t="str">
        <f>_xlfn.IFNA(VLOOKUP($B$19&amp;ROWS($B$21:B27),Rosters!$B$2:$D$163,3,0),"?")</f>
        <v>Erickson</v>
      </c>
      <c r="C27" s="9">
        <f>_xlfn.IFNA(VLOOKUP($B$19&amp;ROWS($C$21:C27),Rosters!$B$2:$E$163,4,0),"")</f>
        <v>0</v>
      </c>
      <c r="D27" s="5"/>
      <c r="E27" s="5">
        <v>2</v>
      </c>
      <c r="F27" s="5"/>
      <c r="G27" s="5"/>
      <c r="H27" s="5">
        <v>1</v>
      </c>
      <c r="I27" s="5"/>
      <c r="J27" s="5"/>
      <c r="K27" s="5">
        <v>3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 s="6">
        <f t="shared" si="0"/>
        <v>3</v>
      </c>
    </row>
    <row r="28" spans="1:25" x14ac:dyDescent="0.2">
      <c r="A28" t="str">
        <f>_xlfn.IFNA(VLOOKUP($B$19&amp;ROWS($A$21:A28),Rosters!$B$2:$C$163,2,0),"?")</f>
        <v>Dayon</v>
      </c>
      <c r="B28" t="str">
        <f>_xlfn.IFNA(VLOOKUP($B$19&amp;ROWS($B$21:B28),Rosters!$B$2:$D$163,3,0),"?")</f>
        <v>Goodman</v>
      </c>
      <c r="C28" s="2">
        <f>_xlfn.IFNA(VLOOKUP($B$19&amp;ROWS($C$21:C28),Rosters!$B$2:$E$163,4,0),"")</f>
        <v>35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 s="6">
        <f t="shared" si="0"/>
        <v>0</v>
      </c>
    </row>
    <row r="29" spans="1:25" s="6" customFormat="1" x14ac:dyDescent="0.2">
      <c r="A29" s="5" t="s">
        <v>216</v>
      </c>
      <c r="B29" s="5" t="s">
        <v>193</v>
      </c>
      <c r="C29" s="9">
        <v>10</v>
      </c>
      <c r="D29" s="5"/>
      <c r="E29" s="5">
        <v>0</v>
      </c>
      <c r="F29" s="5"/>
      <c r="G29" s="5"/>
      <c r="H29" s="5">
        <v>3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Y29" s="6">
        <f t="shared" si="0"/>
        <v>3</v>
      </c>
    </row>
    <row r="30" spans="1:25" x14ac:dyDescent="0.2">
      <c r="A30" t="s">
        <v>217</v>
      </c>
      <c r="B30" t="s">
        <v>218</v>
      </c>
      <c r="C30" s="2">
        <v>45</v>
      </c>
      <c r="D30" s="6"/>
      <c r="E30" s="6">
        <v>0</v>
      </c>
      <c r="F30" s="6"/>
      <c r="G30" s="6"/>
      <c r="H30" s="6">
        <v>6</v>
      </c>
      <c r="I30" s="6"/>
      <c r="J30" s="6"/>
      <c r="K30" s="6">
        <v>4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 s="6">
        <f t="shared" si="0"/>
        <v>6</v>
      </c>
    </row>
    <row r="31" spans="1:25" s="6" customFormat="1" x14ac:dyDescent="0.2">
      <c r="A31" s="5" t="s">
        <v>219</v>
      </c>
      <c r="B31" s="5" t="s">
        <v>220</v>
      </c>
      <c r="C31" s="9">
        <v>5</v>
      </c>
      <c r="D31" s="5"/>
      <c r="E31" s="5">
        <v>5</v>
      </c>
      <c r="F31" s="5"/>
      <c r="G31" s="5"/>
      <c r="H31" s="5">
        <v>5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  <c r="Y31" s="6">
        <f t="shared" si="0"/>
        <v>10</v>
      </c>
    </row>
    <row r="32" spans="1:25" x14ac:dyDescent="0.2">
      <c r="A32" t="s">
        <v>221</v>
      </c>
      <c r="B32" t="s">
        <v>193</v>
      </c>
      <c r="C32" s="2">
        <v>23</v>
      </c>
      <c r="D32" s="6"/>
      <c r="E32" s="6">
        <v>2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  <c r="Y32" s="6">
        <f t="shared" si="0"/>
        <v>3</v>
      </c>
    </row>
    <row r="33" spans="1:25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9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  <c r="Y33" s="6">
        <f t="shared" si="0"/>
        <v>0</v>
      </c>
    </row>
    <row r="34" spans="1:25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 s="6">
        <f t="shared" si="0"/>
        <v>0</v>
      </c>
    </row>
    <row r="35" spans="1:25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9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 s="6">
        <f t="shared" si="0"/>
        <v>0</v>
      </c>
    </row>
    <row r="36" spans="1:25" x14ac:dyDescent="0.2">
      <c r="E36">
        <f>SUM(E21:E35)</f>
        <v>15</v>
      </c>
      <c r="H36">
        <f>SUM(H21:H35)</f>
        <v>22</v>
      </c>
      <c r="K36">
        <f>SUM(K21:K35)</f>
        <v>10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  <c r="Y36" s="6">
        <f t="shared" si="0"/>
        <v>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2022-08-04T20:27:02Z</dcterms:modified>
</cp:coreProperties>
</file>