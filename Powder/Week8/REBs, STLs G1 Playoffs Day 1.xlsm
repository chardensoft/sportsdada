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804T200648Z-001/"/>
    </mc:Choice>
  </mc:AlternateContent>
  <xr:revisionPtr revIDLastSave="0" documentId="13_ncr:1_{DF4D996B-27E8-074E-9671-EA88D11F5921}" xr6:coauthVersionLast="47" xr6:coauthVersionMax="47" xr10:uidLastSave="{00000000-0000-0000-0000-000000000000}"/>
  <bookViews>
    <workbookView xWindow="9820" yWindow="500" windowWidth="18980" windowHeight="1594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" i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" i="2"/>
  <c r="K7" i="2"/>
  <c r="K8" i="2"/>
  <c r="K9" i="2"/>
  <c r="K12" i="2"/>
  <c r="K13" i="2"/>
  <c r="K14" i="2"/>
  <c r="K17" i="2"/>
  <c r="K24" i="2"/>
  <c r="K27" i="2"/>
  <c r="K28" i="2"/>
  <c r="K33" i="2"/>
  <c r="K34" i="2"/>
  <c r="K35" i="2"/>
  <c r="K36" i="2"/>
  <c r="A12" i="1"/>
  <c r="B12" i="1"/>
  <c r="C29" i="1"/>
  <c r="I23" i="2"/>
  <c r="J23" i="2"/>
  <c r="K23" i="2" s="1"/>
  <c r="I24" i="2"/>
  <c r="J24" i="2"/>
  <c r="I25" i="2"/>
  <c r="J25" i="2"/>
  <c r="I26" i="2"/>
  <c r="J26" i="2"/>
  <c r="K26" i="2" s="1"/>
  <c r="I27" i="2"/>
  <c r="J27" i="2"/>
  <c r="I28" i="2"/>
  <c r="J28" i="2"/>
  <c r="I29" i="2"/>
  <c r="J29" i="2"/>
  <c r="K29" i="2" s="1"/>
  <c r="I30" i="2"/>
  <c r="J30" i="2"/>
  <c r="I31" i="2"/>
  <c r="J31" i="2"/>
  <c r="K31" i="2" s="1"/>
  <c r="I32" i="2"/>
  <c r="J32" i="2"/>
  <c r="K32" i="2" s="1"/>
  <c r="I33" i="2"/>
  <c r="J33" i="2"/>
  <c r="I34" i="2"/>
  <c r="J34" i="2"/>
  <c r="I35" i="2"/>
  <c r="J35" i="2"/>
  <c r="I36" i="2"/>
  <c r="J36" i="2"/>
  <c r="I22" i="2"/>
  <c r="J22" i="2"/>
  <c r="K22" i="2" s="1"/>
  <c r="I4" i="2"/>
  <c r="J4" i="2"/>
  <c r="I5" i="2"/>
  <c r="J5" i="2"/>
  <c r="K5" i="2" s="1"/>
  <c r="I6" i="2"/>
  <c r="J6" i="2"/>
  <c r="I7" i="2"/>
  <c r="J7" i="2"/>
  <c r="I8" i="2"/>
  <c r="J8" i="2"/>
  <c r="I9" i="2"/>
  <c r="J9" i="2"/>
  <c r="I10" i="2"/>
  <c r="J10" i="2"/>
  <c r="K10" i="2" s="1"/>
  <c r="I11" i="2"/>
  <c r="J11" i="2"/>
  <c r="I12" i="2"/>
  <c r="J12" i="2"/>
  <c r="I13" i="2"/>
  <c r="J13" i="2"/>
  <c r="I14" i="2"/>
  <c r="J14" i="2"/>
  <c r="I15" i="2"/>
  <c r="J15" i="2"/>
  <c r="I16" i="2"/>
  <c r="J16" i="2"/>
  <c r="K16" i="2" s="1"/>
  <c r="I17" i="2"/>
  <c r="J17" i="2"/>
  <c r="J3" i="2"/>
  <c r="I3" i="2"/>
  <c r="K4" i="2" l="1"/>
  <c r="K15" i="2"/>
  <c r="K11" i="2"/>
  <c r="K30" i="2"/>
  <c r="K25" i="2"/>
  <c r="K6" i="2"/>
  <c r="K37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Y36" i="1"/>
  <c r="Y18" i="1"/>
  <c r="G20" i="2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G16" i="2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G32" i="2"/>
  <c r="F16" i="2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H17" i="2"/>
  <c r="A15" i="1"/>
  <c r="F15" i="2" s="1"/>
  <c r="B34" i="1"/>
  <c r="G35" i="2" s="1"/>
  <c r="H32" i="2"/>
  <c r="A21" i="1"/>
  <c r="F22" i="2" s="1"/>
  <c r="A26" i="1"/>
  <c r="F27" i="2" s="1"/>
  <c r="G17" i="2"/>
  <c r="F17" i="2"/>
  <c r="B14" i="1"/>
  <c r="G14" i="2" s="1"/>
  <c r="C33" i="1"/>
  <c r="H34" i="2" s="1"/>
  <c r="F32" i="2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H11" i="2"/>
  <c r="A9" i="1"/>
  <c r="F9" i="2" s="1"/>
  <c r="B6" i="1"/>
  <c r="G6" i="2" s="1"/>
  <c r="G11" i="2"/>
  <c r="C8" i="1"/>
  <c r="H8" i="2" s="1"/>
  <c r="A6" i="1"/>
  <c r="F6" i="2" s="1"/>
  <c r="C13" i="1"/>
  <c r="H13" i="2" s="1"/>
  <c r="F11" i="2"/>
  <c r="G8" i="2"/>
  <c r="C5" i="1"/>
  <c r="H5" i="2" s="1"/>
  <c r="B13" i="1"/>
  <c r="G13" i="2" s="1"/>
  <c r="C10" i="1"/>
  <c r="H10" i="2" s="1"/>
  <c r="F8" i="2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F4" i="2"/>
  <c r="B3" i="1"/>
  <c r="G3" i="2" s="1"/>
  <c r="G4" i="2"/>
  <c r="C3" i="1"/>
  <c r="H3" i="2" s="1"/>
  <c r="H4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<sst xmlns="http://schemas.openxmlformats.org/spreadsheetml/2006/main" count="360" uniqueCount="230">
  <si>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</si>
  <si>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</si>
  <si>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</si>
  <si>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</si>
  <si>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</si>
  <si>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</si>
  <si>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</si>
  <si>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</si>
  <si>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</si>
  <si>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</si>
  <si>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</si>
  <si>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</si>
  <si>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</si>
  <si>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</si>
  <si>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</si>
  <si>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</si>
  <si>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</si>
  <si>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</si>
  <si>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</si>
  <si>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</si>
  <si>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</si>
  <si>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</si>
  <si>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</si>
  <si>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</si>
  <si>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</si>
  <si>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</si>
  <si>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</si>
  <si>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</si>
  <si>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</si>
  <si>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</si>
  <si>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</si>
  <si>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</si>
  <si>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</si>
  <si>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</si>
  <si>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</si>
  <si>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</si>
  <si>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</si>
  <si>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</si>
  <si>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</si>
  <si>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</si>
  <si>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</si>
  <si>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</si>
  <si>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</si>
  <si>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</si>
  <si>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</si>
  <si>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</si>
  <si>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</si>
  <si>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</si>
  <si>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</si>
  <si>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</si>
  <si>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</si>
  <si>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</si>
  <si>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</si>
  <si>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</si>
  <si>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</si>
  <si>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</si>
  <si>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</si>
  <si>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</si>
  <si>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</si>
  <si>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</si>
  <si>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</si>
  <si>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</si>
  <si>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</si>
  <si>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</si>
  <si>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</si>
  <si>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</si>
  <si>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</si>
  <si>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</si>
  <si>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</si>
  <si>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</si>
  <si>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</si>
  <si>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</si>
  <si>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</si>
  <si>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</si>
  <si>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</si>
  <si>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</si>
  <si>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</si>
  <si>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</si>
  <si>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</si>
  <si>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</si>
  <si>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</si>
  <si>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</si>
  <si>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</si>
  <si>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</si>
  <si>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</si>
  <si>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</si>
  <si>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</si>
  <si>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</si>
  <si>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</si>
  <si>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</si>
  <si>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</si>
  <si>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</si>
  <si>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</si>
  <si>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</si>
  <si>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</si>
  <si>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</si>
  <si>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</si>
  <si>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</si>
  <si>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</si>
  <si>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</si>
  <si>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</si>
  <si>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</si>
  <si>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</si>
  <si>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</si>
  <si>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</si>
  <si>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</si>
  <si>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</si>
  <si>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</si>
  <si>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</si>
  <si>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</si>
  <si>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</si>
  <si>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</si>
  <si>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</si>
  <si>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</si>
  <si>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</si>
  <si>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</si>
  <si>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</si>
  <si>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</si>
  <si>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</si>
  <si>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</si>
  <si>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</si>
  <si>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</si>
  <si>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</si>
  <si>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</si>
  <si>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</si>
  <si>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</si>
  <si>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</si>
  <si>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</si>
  <si>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</si>
  <si>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</si>
  <si>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</si>
  <si>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</si>
  <si>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</si>
  <si>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</si>
  <si>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</si>
  <si>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</si>
  <si>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</si>
  <si>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</si>
  <si>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</si>
  <si>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</si>
  <si>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</si>
  <si>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</si>
  <si>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</si>
  <si>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</si>
  <si>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</si>
  <si>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</si>
  <si>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</si>
  <si>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</si>
  <si>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</si>
  <si>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</si>
  <si>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</si>
  <si>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</si>
  <si>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</si>
  <si>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</si>
  <si>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</si>
  <si>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</si>
  <si>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</si>
  <si>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</si>
  <si>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</si>
  <si>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</si>
  <si>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</si>
  <si>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</si>
  <si>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</si>
  <si>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</si>
  <si>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</si>
  <si>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</si>
  <si>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</si>
  <si>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</si>
  <si>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</si>
  <si>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</si>
  <si>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</si>
  <si>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</si>
  <si>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</si>
  <si>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</si>
  <si>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</si>
  <si>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</si>
  <si>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</si>
  <si>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</si>
  <si>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</si>
  <si>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</si>
  <si>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</si>
  <si>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</si>
  <si>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</si>
  <si>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</si>
  <si>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</si>
  <si>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</si>
  <si>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</si>
  <si>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</si>
  <si>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</si>
  <si>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</si>
  <si>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</si>
  <si>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</si>
  <si>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</si>
  <si>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</si>
  <si>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</si>
  <si>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</si>
  <si>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</si>
  <si>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</si>
  <si>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</si>
  <si>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</si>
  <si>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</si>
  <si>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</si>
  <si>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</si>
  <si>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</si>
  <si>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</si>
  <si>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</si>
  <si>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</si>
  <si>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</si>
  <si>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</si>
  <si>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</si>
  <si>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</si>
  <si>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</si>
  <si>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</si>
  <si>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</si>
  <si>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STLS</t>
  </si>
  <si>
    <t>McKesey</t>
  </si>
  <si>
    <t>Claude</t>
  </si>
  <si>
    <t>Torian</t>
  </si>
  <si>
    <t>Caleb</t>
  </si>
  <si>
    <t>Jack</t>
  </si>
  <si>
    <t>Wistercill</t>
  </si>
  <si>
    <t>Landon</t>
  </si>
  <si>
    <t>Salvo</t>
  </si>
  <si>
    <t>REB TOTAL</t>
  </si>
  <si>
    <t>Majok</t>
  </si>
  <si>
    <t>Makol</t>
  </si>
  <si>
    <t>Mawien</t>
  </si>
  <si>
    <t>Leonhardt</t>
  </si>
  <si>
    <t>Deng</t>
  </si>
  <si>
    <t>Mayar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</si>
</sst>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1" fillId="2" borderId="0" xfId="0" applyFont="1" applyFill="1"/>
    <xf numFmtId="0" fontId="1" fillId="0" borderId="0" xfId="0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D11" sqref="D1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Team Humpherys</v>
      </c>
    </row>
    <row r="2" spans="2:11" x14ac:dyDescent="0.2">
      <c r="B2" t="str">
        <f>G1</f>
        <v>Team Humpherys</v>
      </c>
      <c r="D2" t="str">
        <f>G20</f>
        <v>Team Egan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16</v>
      </c>
    </row>
    <row r="3" spans="2:11" x14ac:dyDescent="0.2">
      <c r="B3">
        <f>I18</f>
        <v>11</v>
      </c>
      <c r="C3" s="3" t="s">
        <v>6</v>
      </c>
      <c r="D3" s="4">
        <f>I37</f>
        <v>9</v>
      </c>
      <c r="F3" t="str">
        <f>'Stats G1'!A3</f>
        <v>John</v>
      </c>
      <c r="G3" t="str">
        <f>'Stats G1'!B3</f>
        <v>Knight III</v>
      </c>
      <c r="H3">
        <f>'Stats G1'!C3</f>
        <v>23</v>
      </c>
      <c r="I3">
        <f>'Stats G1'!E3</f>
        <v>0</v>
      </c>
      <c r="J3">
        <f>'Stats G1'!H3</f>
        <v>0</v>
      </c>
      <c r="K3">
        <f>J3+I3</f>
        <v>0</v>
      </c>
    </row>
    <row r="4" spans="2:11" x14ac:dyDescent="0.2">
      <c r="F4" t="str">
        <f>'Stats G1'!A4</f>
        <v>Deng</v>
      </c>
      <c r="G4" t="str">
        <f>'Stats G1'!B4</f>
        <v>Mayar</v>
      </c>
      <c r="H4">
        <f>'Stats G1'!C4</f>
        <v>1</v>
      </c>
      <c r="I4">
        <f>'Stats G1'!E4</f>
        <v>1</v>
      </c>
      <c r="J4">
        <f>'Stats G1'!H4</f>
        <v>2</v>
      </c>
      <c r="K4">
        <f t="shared" ref="K4:K17" si="0">J4+I4</f>
        <v>3</v>
      </c>
    </row>
    <row r="5" spans="2:11" x14ac:dyDescent="0.2">
      <c r="F5" t="str">
        <f>'Stats G1'!A5</f>
        <v>Seena</v>
      </c>
      <c r="G5" t="str">
        <f>'Stats G1'!B5</f>
        <v>Namdar</v>
      </c>
      <c r="H5">
        <f>'Stats G1'!C5</f>
        <v>13</v>
      </c>
      <c r="I5">
        <f>'Stats G1'!E5</f>
        <v>0</v>
      </c>
      <c r="J5">
        <f>'Stats G1'!H5</f>
        <v>3</v>
      </c>
      <c r="K5">
        <f t="shared" si="0"/>
        <v>3</v>
      </c>
    </row>
    <row r="6" spans="2:11" x14ac:dyDescent="0.2">
      <c r="F6" t="str">
        <f>'Stats G1'!A6</f>
        <v>Hunter</v>
      </c>
      <c r="G6" t="str">
        <f>'Stats G1'!B6</f>
        <v>Humpherys</v>
      </c>
      <c r="H6">
        <f>'Stats G1'!C6</f>
        <v>11</v>
      </c>
      <c r="I6">
        <f>'Stats G1'!E6</f>
        <v>1</v>
      </c>
      <c r="J6">
        <f>'Stats G1'!H6</f>
        <v>10</v>
      </c>
      <c r="K6">
        <f t="shared" si="0"/>
        <v>11</v>
      </c>
    </row>
    <row r="7" spans="2:11" x14ac:dyDescent="0.2">
      <c r="F7" t="str">
        <f>'Stats G1'!A7</f>
        <v>Mark</v>
      </c>
      <c r="G7" t="str">
        <f>'Stats G1'!B7</f>
        <v>Burton</v>
      </c>
      <c r="H7">
        <f>'Stats G1'!C7</f>
        <v>3</v>
      </c>
      <c r="I7">
        <f>'Stats G1'!E7</f>
        <v>0</v>
      </c>
      <c r="J7">
        <f>'Stats G1'!H7</f>
        <v>4</v>
      </c>
      <c r="K7">
        <f t="shared" si="0"/>
        <v>4</v>
      </c>
    </row>
    <row r="8" spans="2:11" x14ac:dyDescent="0.2">
      <c r="F8" t="str">
        <f>'Stats G1'!A8</f>
        <v>Claude</v>
      </c>
      <c r="G8" t="str">
        <f>'Stats G1'!B8</f>
        <v>McKesey</v>
      </c>
      <c r="H8">
        <f>'Stats G1'!C8</f>
        <v>55</v>
      </c>
      <c r="I8">
        <f>'Stats G1'!E8</f>
        <v>1</v>
      </c>
      <c r="J8">
        <f>'Stats G1'!H8</f>
        <v>5</v>
      </c>
      <c r="K8">
        <f t="shared" si="0"/>
        <v>6</v>
      </c>
    </row>
    <row r="9" spans="2:11" x14ac:dyDescent="0.2">
      <c r="F9" t="str">
        <f>'Stats G1'!A9</f>
        <v>Marco</v>
      </c>
      <c r="G9" t="str">
        <f>'Stats G1'!B9</f>
        <v>Anthony</v>
      </c>
      <c r="H9">
        <f>'Stats G1'!C9</f>
        <v>99</v>
      </c>
      <c r="I9">
        <f>'Stats G1'!E9</f>
        <v>0</v>
      </c>
      <c r="J9">
        <f>'Stats G1'!H9</f>
        <v>0</v>
      </c>
      <c r="K9">
        <f t="shared" si="0"/>
        <v>0</v>
      </c>
    </row>
    <row r="10" spans="2:11" x14ac:dyDescent="0.2">
      <c r="F10" t="str">
        <f>'Stats G1'!A10</f>
        <v>Dee</v>
      </c>
      <c r="G10" t="str">
        <f>'Stats G1'!B10</f>
        <v>Barnes</v>
      </c>
      <c r="H10">
        <f>'Stats G1'!C10</f>
        <v>22</v>
      </c>
      <c r="I10">
        <f>'Stats G1'!E10</f>
        <v>0</v>
      </c>
      <c r="J10">
        <f>'Stats G1'!H10</f>
        <v>4</v>
      </c>
      <c r="K10">
        <f t="shared" si="0"/>
        <v>4</v>
      </c>
    </row>
    <row r="11" spans="2:11" x14ac:dyDescent="0.2">
      <c r="F11" t="str">
        <f>'Stats G1'!A11</f>
        <v>Makol</v>
      </c>
      <c r="G11" t="str">
        <f>'Stats G1'!B11</f>
        <v>Mawien</v>
      </c>
      <c r="H11">
        <f>'Stats G1'!C11</f>
        <v>10</v>
      </c>
      <c r="I11">
        <f>'Stats G1'!E11</f>
        <v>4</v>
      </c>
      <c r="J11">
        <f>'Stats G1'!H11</f>
        <v>3</v>
      </c>
      <c r="K11">
        <f t="shared" si="0"/>
        <v>7</v>
      </c>
    </row>
    <row r="12" spans="2:11" x14ac:dyDescent="0.2">
      <c r="F12" t="str">
        <f>'Stats G1'!A12</f>
        <v>Demarcus</v>
      </c>
      <c r="G12" t="str">
        <f>'Stats G1'!B12</f>
        <v>Harrison</v>
      </c>
      <c r="H12">
        <f>'Stats G1'!C12</f>
        <v>31</v>
      </c>
      <c r="I12">
        <f>'Stats G1'!E12</f>
        <v>0</v>
      </c>
      <c r="J12">
        <f>'Stats G1'!H12</f>
        <v>0</v>
      </c>
      <c r="K12">
        <f t="shared" si="0"/>
        <v>0</v>
      </c>
    </row>
    <row r="13" spans="2:11" x14ac:dyDescent="0.2">
      <c r="F13" t="str">
        <f>'Stats G1'!A13</f>
        <v>Trey</v>
      </c>
      <c r="G13" t="str">
        <f>'Stats G1'!B13</f>
        <v>Anderson</v>
      </c>
      <c r="H13">
        <f>'Stats G1'!C13</f>
        <v>5</v>
      </c>
      <c r="I13">
        <f>'Stats G1'!E13</f>
        <v>0</v>
      </c>
      <c r="J13">
        <f>'Stats G1'!H13</f>
        <v>0</v>
      </c>
      <c r="K13">
        <f t="shared" si="0"/>
        <v>0</v>
      </c>
    </row>
    <row r="14" spans="2:11" x14ac:dyDescent="0.2">
      <c r="F14" t="str">
        <f>'Stats G1'!A14</f>
        <v>Lual</v>
      </c>
      <c r="G14" t="str">
        <f>'Stats G1'!B14</f>
        <v>Arok</v>
      </c>
      <c r="H14">
        <f>'Stats G1'!C14</f>
        <v>9</v>
      </c>
      <c r="I14">
        <f>'Stats G1'!E14</f>
        <v>0</v>
      </c>
      <c r="J14">
        <f>'Stats G1'!H14</f>
        <v>0</v>
      </c>
      <c r="K14">
        <f t="shared" si="0"/>
        <v>0</v>
      </c>
    </row>
    <row r="15" spans="2:11" x14ac:dyDescent="0.2">
      <c r="F15" t="str">
        <f>'Stats G1'!A15</f>
        <v>Zach</v>
      </c>
      <c r="G15" t="str">
        <f>'Stats G1'!B15</f>
        <v>Mogbo</v>
      </c>
      <c r="H15">
        <f>'Stats G1'!C15</f>
        <v>4</v>
      </c>
      <c r="I15">
        <f>'Stats G1'!E15</f>
        <v>2</v>
      </c>
      <c r="J15">
        <f>'Stats G1'!H15</f>
        <v>2</v>
      </c>
      <c r="K15">
        <f t="shared" si="0"/>
        <v>4</v>
      </c>
    </row>
    <row r="16" spans="2:11" x14ac:dyDescent="0.2">
      <c r="F16" t="str">
        <f>'Stats G1'!A16</f>
        <v>Majok</v>
      </c>
      <c r="G16" t="str">
        <f>'Stats G1'!B16</f>
        <v>Kuath</v>
      </c>
      <c r="H16">
        <f>'Stats G1'!C16</f>
        <v>1</v>
      </c>
      <c r="I16">
        <f>'Stats G1'!E16</f>
        <v>2</v>
      </c>
      <c r="J16">
        <f>'Stats G1'!H16</f>
        <v>2</v>
      </c>
      <c r="K16">
        <f t="shared" si="0"/>
        <v>4</v>
      </c>
    </row>
    <row r="17" spans="6:11" x14ac:dyDescent="0.2">
      <c r="F17" t="str">
        <f>'Stats G1'!A17</f>
        <v>Torian</v>
      </c>
      <c r="G17" t="str">
        <f>'Stats G1'!B17</f>
        <v>Jordan</v>
      </c>
      <c r="H17">
        <f>'Stats G1'!C17</f>
        <v>25</v>
      </c>
      <c r="I17">
        <f>'Stats G1'!E17</f>
        <v>0</v>
      </c>
      <c r="J17">
        <f>'Stats G1'!H17</f>
        <v>0</v>
      </c>
      <c r="K17">
        <f t="shared" si="0"/>
        <v>0</v>
      </c>
    </row>
    <row r="18" spans="6:11" x14ac:dyDescent="0.2">
      <c r="H18" s="2" t="s">
        <v>5</v>
      </c>
      <c r="I18">
        <f t="shared" ref="I18:K18" si="1">SUM(I3:I17)</f>
        <v>11</v>
      </c>
      <c r="J18">
        <f t="shared" si="1"/>
        <v>35</v>
      </c>
      <c r="K18">
        <f t="shared" si="1"/>
        <v>46</v>
      </c>
    </row>
    <row r="20" spans="6:11" x14ac:dyDescent="0.2">
      <c r="F20" t="s">
        <v>4</v>
      </c>
      <c r="G20" t="str">
        <f>'Stats G1'!B19</f>
        <v>Team Egan</v>
      </c>
    </row>
    <row r="21" spans="6:11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16</v>
      </c>
    </row>
    <row r="22" spans="6:11" x14ac:dyDescent="0.2">
      <c r="F22" t="str">
        <f>'Stats G1'!A21</f>
        <v>Casdon</v>
      </c>
      <c r="G22" t="str">
        <f>'Stats G1'!B21</f>
        <v>Jardine</v>
      </c>
      <c r="H22">
        <f>'Stats G1'!C21</f>
        <v>22</v>
      </c>
      <c r="I22">
        <f>'Stats G1'!E21</f>
        <v>0</v>
      </c>
      <c r="J22">
        <f>'Stats G1'!H21</f>
        <v>6</v>
      </c>
      <c r="K22">
        <f>J22+I22</f>
        <v>6</v>
      </c>
    </row>
    <row r="23" spans="6:11" x14ac:dyDescent="0.2">
      <c r="F23" t="str">
        <f>'Stats G1'!A22</f>
        <v>Rex</v>
      </c>
      <c r="G23" t="str">
        <f>'Stats G1'!B22</f>
        <v>Sunderland</v>
      </c>
      <c r="H23">
        <f>'Stats G1'!C22</f>
        <v>13</v>
      </c>
      <c r="I23">
        <f>'Stats G1'!E22</f>
        <v>2</v>
      </c>
      <c r="J23">
        <f>'Stats G1'!H22</f>
        <v>7</v>
      </c>
      <c r="K23">
        <f t="shared" ref="K23:K36" si="2">J23+I23</f>
        <v>9</v>
      </c>
    </row>
    <row r="24" spans="6:11" x14ac:dyDescent="0.2">
      <c r="F24" t="str">
        <f>'Stats G1'!A23</f>
        <v>Steve</v>
      </c>
      <c r="G24" t="str">
        <f>'Stats G1'!B23</f>
        <v>Panos</v>
      </c>
      <c r="H24">
        <f>'Stats G1'!C23</f>
        <v>0</v>
      </c>
      <c r="I24">
        <f>'Stats G1'!E23</f>
        <v>0</v>
      </c>
      <c r="J24">
        <f>'Stats G1'!H23</f>
        <v>0</v>
      </c>
      <c r="K24">
        <f t="shared" si="2"/>
        <v>0</v>
      </c>
    </row>
    <row r="25" spans="6:11" x14ac:dyDescent="0.2">
      <c r="F25" t="str">
        <f>'Stats G1'!A24</f>
        <v>James</v>
      </c>
      <c r="G25" t="str">
        <f>'Stats G1'!B24</f>
        <v>Walljasper</v>
      </c>
      <c r="H25">
        <f>'Stats G1'!C24</f>
        <v>1</v>
      </c>
      <c r="I25">
        <f>'Stats G1'!E24</f>
        <v>1</v>
      </c>
      <c r="J25">
        <f>'Stats G1'!H24</f>
        <v>7</v>
      </c>
      <c r="K25">
        <f t="shared" si="2"/>
        <v>8</v>
      </c>
    </row>
    <row r="26" spans="6:11" x14ac:dyDescent="0.2">
      <c r="F26" t="str">
        <f>'Stats G1'!A25</f>
        <v>Wil</v>
      </c>
      <c r="G26" t="str">
        <f>'Stats G1'!B25</f>
        <v>Carter</v>
      </c>
      <c r="H26">
        <f>'Stats G1'!C25</f>
        <v>15</v>
      </c>
      <c r="I26">
        <f>'Stats G1'!E25</f>
        <v>0</v>
      </c>
      <c r="J26">
        <f>'Stats G1'!H25</f>
        <v>0</v>
      </c>
      <c r="K26">
        <f t="shared" si="2"/>
        <v>0</v>
      </c>
    </row>
    <row r="27" spans="6:11" x14ac:dyDescent="0.2">
      <c r="F27" t="str">
        <f>'Stats G1'!A26</f>
        <v>Drew</v>
      </c>
      <c r="G27" t="str">
        <f>'Stats G1'!B26</f>
        <v>Lokeni</v>
      </c>
      <c r="H27">
        <f>'Stats G1'!C26</f>
        <v>7</v>
      </c>
      <c r="I27">
        <f>'Stats G1'!E26</f>
        <v>0</v>
      </c>
      <c r="J27">
        <f>'Stats G1'!H26</f>
        <v>0</v>
      </c>
      <c r="K27">
        <f t="shared" si="2"/>
        <v>0</v>
      </c>
    </row>
    <row r="28" spans="6:11" x14ac:dyDescent="0.2">
      <c r="F28" t="str">
        <f>'Stats G1'!A27</f>
        <v>Mason</v>
      </c>
      <c r="G28" t="str">
        <f>'Stats G1'!B27</f>
        <v>Sawyer</v>
      </c>
      <c r="H28">
        <f>'Stats G1'!C27</f>
        <v>4</v>
      </c>
      <c r="I28">
        <f>'Stats G1'!E27</f>
        <v>0</v>
      </c>
      <c r="J28">
        <f>'Stats G1'!H27</f>
        <v>0</v>
      </c>
      <c r="K28">
        <f t="shared" si="2"/>
        <v>0</v>
      </c>
    </row>
    <row r="29" spans="6:11" x14ac:dyDescent="0.2">
      <c r="F29" t="str">
        <f>'Stats G1'!A28</f>
        <v>Adam</v>
      </c>
      <c r="G29" t="str">
        <f>'Stats G1'!B28</f>
        <v>Egan</v>
      </c>
      <c r="H29">
        <f>'Stats G1'!C28</f>
        <v>13</v>
      </c>
      <c r="I29">
        <f>'Stats G1'!E28</f>
        <v>2</v>
      </c>
      <c r="J29">
        <f>'Stats G1'!H28</f>
        <v>7</v>
      </c>
      <c r="K29">
        <f t="shared" si="2"/>
        <v>9</v>
      </c>
    </row>
    <row r="30" spans="6:11" x14ac:dyDescent="0.2">
      <c r="F30" t="str">
        <f>'Stats G1'!A29</f>
        <v>Jack</v>
      </c>
      <c r="G30" t="str">
        <f>'Stats G1'!B29</f>
        <v>Wistercill</v>
      </c>
      <c r="H30">
        <f>'Stats G1'!C29</f>
        <v>21</v>
      </c>
      <c r="I30">
        <f>'Stats G1'!E29</f>
        <v>2</v>
      </c>
      <c r="J30">
        <f>'Stats G1'!H29</f>
        <v>3</v>
      </c>
      <c r="K30">
        <f t="shared" si="2"/>
        <v>5</v>
      </c>
    </row>
    <row r="31" spans="6:11" x14ac:dyDescent="0.2">
      <c r="F31" t="str">
        <f>'Stats G1'!A30</f>
        <v>Caleb</v>
      </c>
      <c r="G31" t="str">
        <f>'Stats G1'!B30</f>
        <v>Leonhardt</v>
      </c>
      <c r="H31">
        <f>'Stats G1'!C30</f>
        <v>10</v>
      </c>
      <c r="I31">
        <f>'Stats G1'!E30</f>
        <v>0</v>
      </c>
      <c r="J31">
        <f>'Stats G1'!H30</f>
        <v>5</v>
      </c>
      <c r="K31">
        <f t="shared" si="2"/>
        <v>5</v>
      </c>
    </row>
    <row r="32" spans="6:11" x14ac:dyDescent="0.2">
      <c r="F32" t="str">
        <f>'Stats G1'!A31</f>
        <v>Landon</v>
      </c>
      <c r="G32" t="str">
        <f>'Stats G1'!B31</f>
        <v>Salvo</v>
      </c>
      <c r="H32">
        <f>'Stats G1'!C31</f>
        <v>6</v>
      </c>
      <c r="I32">
        <f>'Stats G1'!E31</f>
        <v>2</v>
      </c>
      <c r="J32">
        <f>'Stats G1'!H31</f>
        <v>3</v>
      </c>
      <c r="K32">
        <f t="shared" si="2"/>
        <v>5</v>
      </c>
    </row>
    <row r="33" spans="6:11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 t="shared" si="2"/>
        <v>0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 t="shared" si="2"/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 t="shared" si="2"/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</row>
    <row r="37" spans="6:11" x14ac:dyDescent="0.2">
      <c r="H37" s="2" t="s">
        <v>5</v>
      </c>
      <c r="I37">
        <f t="shared" ref="I37:K37" si="3">SUM(I22:I36)</f>
        <v>9</v>
      </c>
      <c r="J37">
        <f t="shared" si="3"/>
        <v>38</v>
      </c>
      <c r="K37">
        <f t="shared" si="3"/>
        <v>47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tabSelected="1" topLeftCell="A16" zoomScale="130" zoomScaleNormal="130" workbookViewId="0">
      <selection activeCell="B26" sqref="B26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189</v>
      </c>
    </row>
    <row r="2" spans="1:25" x14ac:dyDescent="0.2">
      <c r="A2" t="s">
        <v>1</v>
      </c>
      <c r="B2" t="s">
        <v>2</v>
      </c>
      <c r="C2" s="2" t="s">
        <v>0</v>
      </c>
      <c r="E2" t="s">
        <v>14</v>
      </c>
      <c r="H2" t="s">
        <v>15</v>
      </c>
      <c r="K2" t="s">
        <v>214</v>
      </c>
      <c r="Y2" t="s">
        <v>223</v>
      </c>
    </row>
    <row r="3" spans="1:25" s="6" customFormat="1" x14ac:dyDescent="0.2">
      <c r="A3" s="5" t="str">
        <f>_xlfn.IFNA(VLOOKUP($B$1&amp;ROWS($A$3:A3),Rosters!$B$2:$C$163,2,0),"?")</f>
        <v>John</v>
      </c>
      <c r="B3" s="5" t="str">
        <f>_xlfn.IFNA(VLOOKUP($B$1&amp;ROWS($B$3:B3),Rosters!$B$2:$D$163,3,0),"?")</f>
        <v>Knight III</v>
      </c>
      <c r="C3" s="9">
        <f>_xlfn.IFNA(VLOOKUP($B$1&amp;ROWS($C$3:C3),Rosters!$B$2:$E$163,4,0),"")</f>
        <v>23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>
        <f>SUM(E3,H3)</f>
        <v>0</v>
      </c>
    </row>
    <row r="4" spans="1:25" s="6" customFormat="1" x14ac:dyDescent="0.2">
      <c r="A4" s="6" t="s">
        <v>228</v>
      </c>
      <c r="B4" s="6" t="s">
        <v>229</v>
      </c>
      <c r="C4" s="10">
        <v>1</v>
      </c>
      <c r="E4" s="6">
        <v>1</v>
      </c>
      <c r="H4" s="6">
        <v>2</v>
      </c>
      <c r="K4" s="6">
        <v>0</v>
      </c>
      <c r="N4" s="6">
        <v>0</v>
      </c>
      <c r="Q4" s="6">
        <v>0</v>
      </c>
      <c r="T4" s="6">
        <v>0</v>
      </c>
      <c r="W4" s="6">
        <v>0</v>
      </c>
      <c r="Y4" s="6">
        <f t="shared" ref="Y4:Y36" si="0">SUM(E4,H4)</f>
        <v>3</v>
      </c>
    </row>
    <row r="5" spans="1:25" s="6" customFormat="1" x14ac:dyDescent="0.2">
      <c r="A5" s="5" t="str">
        <f>_xlfn.IFNA(VLOOKUP($B$1&amp;ROWS($A$3:A5),Rosters!$B$2:$C$163,2,0),"?")</f>
        <v>Seena</v>
      </c>
      <c r="B5" s="5" t="str">
        <f>_xlfn.IFNA(VLOOKUP($B$1&amp;ROWS($B$3:B5),Rosters!$B$2:$D$163,3,0),"?")</f>
        <v>Namdar</v>
      </c>
      <c r="C5" s="9">
        <f>_xlfn.IFNA(VLOOKUP($B$1&amp;ROWS($C$3:C5),Rosters!$B$2:$E$163,4,0),"")</f>
        <v>13</v>
      </c>
      <c r="D5" s="5"/>
      <c r="E5" s="5">
        <v>0</v>
      </c>
      <c r="F5" s="5"/>
      <c r="G5" s="5"/>
      <c r="H5" s="5">
        <v>3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>
        <f t="shared" si="0"/>
        <v>3</v>
      </c>
    </row>
    <row r="6" spans="1:25" s="6" customFormat="1" x14ac:dyDescent="0.2">
      <c r="A6" s="6" t="str">
        <f>_xlfn.IFNA(VLOOKUP($B$1&amp;ROWS($A$3:A6),Rosters!$B$2:$C$163,2,0),"?")</f>
        <v>Hunter</v>
      </c>
      <c r="B6" s="6" t="str">
        <f>_xlfn.IFNA(VLOOKUP($B$1&amp;ROWS($B$3:B6),Rosters!$B$2:$D$163,3,0),"?")</f>
        <v>Humpherys</v>
      </c>
      <c r="C6" s="10">
        <f>_xlfn.IFNA(VLOOKUP($B$1&amp;ROWS($C$3:C6),Rosters!$B$2:$E$163,4,0),"")</f>
        <v>11</v>
      </c>
      <c r="E6" s="6">
        <v>1</v>
      </c>
      <c r="H6" s="6">
        <v>10</v>
      </c>
      <c r="K6" s="6">
        <v>0</v>
      </c>
      <c r="N6" s="6">
        <v>0</v>
      </c>
      <c r="Q6" s="6">
        <v>0</v>
      </c>
      <c r="T6" s="6">
        <v>0</v>
      </c>
      <c r="W6" s="6">
        <v>0</v>
      </c>
      <c r="Y6" s="6">
        <f t="shared" si="0"/>
        <v>11</v>
      </c>
    </row>
    <row r="7" spans="1:25" s="6" customFormat="1" x14ac:dyDescent="0.2">
      <c r="A7" s="5" t="str">
        <f>_xlfn.IFNA(VLOOKUP($B$1&amp;ROWS($A$3:A7),Rosters!$B$2:$C$163,2,0),"?")</f>
        <v>Mark</v>
      </c>
      <c r="B7" s="5" t="str">
        <f>_xlfn.IFNA(VLOOKUP($B$1&amp;ROWS($B$3:B7),Rosters!$B$2:$D$163,3,0),"?")</f>
        <v>Burton</v>
      </c>
      <c r="C7" s="9">
        <f>_xlfn.IFNA(VLOOKUP($B$1&amp;ROWS($C$3:C7),Rosters!$B$2:$E$163,4,0),"")</f>
        <v>3</v>
      </c>
      <c r="D7" s="5"/>
      <c r="E7" s="5">
        <v>0</v>
      </c>
      <c r="F7" s="5"/>
      <c r="G7" s="5"/>
      <c r="H7" s="5">
        <v>4</v>
      </c>
      <c r="I7" s="5"/>
      <c r="J7" s="5"/>
      <c r="K7" s="5">
        <v>2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  <c r="Y7" s="6">
        <f t="shared" si="0"/>
        <v>4</v>
      </c>
    </row>
    <row r="8" spans="1:25" s="6" customFormat="1" x14ac:dyDescent="0.2">
      <c r="A8" s="6" t="s">
        <v>216</v>
      </c>
      <c r="B8" s="6" t="s">
        <v>215</v>
      </c>
      <c r="C8" s="10">
        <f>_xlfn.IFNA(VLOOKUP($B$1&amp;ROWS($C$3:C8),Rosters!$B$2:$E$163,4,0),"")</f>
        <v>55</v>
      </c>
      <c r="E8" s="6">
        <v>1</v>
      </c>
      <c r="H8" s="6">
        <v>5</v>
      </c>
      <c r="K8" s="6">
        <v>0</v>
      </c>
      <c r="N8" s="6">
        <v>0</v>
      </c>
      <c r="Q8" s="6">
        <v>0</v>
      </c>
      <c r="T8" s="6">
        <v>0</v>
      </c>
      <c r="W8" s="6">
        <v>0</v>
      </c>
      <c r="Y8" s="6">
        <f t="shared" si="0"/>
        <v>6</v>
      </c>
    </row>
    <row r="9" spans="1:25" s="6" customFormat="1" x14ac:dyDescent="0.2">
      <c r="A9" s="5" t="str">
        <f>_xlfn.IFNA(VLOOKUP($B$1&amp;ROWS($A$3:A9),Rosters!$B$2:$C$163,2,0),"?")</f>
        <v>Marco</v>
      </c>
      <c r="B9" s="5" t="str">
        <f>_xlfn.IFNA(VLOOKUP($B$1&amp;ROWS($B$3:B9),Rosters!$B$2:$D$163,3,0),"?")</f>
        <v>Anthony</v>
      </c>
      <c r="C9" s="9">
        <f>_xlfn.IFNA(VLOOKUP($B$1&amp;ROWS($C$3:C9),Rosters!$B$2:$E$163,4,0),"")</f>
        <v>99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  <c r="Y9" s="6">
        <f t="shared" si="0"/>
        <v>0</v>
      </c>
    </row>
    <row r="10" spans="1:25" s="6" customFormat="1" x14ac:dyDescent="0.2">
      <c r="A10" s="6" t="str">
        <f>_xlfn.IFNA(VLOOKUP($B$1&amp;ROWS($A$3:A10),Rosters!$B$2:$C$163,2,0),"?")</f>
        <v>Dee</v>
      </c>
      <c r="B10" s="6" t="str">
        <f>_xlfn.IFNA(VLOOKUP($B$1&amp;ROWS($B$3:B10),Rosters!$B$2:$D$163,3,0),"?")</f>
        <v>Barnes</v>
      </c>
      <c r="C10" s="10">
        <f>_xlfn.IFNA(VLOOKUP($B$1&amp;ROWS($C$3:C10),Rosters!$B$2:$E$163,4,0),"")</f>
        <v>22</v>
      </c>
      <c r="E10" s="6">
        <v>0</v>
      </c>
      <c r="H10" s="6">
        <v>4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  <c r="Y10" s="6">
        <f t="shared" si="0"/>
        <v>4</v>
      </c>
    </row>
    <row r="11" spans="1:25" s="6" customFormat="1" x14ac:dyDescent="0.2">
      <c r="A11" s="5" t="s">
        <v>225</v>
      </c>
      <c r="B11" s="5" t="s">
        <v>226</v>
      </c>
      <c r="C11" s="9">
        <v>10</v>
      </c>
      <c r="D11" s="5"/>
      <c r="E11" s="5">
        <v>4</v>
      </c>
      <c r="F11" s="5"/>
      <c r="G11" s="5"/>
      <c r="H11" s="5">
        <v>3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  <c r="Y11" s="6">
        <f t="shared" si="0"/>
        <v>7</v>
      </c>
    </row>
    <row r="12" spans="1:25" s="6" customFormat="1" x14ac:dyDescent="0.2">
      <c r="A12" s="6" t="str">
        <f>_xlfn.IFNA(VLOOKUP($B$1&amp;ROWS($A$3:A12),Rosters!$B$2:$C$163,2,0),"?")</f>
        <v>Demarcus</v>
      </c>
      <c r="B12" s="6" t="str">
        <f>_xlfn.IFNA(VLOOKUP($B$1&amp;ROWS($B$3:B12),Rosters!$B$2:$D$163,3,0),"?")</f>
        <v>Harrison</v>
      </c>
      <c r="C12" s="10">
        <f>_xlfn.IFNA(VLOOKUP($B$1&amp;ROWS($C$3:C12),Rosters!$B$2:$E$163,4,0),"")</f>
        <v>31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  <c r="Y12" s="6">
        <f t="shared" si="0"/>
        <v>0</v>
      </c>
    </row>
    <row r="13" spans="1:25" s="6" customFormat="1" x14ac:dyDescent="0.2">
      <c r="A13" s="5" t="str">
        <f>_xlfn.IFNA(VLOOKUP($B$1&amp;ROWS($A$3:A13),Rosters!$B$2:$C$163,2,0),"?")</f>
        <v>Trey</v>
      </c>
      <c r="B13" s="5" t="str">
        <f>_xlfn.IFNA(VLOOKUP($B$1&amp;ROWS($B$3:B13),Rosters!$B$2:$D$163,3,0),"?")</f>
        <v>Anderson</v>
      </c>
      <c r="C13" s="9">
        <f>_xlfn.IFNA(VLOOKUP($B$1&amp;ROWS($C$3:C13),Rosters!$B$2:$E$163,4,0),"")</f>
        <v>5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  <c r="Y13" s="6">
        <f t="shared" si="0"/>
        <v>0</v>
      </c>
    </row>
    <row r="14" spans="1:25" s="6" customFormat="1" x14ac:dyDescent="0.2">
      <c r="A14" s="6" t="str">
        <f>_xlfn.IFNA(VLOOKUP($B$1&amp;ROWS($A$3:A14),Rosters!$B$2:$C$163,2,0),"?")</f>
        <v>Lual</v>
      </c>
      <c r="B14" s="6" t="str">
        <f>_xlfn.IFNA(VLOOKUP($B$1&amp;ROWS($B$3:B14),Rosters!$B$2:$D$163,3,0),"?")</f>
        <v>Arok</v>
      </c>
      <c r="C14" s="10">
        <f>_xlfn.IFNA(VLOOKUP($B$1&amp;ROWS($C$3:C14),Rosters!$B$2:$E$163,4,0),"")</f>
        <v>9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  <c r="Y14" s="6">
        <f t="shared" si="0"/>
        <v>0</v>
      </c>
    </row>
    <row r="15" spans="1:25" s="6" customFormat="1" x14ac:dyDescent="0.2">
      <c r="A15" s="5" t="str">
        <f>_xlfn.IFNA(VLOOKUP($B$1&amp;ROWS($A$3:A15),Rosters!$B$2:$C$163,2,0),"?")</f>
        <v>Zach</v>
      </c>
      <c r="B15" s="5" t="str">
        <f>_xlfn.IFNA(VLOOKUP($B$1&amp;ROWS($B$3:B15),Rosters!$B$2:$D$163,3,0),"?")</f>
        <v>Mogbo</v>
      </c>
      <c r="C15" s="9">
        <f>_xlfn.IFNA(VLOOKUP($B$1&amp;ROWS($C$3:C15),Rosters!$B$2:$E$163,4,0),"")</f>
        <v>4</v>
      </c>
      <c r="D15" s="5"/>
      <c r="E15" s="5">
        <v>2</v>
      </c>
      <c r="F15" s="5"/>
      <c r="G15" s="5"/>
      <c r="H15" s="5">
        <v>2</v>
      </c>
      <c r="I15" s="5"/>
      <c r="J15" s="5"/>
      <c r="K15" s="5">
        <v>1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  <c r="Y15" s="6">
        <f t="shared" si="0"/>
        <v>4</v>
      </c>
    </row>
    <row r="16" spans="1:25" s="6" customFormat="1" x14ac:dyDescent="0.2">
      <c r="A16" s="6" t="s">
        <v>224</v>
      </c>
      <c r="B16" s="6" t="s">
        <v>121</v>
      </c>
      <c r="C16" s="10">
        <f>_xlfn.IFNA(VLOOKUP($B$1&amp;ROWS($C$3:C16),Rosters!$B$2:$E$163,4,0),"")</f>
        <v>1</v>
      </c>
      <c r="E16" s="6">
        <v>2</v>
      </c>
      <c r="H16" s="6">
        <v>2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  <c r="Y16" s="6">
        <f t="shared" si="0"/>
        <v>4</v>
      </c>
    </row>
    <row r="17" spans="1:25" s="6" customFormat="1" x14ac:dyDescent="0.2">
      <c r="A17" s="5" t="s">
        <v>217</v>
      </c>
      <c r="B17" s="5" t="s">
        <v>81</v>
      </c>
      <c r="C17" s="9">
        <v>25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  <c r="Y17" s="6">
        <f t="shared" si="0"/>
        <v>0</v>
      </c>
    </row>
    <row r="18" spans="1:25" s="6" customFormat="1" x14ac:dyDescent="0.2">
      <c r="C18" s="10"/>
      <c r="E18" s="6">
        <f>SUM(E3:E17)</f>
        <v>11</v>
      </c>
      <c r="H18" s="6">
        <f>SUM(H3:H17)</f>
        <v>35</v>
      </c>
      <c r="K18" s="6">
        <f>SUM(K3:K17)</f>
        <v>3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  <c r="Y18" s="6">
        <f t="shared" si="0"/>
        <v>46</v>
      </c>
    </row>
    <row r="19" spans="1:25" x14ac:dyDescent="0.2">
      <c r="A19" s="2" t="s">
        <v>9</v>
      </c>
      <c r="B19" s="1" t="s">
        <v>17</v>
      </c>
      <c r="C19" s="2"/>
      <c r="Y19" s="6"/>
    </row>
    <row r="20" spans="1:25" x14ac:dyDescent="0.2">
      <c r="A20" t="s">
        <v>1</v>
      </c>
      <c r="B20" t="s">
        <v>2</v>
      </c>
      <c r="C20" s="2" t="s">
        <v>0</v>
      </c>
      <c r="E20" t="s">
        <v>14</v>
      </c>
      <c r="H20" t="s">
        <v>15</v>
      </c>
      <c r="K20" t="s">
        <v>214</v>
      </c>
      <c r="Y20" s="6"/>
    </row>
    <row r="21" spans="1:25" s="6" customFormat="1" x14ac:dyDescent="0.2">
      <c r="A21" s="5" t="str">
        <f>_xlfn.IFNA(VLOOKUP($B$19&amp;ROWS($A$21:A21),Rosters!$B$2:$C$163,2,0),"?")</f>
        <v>Casdon</v>
      </c>
      <c r="B21" s="5" t="str">
        <f>_xlfn.IFNA(VLOOKUP($B$19&amp;ROWS($B$21:B21),Rosters!$B$2:$D$163,3,0),"?")</f>
        <v>Jardine</v>
      </c>
      <c r="C21" s="9">
        <f>_xlfn.IFNA(VLOOKUP($B$19&amp;ROWS($C$21:C21),Rosters!$B$2:$E$163,4,0),"")</f>
        <v>22</v>
      </c>
      <c r="D21" s="5"/>
      <c r="E21" s="5">
        <v>0</v>
      </c>
      <c r="F21" s="5"/>
      <c r="G21" s="5"/>
      <c r="H21" s="5">
        <v>6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>
        <f t="shared" si="0"/>
        <v>6</v>
      </c>
    </row>
    <row r="22" spans="1:25" x14ac:dyDescent="0.2">
      <c r="A22" t="str">
        <f>_xlfn.IFNA(VLOOKUP($B$19&amp;ROWS($A$21:A22),Rosters!$B$2:$C$163,2,0),"?")</f>
        <v>Rex</v>
      </c>
      <c r="B22" t="str">
        <f>_xlfn.IFNA(VLOOKUP($B$19&amp;ROWS($B$21:B22),Rosters!$B$2:$D$163,3,0),"?")</f>
        <v>Sunderland</v>
      </c>
      <c r="C22" s="2">
        <f>_xlfn.IFNA(VLOOKUP($B$19&amp;ROWS($C$21:C22),Rosters!$B$2:$E$163,4,0),"")</f>
        <v>13</v>
      </c>
      <c r="D22" s="6"/>
      <c r="E22" s="6">
        <v>2</v>
      </c>
      <c r="F22" s="6"/>
      <c r="G22" s="6"/>
      <c r="H22" s="6">
        <v>7</v>
      </c>
      <c r="I22" s="6"/>
      <c r="J22" s="6"/>
      <c r="K22" s="6">
        <v>1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>
        <f t="shared" si="0"/>
        <v>9</v>
      </c>
    </row>
    <row r="23" spans="1:25" s="6" customFormat="1" x14ac:dyDescent="0.2">
      <c r="A23" s="5" t="str">
        <f>_xlfn.IFNA(VLOOKUP($B$19&amp;ROWS($A$21:A23),Rosters!$B$2:$C$163,2,0),"?")</f>
        <v>Steve</v>
      </c>
      <c r="B23" s="5" t="str">
        <f>_xlfn.IFNA(VLOOKUP($B$19&amp;ROWS($B$21:B23),Rosters!$B$2:$D$163,3,0),"?")</f>
        <v>Panos</v>
      </c>
      <c r="C23" s="9">
        <f>_xlfn.IFNA(VLOOKUP($B$19&amp;ROWS($C$21:C23),Rosters!$B$2:$E$163,4,0),"")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>
        <f t="shared" si="0"/>
        <v>0</v>
      </c>
    </row>
    <row r="24" spans="1:25" x14ac:dyDescent="0.2">
      <c r="A24" t="str">
        <f>_xlfn.IFNA(VLOOKUP($B$19&amp;ROWS($A$21:A24),Rosters!$B$2:$C$163,2,0),"?")</f>
        <v>James</v>
      </c>
      <c r="B24" t="str">
        <f>_xlfn.IFNA(VLOOKUP($B$19&amp;ROWS($B$21:B24),Rosters!$B$2:$D$163,3,0),"?")</f>
        <v>Walljasper</v>
      </c>
      <c r="C24" s="2">
        <f>_xlfn.IFNA(VLOOKUP($B$19&amp;ROWS($C$21:C24),Rosters!$B$2:$E$163,4,0),"")</f>
        <v>1</v>
      </c>
      <c r="D24" s="6"/>
      <c r="E24" s="6">
        <v>1</v>
      </c>
      <c r="F24" s="6"/>
      <c r="G24" s="6"/>
      <c r="H24" s="6">
        <v>7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>
        <f t="shared" si="0"/>
        <v>8</v>
      </c>
    </row>
    <row r="25" spans="1:25" s="6" customFormat="1" x14ac:dyDescent="0.2">
      <c r="A25" s="5" t="str">
        <f>_xlfn.IFNA(VLOOKUP($B$19&amp;ROWS($A$21:A25),Rosters!$B$2:$C$163,2,0),"?")</f>
        <v>Wil</v>
      </c>
      <c r="B25" s="5" t="str">
        <f>_xlfn.IFNA(VLOOKUP($B$19&amp;ROWS($B$21:B25),Rosters!$B$2:$D$163,3,0),"?")</f>
        <v>Carter</v>
      </c>
      <c r="C25" s="9">
        <f>_xlfn.IFNA(VLOOKUP($B$19&amp;ROWS($C$21:C25),Rosters!$B$2:$E$163,4,0),"")</f>
        <v>15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  <c r="Y25" s="6">
        <f t="shared" si="0"/>
        <v>0</v>
      </c>
    </row>
    <row r="26" spans="1:25" x14ac:dyDescent="0.2">
      <c r="A26" t="str">
        <f>_xlfn.IFNA(VLOOKUP($B$19&amp;ROWS($A$21:A26),Rosters!$B$2:$C$163,2,0),"?")</f>
        <v>Drew</v>
      </c>
      <c r="B26" t="str">
        <f>_xlfn.IFNA(VLOOKUP($B$19&amp;ROWS($B$21:B26),Rosters!$B$2:$D$163,3,0),"?")</f>
        <v>Lokeni</v>
      </c>
      <c r="C26" s="2">
        <f>_xlfn.IFNA(VLOOKUP($B$19&amp;ROWS($C$21:C26),Rosters!$B$2:$E$163,4,0),"")</f>
        <v>7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  <c r="Y26" s="6">
        <f t="shared" si="0"/>
        <v>0</v>
      </c>
    </row>
    <row r="27" spans="1:25" s="6" customFormat="1" x14ac:dyDescent="0.2">
      <c r="A27" s="5" t="str">
        <f>_xlfn.IFNA(VLOOKUP($B$19&amp;ROWS($A$21:A27),Rosters!$B$2:$C$163,2,0),"?")</f>
        <v>Mason</v>
      </c>
      <c r="B27" s="5" t="str">
        <f>_xlfn.IFNA(VLOOKUP($B$19&amp;ROWS($B$21:B27),Rosters!$B$2:$D$163,3,0),"?")</f>
        <v>Sawyer</v>
      </c>
      <c r="C27" s="9">
        <f>_xlfn.IFNA(VLOOKUP($B$19&amp;ROWS($C$21:C27),Rosters!$B$2:$E$163,4,0),"")</f>
        <v>4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  <c r="Y27" s="6">
        <f t="shared" si="0"/>
        <v>0</v>
      </c>
    </row>
    <row r="28" spans="1:25" x14ac:dyDescent="0.2">
      <c r="A28" t="str">
        <f>_xlfn.IFNA(VLOOKUP($B$19&amp;ROWS($A$21:A28),Rosters!$B$2:$C$163,2,0),"?")</f>
        <v>Adam</v>
      </c>
      <c r="B28" t="str">
        <f>_xlfn.IFNA(VLOOKUP($B$19&amp;ROWS($B$21:B28),Rosters!$B$2:$D$163,3,0),"?")</f>
        <v>Egan</v>
      </c>
      <c r="C28" s="2">
        <f>_xlfn.IFNA(VLOOKUP($B$19&amp;ROWS($C$21:C28),Rosters!$B$2:$E$163,4,0),"")</f>
        <v>13</v>
      </c>
      <c r="D28" s="6"/>
      <c r="E28" s="6">
        <v>2</v>
      </c>
      <c r="F28" s="6"/>
      <c r="G28" s="6"/>
      <c r="H28" s="6">
        <v>7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  <c r="Y28" s="6">
        <f t="shared" si="0"/>
        <v>9</v>
      </c>
    </row>
    <row r="29" spans="1:25" s="6" customFormat="1" x14ac:dyDescent="0.2">
      <c r="A29" s="5" t="s">
        <v>219</v>
      </c>
      <c r="B29" s="5" t="s">
        <v>220</v>
      </c>
      <c r="C29" s="9">
        <f>_xlfn.IFNA(VLOOKUP($B$19&amp;ROWS($C$21:C29),Rosters!$B$2:$E$163,4,0),"")</f>
        <v>21</v>
      </c>
      <c r="D29" s="5"/>
      <c r="E29" s="5">
        <v>2</v>
      </c>
      <c r="F29" s="5"/>
      <c r="G29" s="5"/>
      <c r="H29" s="5">
        <v>3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  <c r="Y29" s="6">
        <f t="shared" si="0"/>
        <v>5</v>
      </c>
    </row>
    <row r="30" spans="1:25" x14ac:dyDescent="0.2">
      <c r="A30" t="s">
        <v>218</v>
      </c>
      <c r="B30" t="s">
        <v>227</v>
      </c>
      <c r="C30" s="2">
        <v>10</v>
      </c>
      <c r="D30" s="6"/>
      <c r="E30" s="6">
        <v>0</v>
      </c>
      <c r="F30" s="6"/>
      <c r="G30" s="6"/>
      <c r="H30" s="6">
        <v>5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  <c r="Y30" s="6">
        <f t="shared" si="0"/>
        <v>5</v>
      </c>
    </row>
    <row r="31" spans="1:25" s="6" customFormat="1" x14ac:dyDescent="0.2">
      <c r="A31" s="5" t="s">
        <v>221</v>
      </c>
      <c r="B31" s="5" t="s">
        <v>222</v>
      </c>
      <c r="C31" s="9">
        <v>6</v>
      </c>
      <c r="D31" s="5"/>
      <c r="E31" s="5">
        <v>2</v>
      </c>
      <c r="F31" s="5"/>
      <c r="G31" s="5"/>
      <c r="H31" s="5">
        <v>3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  <c r="Y31" s="6">
        <f t="shared" si="0"/>
        <v>5</v>
      </c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s="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  <c r="Y32" s="6">
        <f t="shared" si="0"/>
        <v>0</v>
      </c>
    </row>
    <row r="33" spans="1:25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9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  <c r="Y33" s="6">
        <f t="shared" si="0"/>
        <v>0</v>
      </c>
    </row>
    <row r="34" spans="1:25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  <c r="Y34" s="6">
        <f t="shared" si="0"/>
        <v>0</v>
      </c>
    </row>
    <row r="35" spans="1:25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9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  <c r="Y35" s="6">
        <f t="shared" si="0"/>
        <v>0</v>
      </c>
    </row>
    <row r="36" spans="1:25" x14ac:dyDescent="0.2">
      <c r="E36">
        <f>SUM(E21:E35)</f>
        <v>9</v>
      </c>
      <c r="H36">
        <f>SUM(H21:H35)</f>
        <v>38</v>
      </c>
      <c r="K36">
        <f>SUM(K21:K35)</f>
        <v>2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  <c r="Y36" s="6">
        <f t="shared" si="0"/>
        <v>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17</v>
      </c>
      <c r="B2" s="8" t="str">
        <f>A2&amp;COUNTIF($A$2:$A2,A2)</f>
        <v>Team Egan1</v>
      </c>
      <c r="C2" t="s">
        <v>21</v>
      </c>
      <c r="D2" t="s">
        <v>22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17</v>
      </c>
      <c r="B3" s="8" t="str">
        <f>A3&amp;COUNTIF($A$2:$A3,A3)</f>
        <v>Team Egan2</v>
      </c>
      <c r="C3" t="s">
        <v>23</v>
      </c>
      <c r="D3" t="s">
        <v>24</v>
      </c>
      <c r="E3">
        <v>13</v>
      </c>
      <c r="G3" s="8" t="str">
        <v>Team Covington</v>
      </c>
    </row>
    <row r="4" spans="1:7" x14ac:dyDescent="0.2">
      <c r="A4" t="s">
        <v>17</v>
      </c>
      <c r="B4" s="8" t="str">
        <f>A4&amp;COUNTIF($A$2:$A4,A4)</f>
        <v>Team Egan3</v>
      </c>
      <c r="C4" t="s">
        <v>25</v>
      </c>
      <c r="D4" t="s">
        <v>26</v>
      </c>
      <c r="E4">
        <v>0</v>
      </c>
      <c r="G4" s="8" t="str">
        <v>Team Drisdom</v>
      </c>
    </row>
    <row r="5" spans="1:7" x14ac:dyDescent="0.2">
      <c r="A5" t="s">
        <v>17</v>
      </c>
      <c r="B5" s="8" t="str">
        <f>A5&amp;COUNTIF($A$2:$A5,A5)</f>
        <v>Team Egan4</v>
      </c>
      <c r="C5" t="s">
        <v>27</v>
      </c>
      <c r="D5" t="s">
        <v>28</v>
      </c>
      <c r="E5">
        <v>1</v>
      </c>
      <c r="G5" s="8" t="str">
        <v>Team Bullock</v>
      </c>
    </row>
    <row r="6" spans="1:7" x14ac:dyDescent="0.2">
      <c r="A6" t="s">
        <v>17</v>
      </c>
      <c r="B6" s="8" t="str">
        <f>A6&amp;COUNTIF($A$2:$A6,A6)</f>
        <v>Team Egan5</v>
      </c>
      <c r="C6" t="s">
        <v>29</v>
      </c>
      <c r="D6" t="s">
        <v>30</v>
      </c>
      <c r="E6">
        <v>15</v>
      </c>
      <c r="G6" s="8" t="str">
        <v>Team Erickson</v>
      </c>
    </row>
    <row r="7" spans="1:7" x14ac:dyDescent="0.2">
      <c r="A7" t="s">
        <v>17</v>
      </c>
      <c r="B7" s="8" t="str">
        <f>A7&amp;COUNTIF($A$2:$A7,A7)</f>
        <v>Team Egan6</v>
      </c>
      <c r="C7" t="s">
        <v>31</v>
      </c>
      <c r="D7" t="s">
        <v>32</v>
      </c>
      <c r="E7">
        <v>7</v>
      </c>
      <c r="G7" s="8" t="str">
        <v>Team Joyce</v>
      </c>
    </row>
    <row r="8" spans="1:7" x14ac:dyDescent="0.2">
      <c r="A8" t="s">
        <v>17</v>
      </c>
      <c r="B8" s="8" t="str">
        <f>A8&amp;COUNTIF($A$2:$A8,A8)</f>
        <v>Team Egan7</v>
      </c>
      <c r="C8" t="s">
        <v>33</v>
      </c>
      <c r="D8" t="s">
        <v>34</v>
      </c>
      <c r="E8">
        <v>4</v>
      </c>
      <c r="G8" s="8" t="str">
        <v>Team Berger</v>
      </c>
    </row>
    <row r="9" spans="1:7" x14ac:dyDescent="0.2">
      <c r="A9" t="s">
        <v>17</v>
      </c>
      <c r="B9" s="8" t="str">
        <f>A9&amp;COUNTIF($A$2:$A9,A9)</f>
        <v>Team Egan8</v>
      </c>
      <c r="C9" t="s">
        <v>35</v>
      </c>
      <c r="D9" t="s">
        <v>36</v>
      </c>
      <c r="E9">
        <v>13</v>
      </c>
      <c r="G9" s="8" t="str">
        <v>Team Stan</v>
      </c>
    </row>
    <row r="10" spans="1:7" x14ac:dyDescent="0.2">
      <c r="A10" t="s">
        <v>17</v>
      </c>
      <c r="B10" s="8" t="str">
        <f>A10&amp;COUNTIF($A$2:$A10,A10)</f>
        <v>Team Egan9</v>
      </c>
      <c r="C10" t="s">
        <v>37</v>
      </c>
      <c r="D10" t="s">
        <v>38</v>
      </c>
      <c r="E10">
        <v>21</v>
      </c>
      <c r="G10" s="8" t="str">
        <v>Team Humpherys</v>
      </c>
    </row>
    <row r="11" spans="1:7" x14ac:dyDescent="0.2">
      <c r="A11" t="s">
        <v>18</v>
      </c>
      <c r="B11" s="8" t="str">
        <f>A11&amp;COUNTIF($A$2:$A11,A11)</f>
        <v>Team Covington1</v>
      </c>
      <c r="C11" t="s">
        <v>39</v>
      </c>
      <c r="D11" t="s">
        <v>40</v>
      </c>
      <c r="E11">
        <v>34</v>
      </c>
    </row>
    <row r="12" spans="1:7" x14ac:dyDescent="0.2">
      <c r="A12" t="s">
        <v>18</v>
      </c>
      <c r="B12" s="8" t="str">
        <f>A12&amp;COUNTIF($A$2:$A12,A12)</f>
        <v>Team Covington2</v>
      </c>
      <c r="C12" t="s">
        <v>41</v>
      </c>
      <c r="D12" t="s">
        <v>42</v>
      </c>
      <c r="E12">
        <v>4</v>
      </c>
    </row>
    <row r="13" spans="1:7" x14ac:dyDescent="0.2">
      <c r="A13" t="s">
        <v>18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18</v>
      </c>
      <c r="B14" s="8" t="str">
        <f>A14&amp;COUNTIF($A$2:$A14,A14)</f>
        <v>Team Covington4</v>
      </c>
      <c r="C14" t="s">
        <v>45</v>
      </c>
      <c r="D14" t="s">
        <v>46</v>
      </c>
      <c r="E14">
        <v>87</v>
      </c>
    </row>
    <row r="15" spans="1:7" x14ac:dyDescent="0.2">
      <c r="A15" t="s">
        <v>18</v>
      </c>
      <c r="B15" s="8" t="str">
        <f>A15&amp;COUNTIF($A$2:$A15,A15)</f>
        <v>Team Covington5</v>
      </c>
      <c r="C15" t="s">
        <v>47</v>
      </c>
      <c r="D15" t="s">
        <v>48</v>
      </c>
      <c r="E15">
        <v>23</v>
      </c>
    </row>
    <row r="16" spans="1:7" x14ac:dyDescent="0.2">
      <c r="A16" t="s">
        <v>18</v>
      </c>
      <c r="B16" s="8" t="str">
        <f>A16&amp;COUNTIF($A$2:$A16,A16)</f>
        <v>Team Covington6</v>
      </c>
      <c r="C16" t="s">
        <v>49</v>
      </c>
      <c r="D16" t="s">
        <v>50</v>
      </c>
      <c r="E16">
        <v>2</v>
      </c>
    </row>
    <row r="17" spans="1:5" x14ac:dyDescent="0.2">
      <c r="A17" t="s">
        <v>18</v>
      </c>
      <c r="B17" s="8" t="str">
        <f>A17&amp;COUNTIF($A$2:$A17,A17)</f>
        <v>Team Covington7</v>
      </c>
      <c r="C17" t="s">
        <v>51</v>
      </c>
      <c r="D17" t="s">
        <v>52</v>
      </c>
      <c r="E17">
        <v>10</v>
      </c>
    </row>
    <row r="18" spans="1:5" x14ac:dyDescent="0.2">
      <c r="A18" t="s">
        <v>18</v>
      </c>
      <c r="B18" s="8" t="str">
        <f>A18&amp;COUNTIF($A$2:$A18,A18)</f>
        <v>Team Covington8</v>
      </c>
      <c r="C18" t="s">
        <v>53</v>
      </c>
      <c r="D18" t="s">
        <v>54</v>
      </c>
      <c r="E18">
        <v>25</v>
      </c>
    </row>
    <row r="19" spans="1:5" x14ac:dyDescent="0.2">
      <c r="A19" t="s">
        <v>18</v>
      </c>
      <c r="B19" s="8" t="str">
        <f>A19&amp;COUNTIF($A$2:$A19,A19)</f>
        <v>Team Covington9</v>
      </c>
      <c r="C19" t="s">
        <v>55</v>
      </c>
      <c r="D19" t="s">
        <v>56</v>
      </c>
      <c r="E19">
        <v>3</v>
      </c>
    </row>
    <row r="20" spans="1:5" x14ac:dyDescent="0.2">
      <c r="A20" t="s">
        <v>18</v>
      </c>
      <c r="B20" s="8" t="str">
        <f>A20&amp;COUNTIF($A$2:$A20,A20)</f>
        <v>Team Covington10</v>
      </c>
      <c r="C20" t="s">
        <v>56</v>
      </c>
      <c r="D20" t="s">
        <v>57</v>
      </c>
      <c r="E20">
        <v>33</v>
      </c>
    </row>
    <row r="21" spans="1:5" x14ac:dyDescent="0.2">
      <c r="A21" t="s">
        <v>18</v>
      </c>
      <c r="B21" s="8" t="str">
        <f>A21&amp;COUNTIF($A$2:$A21,A21)</f>
        <v>Team Covington11</v>
      </c>
      <c r="C21" t="s">
        <v>58</v>
      </c>
      <c r="D21" t="s">
        <v>59</v>
      </c>
      <c r="E21">
        <v>16</v>
      </c>
    </row>
    <row r="22" spans="1:5" x14ac:dyDescent="0.2">
      <c r="A22" t="s">
        <v>18</v>
      </c>
      <c r="B22" s="8" t="str">
        <f>A22&amp;COUNTIF($A$2:$A22,A22)</f>
        <v>Team Covington12</v>
      </c>
      <c r="C22" t="s">
        <v>41</v>
      </c>
      <c r="D22" t="s">
        <v>60</v>
      </c>
      <c r="E22">
        <v>14</v>
      </c>
    </row>
    <row r="23" spans="1:5" x14ac:dyDescent="0.2">
      <c r="A23" t="s">
        <v>19</v>
      </c>
      <c r="B23" s="8" t="str">
        <f>A23&amp;COUNTIF($A$2:$A23,A23)</f>
        <v>Team Drisdom1</v>
      </c>
      <c r="C23" t="s">
        <v>61</v>
      </c>
      <c r="D23" t="s">
        <v>62</v>
      </c>
      <c r="E23">
        <v>7</v>
      </c>
    </row>
    <row r="24" spans="1:5" x14ac:dyDescent="0.2">
      <c r="A24" t="s">
        <v>19</v>
      </c>
      <c r="B24" s="8" t="str">
        <f>A24&amp;COUNTIF($A$2:$A24,A24)</f>
        <v>Team Drisdom2</v>
      </c>
      <c r="C24" t="s">
        <v>63</v>
      </c>
      <c r="D24" t="s">
        <v>64</v>
      </c>
      <c r="E24">
        <v>5</v>
      </c>
    </row>
    <row r="25" spans="1:5" x14ac:dyDescent="0.2">
      <c r="A25" t="s">
        <v>19</v>
      </c>
      <c r="B25" s="8" t="str">
        <f>A25&amp;COUNTIF($A$2:$A25,A25)</f>
        <v>Team Drisdom3</v>
      </c>
      <c r="C25" t="s">
        <v>78</v>
      </c>
      <c r="D25" t="s">
        <v>48</v>
      </c>
      <c r="E25">
        <v>10</v>
      </c>
    </row>
    <row r="26" spans="1:5" x14ac:dyDescent="0.2">
      <c r="A26" t="s">
        <v>19</v>
      </c>
      <c r="B26" s="8" t="str">
        <f>A26&amp;COUNTIF($A$2:$A26,A26)</f>
        <v>Team Drisdom4</v>
      </c>
      <c r="C26" t="s">
        <v>65</v>
      </c>
      <c r="D26" t="s">
        <v>66</v>
      </c>
      <c r="E26">
        <v>11</v>
      </c>
    </row>
    <row r="27" spans="1:5" x14ac:dyDescent="0.2">
      <c r="A27" t="s">
        <v>19</v>
      </c>
      <c r="B27" s="8" t="str">
        <f>A27&amp;COUNTIF($A$2:$A27,A27)</f>
        <v>Team Drisdom5</v>
      </c>
      <c r="C27" t="s">
        <v>67</v>
      </c>
      <c r="D27" t="s">
        <v>66</v>
      </c>
      <c r="E27">
        <v>2</v>
      </c>
    </row>
    <row r="28" spans="1:5" x14ac:dyDescent="0.2">
      <c r="A28" t="s">
        <v>19</v>
      </c>
      <c r="B28" s="8" t="str">
        <f>A28&amp;COUNTIF($A$2:$A28,A28)</f>
        <v>Team Drisdom6</v>
      </c>
      <c r="C28" t="s">
        <v>53</v>
      </c>
      <c r="D28" t="s">
        <v>68</v>
      </c>
      <c r="E28">
        <v>0</v>
      </c>
    </row>
    <row r="29" spans="1:5" x14ac:dyDescent="0.2">
      <c r="A29" t="s">
        <v>19</v>
      </c>
      <c r="B29" s="8" t="str">
        <f>A29&amp;COUNTIF($A$2:$A29,A29)</f>
        <v>Team Drisdom7</v>
      </c>
      <c r="C29" t="s">
        <v>69</v>
      </c>
      <c r="D29" t="s">
        <v>62</v>
      </c>
      <c r="E29">
        <v>13</v>
      </c>
    </row>
    <row r="30" spans="1:5" x14ac:dyDescent="0.2">
      <c r="A30" t="s">
        <v>19</v>
      </c>
      <c r="B30" s="8" t="str">
        <f>A30&amp;COUNTIF($A$2:$A30,A30)</f>
        <v>Team Drisdom8</v>
      </c>
      <c r="C30" t="s">
        <v>70</v>
      </c>
      <c r="D30" t="s">
        <v>71</v>
      </c>
      <c r="E30">
        <v>1</v>
      </c>
    </row>
    <row r="31" spans="1:5" x14ac:dyDescent="0.2">
      <c r="A31" t="s">
        <v>19</v>
      </c>
      <c r="B31" s="8" t="str">
        <f>A31&amp;COUNTIF($A$2:$A31,A31)</f>
        <v>Team Drisdom9</v>
      </c>
      <c r="C31" t="s">
        <v>72</v>
      </c>
      <c r="D31" t="s">
        <v>73</v>
      </c>
      <c r="E31">
        <v>4</v>
      </c>
    </row>
    <row r="32" spans="1:5" x14ac:dyDescent="0.2">
      <c r="A32" t="s">
        <v>19</v>
      </c>
      <c r="B32" s="8" t="str">
        <f>A32&amp;COUNTIF($A$2:$A32,A32)</f>
        <v>Team Drisdom10</v>
      </c>
      <c r="C32" t="s">
        <v>74</v>
      </c>
      <c r="D32" t="s">
        <v>75</v>
      </c>
      <c r="E32">
        <v>6</v>
      </c>
    </row>
    <row r="33" spans="1:5" x14ac:dyDescent="0.2">
      <c r="A33" t="s">
        <v>19</v>
      </c>
      <c r="B33" s="8" t="str">
        <f>A33&amp;COUNTIF($A$2:$A33,A33)</f>
        <v>Team Drisdom11</v>
      </c>
      <c r="C33" t="s">
        <v>76</v>
      </c>
      <c r="D33" t="s">
        <v>77</v>
      </c>
      <c r="E33">
        <v>20</v>
      </c>
    </row>
    <row r="34" spans="1:5" x14ac:dyDescent="0.2">
      <c r="A34" t="s">
        <v>20</v>
      </c>
      <c r="B34" s="8" t="str">
        <f>A34&amp;COUNTIF($A$2:$A34,A34)</f>
        <v>Team Bullock1</v>
      </c>
      <c r="C34" t="s">
        <v>79</v>
      </c>
      <c r="D34" t="s">
        <v>80</v>
      </c>
      <c r="E34">
        <v>3</v>
      </c>
    </row>
    <row r="35" spans="1:5" x14ac:dyDescent="0.2">
      <c r="A35" t="s">
        <v>20</v>
      </c>
      <c r="B35" s="8" t="str">
        <f>A35&amp;COUNTIF($A$2:$A35,A35)</f>
        <v>Team Bullock2</v>
      </c>
      <c r="C35" t="s">
        <v>81</v>
      </c>
      <c r="D35" t="s">
        <v>82</v>
      </c>
      <c r="E35">
        <v>21</v>
      </c>
    </row>
    <row r="36" spans="1:5" x14ac:dyDescent="0.2">
      <c r="A36" t="s">
        <v>20</v>
      </c>
      <c r="B36" s="8" t="str">
        <f>A36&amp;COUNTIF($A$2:$A36,A36)</f>
        <v>Team Bullock3</v>
      </c>
      <c r="C36" t="s">
        <v>83</v>
      </c>
      <c r="D36" t="s">
        <v>84</v>
      </c>
      <c r="E36">
        <v>15</v>
      </c>
    </row>
    <row r="37" spans="1:5" x14ac:dyDescent="0.2">
      <c r="A37" t="s">
        <v>20</v>
      </c>
      <c r="B37" s="8" t="str">
        <f>A37&amp;COUNTIF($A$2:$A37,A37)</f>
        <v>Team Bullock4</v>
      </c>
      <c r="C37" t="s">
        <v>85</v>
      </c>
      <c r="D37" t="s">
        <v>86</v>
      </c>
      <c r="E37">
        <v>5</v>
      </c>
    </row>
    <row r="38" spans="1:5" x14ac:dyDescent="0.2">
      <c r="A38" t="s">
        <v>20</v>
      </c>
      <c r="B38" s="8" t="str">
        <f>A38&amp;COUNTIF($A$2:$A38,A38)</f>
        <v>Team Bullock5</v>
      </c>
      <c r="C38" t="s">
        <v>87</v>
      </c>
      <c r="D38" t="s">
        <v>88</v>
      </c>
      <c r="E38">
        <v>7</v>
      </c>
    </row>
    <row r="39" spans="1:5" x14ac:dyDescent="0.2">
      <c r="A39" t="s">
        <v>20</v>
      </c>
      <c r="B39" s="8" t="str">
        <f>A39&amp;COUNTIF($A$2:$A39,A39)</f>
        <v>Team Bullock6</v>
      </c>
      <c r="C39" t="s">
        <v>89</v>
      </c>
      <c r="D39" t="s">
        <v>90</v>
      </c>
      <c r="E39">
        <v>24</v>
      </c>
    </row>
    <row r="40" spans="1:5" x14ac:dyDescent="0.2">
      <c r="A40" t="s">
        <v>20</v>
      </c>
      <c r="B40" s="8" t="str">
        <f>A40&amp;COUNTIF($A$2:$A40,A40)</f>
        <v>Team Bullock7</v>
      </c>
      <c r="C40" t="s">
        <v>91</v>
      </c>
      <c r="D40" t="s">
        <v>92</v>
      </c>
      <c r="E40">
        <v>8</v>
      </c>
    </row>
    <row r="41" spans="1:5" x14ac:dyDescent="0.2">
      <c r="A41" t="s">
        <v>20</v>
      </c>
      <c r="B41" s="8" t="str">
        <f>A41&amp;COUNTIF($A$2:$A41,A41)</f>
        <v>Team Bullock8</v>
      </c>
      <c r="C41" t="s">
        <v>93</v>
      </c>
      <c r="D41" t="s">
        <v>94</v>
      </c>
      <c r="E41">
        <v>20</v>
      </c>
    </row>
    <row r="42" spans="1:5" x14ac:dyDescent="0.2">
      <c r="A42" t="s">
        <v>20</v>
      </c>
      <c r="B42" s="8" t="str">
        <f>A42&amp;COUNTIF($A$2:$A42,A42)</f>
        <v>Team Bullock9</v>
      </c>
      <c r="C42" t="s">
        <v>95</v>
      </c>
      <c r="D42" t="s">
        <v>96</v>
      </c>
      <c r="E42">
        <v>22</v>
      </c>
    </row>
    <row r="43" spans="1:5" x14ac:dyDescent="0.2">
      <c r="A43" t="s">
        <v>20</v>
      </c>
      <c r="B43" s="8" t="str">
        <f>A43&amp;COUNTIF($A$2:$A43,A43)</f>
        <v>Team Bullock10</v>
      </c>
      <c r="C43" t="s">
        <v>97</v>
      </c>
      <c r="D43" t="s">
        <v>98</v>
      </c>
      <c r="E43">
        <v>23</v>
      </c>
    </row>
    <row r="44" spans="1:5" x14ac:dyDescent="0.2">
      <c r="A44" t="s">
        <v>20</v>
      </c>
      <c r="B44" s="8" t="str">
        <f>A44&amp;COUNTIF($A$2:$A44,A44)</f>
        <v>Team Bullock11</v>
      </c>
      <c r="C44" t="s">
        <v>99</v>
      </c>
      <c r="D44" t="s">
        <v>100</v>
      </c>
      <c r="E44">
        <v>12</v>
      </c>
    </row>
    <row r="45" spans="1:5" x14ac:dyDescent="0.2">
      <c r="A45" t="s">
        <v>20</v>
      </c>
      <c r="B45" s="8" t="str">
        <f>A45&amp;COUNTIF($A$2:$A45,A45)</f>
        <v>Team Bullock12</v>
      </c>
      <c r="C45" t="s">
        <v>101</v>
      </c>
      <c r="D45" t="s">
        <v>102</v>
      </c>
      <c r="E45">
        <v>23</v>
      </c>
    </row>
    <row r="46" spans="1:5" x14ac:dyDescent="0.2">
      <c r="A46" t="s">
        <v>103</v>
      </c>
      <c r="B46" s="8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8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8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8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8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8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8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8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8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8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8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8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8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8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8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8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8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8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8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8" t="str">
        <f>A65&amp;COUNTIF($A$2:$A65,A65)</f>
        <v>Team Berger1</v>
      </c>
      <c r="C65" t="s">
        <v>143</v>
      </c>
      <c r="D65" t="s">
        <v>73</v>
      </c>
      <c r="E65">
        <v>60</v>
      </c>
    </row>
    <row r="66" spans="1:5" x14ac:dyDescent="0.2">
      <c r="A66" t="s">
        <v>142</v>
      </c>
      <c r="B66" s="8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8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8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8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8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8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8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8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8" t="str">
        <f>A74&amp;COUNTIF($A$2:$A74,A74)</f>
        <v>Team Berger10</v>
      </c>
      <c r="C74" t="s">
        <v>160</v>
      </c>
      <c r="D74" t="s">
        <v>213</v>
      </c>
      <c r="E74">
        <v>6</v>
      </c>
    </row>
    <row r="75" spans="1:5" x14ac:dyDescent="0.2">
      <c r="A75" t="s">
        <v>142</v>
      </c>
      <c r="B75" s="8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8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8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8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8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8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8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8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8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8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8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8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8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8" t="str">
        <f>A88&amp;COUNTIF($A$2:$A88,A88)</f>
        <v>Team Stan13</v>
      </c>
      <c r="C88" t="s">
        <v>187</v>
      </c>
      <c r="D88" t="s">
        <v>188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123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115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173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132</v>
      </c>
      <c r="D99" t="s">
        <v>111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x14ac:dyDescent="0.2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2022-08-04T20:17:53Z</dcterms:modified>
</cp:coreProperties>
</file>