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ewbergeson/Downloads/"/>
    </mc:Choice>
  </mc:AlternateContent>
  <xr:revisionPtr revIDLastSave="0" documentId="13_ncr:1_{7A192243-879C-4642-8E6B-1BCD8BC06E8B}" xr6:coauthVersionLast="47" xr6:coauthVersionMax="47" xr10:uidLastSave="{00000000-0000-0000-0000-000000000000}"/>
  <bookViews>
    <workbookView xWindow="0" yWindow="0" windowWidth="28800" windowHeight="1800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L18" i="2"/>
  <c r="K18" i="2"/>
  <c r="K37" i="2"/>
  <c r="J18" i="2"/>
  <c r="J37" i="2"/>
  <c r="G20" i="2"/>
  <c r="D2" i="2" s="1"/>
  <c r="G1" i="2"/>
  <c r="B2" i="2" s="1"/>
  <c r="C19" i="1" l="1"/>
  <c r="H17" i="2" s="1"/>
  <c r="F15" i="2"/>
  <c r="B36" i="1"/>
  <c r="G35" i="2" s="1"/>
  <c r="C33" i="1"/>
  <c r="H32" i="2" s="1"/>
  <c r="A31" i="1"/>
  <c r="F30" i="2" s="1"/>
  <c r="B28" i="1"/>
  <c r="G27" i="2" s="1"/>
  <c r="H24" i="2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G33" i="2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H26" i="2"/>
  <c r="A25" i="1"/>
  <c r="F24" i="2" s="1"/>
  <c r="A16" i="1"/>
  <c r="F14" i="2" s="1"/>
  <c r="A30" i="1"/>
  <c r="F29" i="2" s="1"/>
  <c r="H28" i="2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H15" i="2"/>
  <c r="G15" i="2"/>
  <c r="C36" i="1"/>
  <c r="H35" i="2" s="1"/>
  <c r="F33" i="2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H33" i="2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G9" i="2"/>
  <c r="C8" i="1"/>
  <c r="H6" i="2" s="1"/>
  <c r="C13" i="1"/>
  <c r="H11" i="2" s="1"/>
  <c r="F9" i="2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<sst xmlns="http://schemas.openxmlformats.org/spreadsheetml/2006/main" count="360" uniqueCount="224">
  <si>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</si>
  <si>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</si>
  <si>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</si>
  <si>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</si>
  <si>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</si>
  <si>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</si>
  <si>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</si>
  <si>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</si>
  <si>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</si>
  <si>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</si>
  <si>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</si>
  <si>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</si>
  <si>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</si>
  <si>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</si>
  <si>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</si>
  <si>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</si>
  <si>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</si>
  <si>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</si>
  <si>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</si>
  <si>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</si>
  <si>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</si>
  <si>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</si>
  <si>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</si>
  <si>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</si>
  <si>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</si>
  <si>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</si>
  <si>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</si>
  <si>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</si>
  <si>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</si>
  <si>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</si>
  <si>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</si>
  <si>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</si>
  <si>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</si>
  <si>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</si>
  <si>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</si>
  <si>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</si>
  <si>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</si>
  <si>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</si>
  <si>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</si>
  <si>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</si>
  <si>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</si>
  <si>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</si>
  <si>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</si>
  <si>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</si>
  <si>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</si>
  <si>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</si>
  <si>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</si>
  <si>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</si>
  <si>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</si>
  <si>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</si>
  <si>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</si>
  <si>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</si>
  <si>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</si>
  <si>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</si>
  <si>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</si>
  <si>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</si>
  <si>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</si>
  <si>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</si>
  <si>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</si>
  <si>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</si>
  <si>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</si>
  <si>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</si>
  <si>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</si>
  <si>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</si>
  <si>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</si>
  <si>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</si>
  <si>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</si>
  <si>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</si>
  <si>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</si>
  <si>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</si>
  <si>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</si>
  <si>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</si>
  <si>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</si>
  <si>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</si>
  <si>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</si>
  <si>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</si>
  <si>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</si>
  <si>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</si>
  <si>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</si>
  <si>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</si>
  <si>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</si>
  <si>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</si>
  <si>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</si>
  <si>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</si>
  <si>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</si>
  <si>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</si>
  <si>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</si>
  <si>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</si>
  <si>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</si>
  <si>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</si>
  <si>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</si>
  <si>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</si>
  <si>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</si>
  <si>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</si>
  <si>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</si>
  <si>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</si>
  <si>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</si>
  <si>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</si>
  <si>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</si>
  <si>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</si>
  <si>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</si>
  <si>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</si>
  <si>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</si>
  <si>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</si>
  <si>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</si>
  <si>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</si>
  <si>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</si>
  <si>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</si>
  <si>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</si>
  <si>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</si>
  <si>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</si>
  <si>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</si>
  <si>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</si>
  <si>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</si>
  <si>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</si>
  <si>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</si>
  <si>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</si>
  <si>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</si>
  <si>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</si>
  <si>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</si>
  <si>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</si>
  <si>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</si>
  <si>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</si>
  <si>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</si>
  <si>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</si>
  <si>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</si>
  <si>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</si>
  <si>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</si>
  <si>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</si>
  <si>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</si>
  <si>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</si>
  <si>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</si>
  <si>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</si>
  <si>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</si>
  <si>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</si>
  <si>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</si>
  <si>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</si>
  <si>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</si>
  <si>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</si>
  <si>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</si>
  <si>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</si>
  <si>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</si>
  <si>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</si>
  <si>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</si>
  <si>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</si>
  <si>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</si>
  <si>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</si>
  <si>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</si>
  <si>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</si>
  <si>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</si>
  <si>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</si>
  <si>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</si>
  <si>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</si>
  <si>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</si>
  <si>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</si>
  <si>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</si>
  <si>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</si>
  <si>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</si>
  <si>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</si>
  <si>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</si>
  <si>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</si>
  <si>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</si>
  <si>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</si>
  <si>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</si>
  <si>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</si>
  <si>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</si>
  <si>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</si>
  <si>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</si>
  <si>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</si>
  <si>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</si>
  <si>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</si>
  <si>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</si>
  <si>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</si>
  <si>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</si>
  <si>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</si>
  <si>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</si>
  <si>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</si>
  <si>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</si>
  <si>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</si>
  <si>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</si>
  <si>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</si>
  <si>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</si>
  <si>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</si>
  <si>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</si>
  <si>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</si>
  <si>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</si>
  <si>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</si>
  <si>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</si>
  <si>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</si>
  <si>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</si>
  <si>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</si>
  <si>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</si>
  <si>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</si>
  <si>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</si>
  <si>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</si>
  <si>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</si>
  <si>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</si>
  <si>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</si>
  <si>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</si>
  <si>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</si>
  <si>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</si>
  <si>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</si>
  <si>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</si>
  <si>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</si>
  <si>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</si>
  <si>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</si>
  <si>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</si>
  <si>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</si>
  <si>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</si>
  <si>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</si>
  <si>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</si>
  <si>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</si>
  <si>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</si>
  <si>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</si>
  <si>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</si>
  <si>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</si>
  <si>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</si>
  <si>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</si>
  <si>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</si>
  <si>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</si>
  <si>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</si>
  <si>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</si>
  <si>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Hayden</t>
  </si>
  <si>
    <t>Franson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</si>
</sst>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Q19" sqref="Q1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Team Covington</v>
      </c>
    </row>
    <row r="2" spans="2:12" x14ac:dyDescent="0.2">
      <c r="B2" t="str">
        <f>G1</f>
        <v>Team Covington</v>
      </c>
      <c r="D2" t="str">
        <f>G20</f>
        <v>Team Drisdom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103</v>
      </c>
      <c r="C3" s="3" t="s">
        <v>13</v>
      </c>
      <c r="D3" s="4">
        <f>I37</f>
        <v>108</v>
      </c>
      <c r="F3" t="str">
        <f>'Stats G1'!A5</f>
        <v>Andre</v>
      </c>
      <c r="G3" t="str">
        <f>'Stats G1'!B5</f>
        <v>Mulibea</v>
      </c>
      <c r="H3">
        <f>'Stats G1'!C5</f>
        <v>34</v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G1'!A6</f>
        <v>Jaxon</v>
      </c>
      <c r="G4" t="str">
        <f>'Stats G1'!B6</f>
        <v>Pollard</v>
      </c>
      <c r="H4">
        <f>'Stats G1'!C6</f>
        <v>4</v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Tyson</v>
      </c>
      <c r="G5" t="str">
        <f>'Stats G1'!B7</f>
        <v>Garff</v>
      </c>
      <c r="H5">
        <f>'Stats G1'!C7</f>
        <v>21</v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</row>
    <row r="6" spans="2:12" x14ac:dyDescent="0.2">
      <c r="F6" t="str">
        <f>'Stats G1'!A8</f>
        <v>Tanner</v>
      </c>
      <c r="G6" t="str">
        <f>'Stats G1'!B8</f>
        <v>Cuff</v>
      </c>
      <c r="H6">
        <f>'Stats G1'!C8</f>
        <v>87</v>
      </c>
      <c r="I6">
        <f>'Stats G1'!H8*2+'Stats G1'!N8*3+'Stats G1'!T8</f>
        <v>15</v>
      </c>
      <c r="J6" t="str">
        <f>SUM('Stats G1'!H8+'Stats G1'!N8)&amp;"-"&amp;SUM('Stats G1'!E8+'Stats G1'!K8)</f>
        <v>7-12</v>
      </c>
      <c r="K6" t="str">
        <f>SUM('Stats G1'!N8)&amp;"-"&amp;SUM('Stats G1'!K8)</f>
        <v>0-2</v>
      </c>
      <c r="L6" t="str">
        <f>SUM('Stats G1'!T8)&amp;"-"&amp;SUM('Stats G1'!Q8)</f>
        <v>1-2</v>
      </c>
    </row>
    <row r="7" spans="2:12" x14ac:dyDescent="0.2">
      <c r="F7" t="str">
        <f>'Stats G1'!A9</f>
        <v>Brady</v>
      </c>
      <c r="G7" t="str">
        <f>'Stats G1'!B9</f>
        <v>Smith</v>
      </c>
      <c r="H7">
        <f>'Stats G1'!C9</f>
        <v>23</v>
      </c>
      <c r="I7">
        <f>'Stats G1'!H9*2+'Stats G1'!N9*3+'Stats G1'!T9</f>
        <v>4</v>
      </c>
      <c r="J7" t="str">
        <f>SUM('Stats G1'!H9+'Stats G1'!N9)&amp;"-"&amp;SUM('Stats G1'!E9+'Stats G1'!K9)</f>
        <v>1-4</v>
      </c>
      <c r="K7" t="str">
        <f>SUM('Stats G1'!N9)&amp;"-"&amp;SUM('Stats G1'!K9)</f>
        <v>0-1</v>
      </c>
      <c r="L7" t="str">
        <f>SUM('Stats G1'!T9)&amp;"-"&amp;SUM('Stats G1'!Q9)</f>
        <v>2-2</v>
      </c>
    </row>
    <row r="8" spans="2:12" x14ac:dyDescent="0.2">
      <c r="F8" t="str">
        <f>'Stats G1'!A10</f>
        <v>Nick</v>
      </c>
      <c r="G8" t="str">
        <f>'Stats G1'!B10</f>
        <v>Covington</v>
      </c>
      <c r="H8">
        <f>'Stats G1'!C10</f>
        <v>2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Hayden</v>
      </c>
      <c r="G9" t="str">
        <f>'Stats G1'!B11</f>
        <v>Franson</v>
      </c>
      <c r="H9">
        <f>'Stats G1'!C11</f>
        <v>10</v>
      </c>
      <c r="I9">
        <f>'Stats G1'!H11*2+'Stats G1'!N11*3+'Stats G1'!T11</f>
        <v>12</v>
      </c>
      <c r="J9" t="str">
        <f>SUM('Stats G1'!H11+'Stats G1'!N11)&amp;"-"&amp;SUM('Stats G1'!E11+'Stats G1'!K11)</f>
        <v>4-9</v>
      </c>
      <c r="K9" t="str">
        <f>SUM('Stats G1'!N11)&amp;"-"&amp;SUM('Stats G1'!K11)</f>
        <v>3-7</v>
      </c>
      <c r="L9" t="str">
        <f>SUM('Stats G1'!T11)&amp;"-"&amp;SUM('Stats G1'!Q11)</f>
        <v>1-1</v>
      </c>
    </row>
    <row r="10" spans="2:12" x14ac:dyDescent="0.2">
      <c r="F10" t="str">
        <f>'Stats G1'!A12</f>
        <v>Jared</v>
      </c>
      <c r="G10" t="str">
        <f>'Stats G1'!B12</f>
        <v>Garcia</v>
      </c>
      <c r="H10">
        <f>'Stats G1'!C12</f>
        <v>25</v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Macea</v>
      </c>
      <c r="G11" t="str">
        <f>'Stats G1'!B13</f>
        <v>Austin</v>
      </c>
      <c r="H11">
        <f>'Stats G1'!C13</f>
        <v>3</v>
      </c>
      <c r="I11">
        <f>'Stats G1'!H13*2+'Stats G1'!N13*3+'Stats G1'!T13</f>
        <v>11</v>
      </c>
      <c r="J11" t="str">
        <f>SUM('Stats G1'!H13+'Stats G1'!N13)&amp;"-"&amp;SUM('Stats G1'!E13+'Stats G1'!K13)</f>
        <v>4-7</v>
      </c>
      <c r="K11" t="str">
        <f>SUM('Stats G1'!N13)&amp;"-"&amp;SUM('Stats G1'!K13)</f>
        <v>3-5</v>
      </c>
      <c r="L11" t="str">
        <f>SUM('Stats G1'!T13)&amp;"-"&amp;SUM('Stats G1'!Q13)</f>
        <v>0-0</v>
      </c>
    </row>
    <row r="12" spans="2:12" x14ac:dyDescent="0.2">
      <c r="F12" t="str">
        <f>'Stats G1'!A14</f>
        <v>Austin</v>
      </c>
      <c r="G12" t="str">
        <f>'Stats G1'!B14</f>
        <v>Hayhurst</v>
      </c>
      <c r="H12">
        <f>'Stats G1'!C14</f>
        <v>33</v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Dwayne</v>
      </c>
      <c r="G13" t="str">
        <f>'Stats G1'!B15</f>
        <v>Koroma</v>
      </c>
      <c r="H13">
        <f>'Stats G1'!C15</f>
        <v>16</v>
      </c>
      <c r="I13">
        <f>'Stats G1'!H15*2+'Stats G1'!N15*3+'Stats G1'!T15</f>
        <v>23</v>
      </c>
      <c r="J13" t="str">
        <f>SUM('Stats G1'!H15+'Stats G1'!N15)&amp;"-"&amp;SUM('Stats G1'!E15+'Stats G1'!K15)</f>
        <v>9-15</v>
      </c>
      <c r="K13" t="str">
        <f>SUM('Stats G1'!N15)&amp;"-"&amp;SUM('Stats G1'!K15)</f>
        <v>0-0</v>
      </c>
      <c r="L13" t="str">
        <f>SUM('Stats G1'!T15)&amp;"-"&amp;SUM('Stats G1'!Q15)</f>
        <v>5-10</v>
      </c>
    </row>
    <row r="14" spans="2:12" x14ac:dyDescent="0.2">
      <c r="F14" t="str">
        <f>'Stats G1'!A16</f>
        <v>Jaxon</v>
      </c>
      <c r="G14" t="str">
        <f>'Stats G1'!B16</f>
        <v>Heiden</v>
      </c>
      <c r="H14">
        <f>'Stats G1'!C16</f>
        <v>14</v>
      </c>
      <c r="I14">
        <f>'Stats G1'!H16*2+'Stats G1'!N16*3+'Stats G1'!T16</f>
        <v>6</v>
      </c>
      <c r="J14" t="str">
        <f>SUM('Stats G1'!H16+'Stats G1'!N16)&amp;"-"&amp;SUM('Stats G1'!E16+'Stats G1'!K16)</f>
        <v>3-4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Jackson</v>
      </c>
      <c r="G15" t="str">
        <f>'Stats G1'!B17</f>
        <v>Last</v>
      </c>
      <c r="H15">
        <f>'Stats G1'!C17</f>
        <v>20</v>
      </c>
      <c r="I15">
        <f>'Stats G1'!H17*2+'Stats G1'!N17*3+'Stats G1'!T17</f>
        <v>32</v>
      </c>
      <c r="J15" t="str">
        <f>SUM('Stats G1'!H17+'Stats G1'!N17)&amp;"-"&amp;SUM('Stats G1'!E17+'Stats G1'!K17)</f>
        <v>10-20</v>
      </c>
      <c r="K15" t="str">
        <f>SUM('Stats G1'!N17)&amp;"-"&amp;SUM('Stats G1'!K17)</f>
        <v>3-10</v>
      </c>
      <c r="L15" t="str">
        <f>SUM('Stats G1'!T17)&amp;"-"&amp;SUM('Stats G1'!Q17)</f>
        <v>9-9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103</v>
      </c>
      <c r="J18" t="str">
        <f>SUM('Stats G1'!H20+'Stats G1'!N20)&amp;"-"&amp;SUM('Stats G1'!E20+'Stats G1'!K20)</f>
        <v>38-71</v>
      </c>
      <c r="K18" t="str">
        <f>SUM('Stats G1'!N20)&amp;"-"&amp;SUM('Stats G1'!K20)</f>
        <v>9-25</v>
      </c>
      <c r="L18" t="str">
        <f>SUM('Stats G1'!T20)&amp;"-"&amp;SUM('Stats G1'!Q20)</f>
        <v>18-24</v>
      </c>
    </row>
    <row r="20" spans="6:12" x14ac:dyDescent="0.2">
      <c r="F20" t="s">
        <v>11</v>
      </c>
      <c r="G20" t="str">
        <f>'Stats G1'!B21</f>
        <v>Team Drisdom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Corbin</v>
      </c>
      <c r="G22" t="str">
        <f>'Stats G1'!B23</f>
        <v>Green</v>
      </c>
      <c r="H22">
        <f>'Stats G1'!C23</f>
        <v>7</v>
      </c>
      <c r="I22">
        <f>'Stats G1'!H23*2+'Stats G1'!N23*3+'Stats G1'!T23</f>
        <v>21</v>
      </c>
      <c r="J22" t="str">
        <f>SUM('Stats G1'!H23+'Stats G1'!N23)&amp;"-"&amp;SUM('Stats G1'!E23+'Stats G1'!K23)</f>
        <v>7-12</v>
      </c>
      <c r="K22" t="str">
        <f>SUM('Stats G1'!N23)&amp;"-"&amp;SUM('Stats G1'!K23)</f>
        <v>3-7</v>
      </c>
      <c r="L22" t="str">
        <f>SUM('Stats G1'!T23)&amp;"-"&amp;SUM('Stats G1'!Q23)</f>
        <v>4-5</v>
      </c>
    </row>
    <row r="23" spans="6:12" x14ac:dyDescent="0.2">
      <c r="F23" t="str">
        <f>'Stats G1'!A24</f>
        <v>Aubrey</v>
      </c>
      <c r="G23" t="str">
        <f>'Stats G1'!B24</f>
        <v>Hodges</v>
      </c>
      <c r="H23">
        <f>'Stats G1'!C24</f>
        <v>5</v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Tre</v>
      </c>
      <c r="G24" t="str">
        <f>'Stats G1'!B25</f>
        <v>Smith</v>
      </c>
      <c r="H24">
        <f>'Stats G1'!C25</f>
        <v>3</v>
      </c>
      <c r="I24">
        <f>'Stats G1'!H25*2+'Stats G1'!N25*3+'Stats G1'!T25</f>
        <v>0</v>
      </c>
      <c r="J24" t="str">
        <f>SUM('Stats G1'!H25+'Stats G1'!N25)&amp;"-"&amp;SUM('Stats G1'!E25+'Stats G1'!K25)</f>
        <v>0-2</v>
      </c>
      <c r="K24" t="str">
        <f>SUM('Stats G1'!N25)&amp;"-"&amp;SUM('Stats G1'!K25)</f>
        <v>0-2</v>
      </c>
      <c r="L24" t="str">
        <f>SUM('Stats G1'!T25)&amp;"-"&amp;SUM('Stats G1'!Q25)</f>
        <v>0-0</v>
      </c>
    </row>
    <row r="25" spans="6:12" x14ac:dyDescent="0.2">
      <c r="F25" t="str">
        <f>'Stats G1'!A26</f>
        <v>Tim</v>
      </c>
      <c r="G25" t="str">
        <f>'Stats G1'!B26</f>
        <v>Drisdom</v>
      </c>
      <c r="H25">
        <f>'Stats G1'!C26</f>
        <v>11</v>
      </c>
      <c r="I25">
        <f>'Stats G1'!H26*2+'Stats G1'!N26*3+'Stats G1'!T26</f>
        <v>18</v>
      </c>
      <c r="J25" t="str">
        <f>SUM('Stats G1'!H26+'Stats G1'!N26)&amp;"-"&amp;SUM('Stats G1'!E26+'Stats G1'!K26)</f>
        <v>7-17</v>
      </c>
      <c r="K25" t="str">
        <f>SUM('Stats G1'!N26)&amp;"-"&amp;SUM('Stats G1'!K26)</f>
        <v>4-13</v>
      </c>
      <c r="L25" t="str">
        <f>SUM('Stats G1'!T26)&amp;"-"&amp;SUM('Stats G1'!Q26)</f>
        <v>0-1</v>
      </c>
    </row>
    <row r="26" spans="6:12" x14ac:dyDescent="0.2">
      <c r="F26" t="str">
        <f>'Stats G1'!A27</f>
        <v>Terrence</v>
      </c>
      <c r="G26" t="str">
        <f>'Stats G1'!B27</f>
        <v>Drisdom</v>
      </c>
      <c r="H26">
        <f>'Stats G1'!C27</f>
        <v>10</v>
      </c>
      <c r="I26">
        <f>'Stats G1'!H27*2+'Stats G1'!N27*3+'Stats G1'!T27</f>
        <v>10</v>
      </c>
      <c r="J26" t="str">
        <f>SUM('Stats G1'!H27+'Stats G1'!N27)&amp;"-"&amp;SUM('Stats G1'!E27+'Stats G1'!K27)</f>
        <v>4-10</v>
      </c>
      <c r="K26" t="str">
        <f>SUM('Stats G1'!N27)&amp;"-"&amp;SUM('Stats G1'!K27)</f>
        <v>1-3</v>
      </c>
      <c r="L26" t="str">
        <f>SUM('Stats G1'!T27)&amp;"-"&amp;SUM('Stats G1'!Q27)</f>
        <v>1-2</v>
      </c>
    </row>
    <row r="27" spans="6:12" x14ac:dyDescent="0.2">
      <c r="F27" t="str">
        <f>'Stats G1'!A28</f>
        <v>Jared</v>
      </c>
      <c r="G27" t="str">
        <f>'Stats G1'!B28</f>
        <v>Butler</v>
      </c>
      <c r="H27">
        <f>'Stats G1'!C28</f>
        <v>0</v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Shaun</v>
      </c>
      <c r="G28" t="str">
        <f>'Stats G1'!B29</f>
        <v>Green</v>
      </c>
      <c r="H28">
        <f>'Stats G1'!C29</f>
        <v>8</v>
      </c>
      <c r="I28">
        <f>'Stats G1'!H29*2+'Stats G1'!N29*3+'Stats G1'!T29</f>
        <v>15</v>
      </c>
      <c r="J28" t="str">
        <f>SUM('Stats G1'!H29+'Stats G1'!N29)&amp;"-"&amp;SUM('Stats G1'!E29+'Stats G1'!K29)</f>
        <v>6-23</v>
      </c>
      <c r="K28" t="str">
        <f>SUM('Stats G1'!N29)&amp;"-"&amp;SUM('Stats G1'!K29)</f>
        <v>3-17</v>
      </c>
      <c r="L28" t="str">
        <f>SUM('Stats G1'!T29)&amp;"-"&amp;SUM('Stats G1'!Q29)</f>
        <v>0-0</v>
      </c>
    </row>
    <row r="29" spans="6:12" x14ac:dyDescent="0.2">
      <c r="F29" t="str">
        <f>'Stats G1'!A30</f>
        <v>Zeus</v>
      </c>
      <c r="G29" t="str">
        <f>'Stats G1'!B30</f>
        <v>Martinez</v>
      </c>
      <c r="H29">
        <f>'Stats G1'!C30</f>
        <v>1</v>
      </c>
      <c r="I29">
        <f>'Stats G1'!H30*2+'Stats G1'!N30*3+'Stats G1'!T30</f>
        <v>4</v>
      </c>
      <c r="J29" t="str">
        <f>SUM('Stats G1'!H30+'Stats G1'!N30)&amp;"-"&amp;SUM('Stats G1'!E30+'Stats G1'!K30)</f>
        <v>2-2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>Vai</v>
      </c>
      <c r="G30" t="str">
        <f>'Stats G1'!B31</f>
        <v>Harris</v>
      </c>
      <c r="H30">
        <f>'Stats G1'!C31</f>
        <v>4</v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</row>
    <row r="31" spans="6:12" x14ac:dyDescent="0.2">
      <c r="F31" t="str">
        <f>'Stats G1'!A32</f>
        <v>Brekott</v>
      </c>
      <c r="G31" t="str">
        <f>'Stats G1'!B32</f>
        <v>Chapman</v>
      </c>
      <c r="H31">
        <f>'Stats G1'!C32</f>
        <v>6</v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Bryant</v>
      </c>
      <c r="G32" t="str">
        <f>'Stats G1'!B33</f>
        <v>Markson</v>
      </c>
      <c r="H32">
        <f>'Stats G1'!C33</f>
        <v>20</v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Dwayne</v>
      </c>
      <c r="G33" t="str">
        <f>'Stats G1'!B34</f>
        <v>Brown</v>
      </c>
      <c r="H33">
        <f>'Stats G1'!C34</f>
        <v>2</v>
      </c>
      <c r="I33">
        <f>'Stats G1'!H34*2+'Stats G1'!N34*3+'Stats G1'!T34</f>
        <v>40</v>
      </c>
      <c r="J33" t="str">
        <f>SUM('Stats G1'!H34+'Stats G1'!N34)&amp;"-"&amp;SUM('Stats G1'!E34+'Stats G1'!K34)</f>
        <v>16-24</v>
      </c>
      <c r="K33" t="str">
        <f>SUM('Stats G1'!N34)&amp;"-"&amp;SUM('Stats G1'!K34)</f>
        <v>4-5</v>
      </c>
      <c r="L33" t="str">
        <f>SUM('Stats G1'!T34)&amp;"-"&amp;SUM('Stats G1'!Q34)</f>
        <v>4-4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108</v>
      </c>
      <c r="J37" t="str">
        <f>SUM('Stats G1'!H38+'Stats G1'!N38)&amp;"-"&amp;SUM('Stats G1'!E38+'Stats G1'!K38)</f>
        <v>42-90</v>
      </c>
      <c r="K37" t="str">
        <f>SUM('Stats G1'!N38)&amp;"-"&amp;SUM('Stats G1'!K38)</f>
        <v>15-47</v>
      </c>
      <c r="L37" t="str">
        <f>SUM('Stats G1'!T38)&amp;"-"&amp;SUM('Stats G1'!Q38)</f>
        <v>9-12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D33" sqref="D3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46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</row>
    <row r="5" spans="1:24" s="6" customFormat="1" x14ac:dyDescent="0.2">
      <c r="A5" s="5" t="str">
        <f>_xlfn.IFNA(VLOOKUP($B$3&amp;ROWS($A$5:A5),Rosters!$B$2:$C$163,2,0),"?")</f>
        <v>Andre</v>
      </c>
      <c r="B5" s="5" t="str">
        <f>_xlfn.IFNA(VLOOKUP($B$3&amp;ROWS($B$5:B5),Rosters!$B$2:$D$163,3,0),"?")</f>
        <v>Mulibea</v>
      </c>
      <c r="C5" s="5">
        <f>_xlfn.IFNA(VLOOKUP($B$3&amp;ROWS($C$5:C5),Rosters!$B$2:$E$163,4,0),"")</f>
        <v>34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Jaxon</v>
      </c>
      <c r="B6" s="6" t="str">
        <f>_xlfn.IFNA(VLOOKUP($B$3&amp;ROWS($B$5:B6),Rosters!$B$2:$D$163,3,0),"?")</f>
        <v>Pollard</v>
      </c>
      <c r="C6" s="6">
        <f>_xlfn.IFNA(VLOOKUP($B$3&amp;ROWS($C$5:C6),Rosters!$B$2:$E$163,4,0),"")</f>
        <v>4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Tyson</v>
      </c>
      <c r="B7" s="5" t="str">
        <f>_xlfn.IFNA(VLOOKUP($B$3&amp;ROWS($B$5:B7),Rosters!$B$2:$D$163,3,0),"?")</f>
        <v>Garff</v>
      </c>
      <c r="C7" s="5">
        <f>_xlfn.IFNA(VLOOKUP($B$3&amp;ROWS($C$5:C7),Rosters!$B$2:$E$163,4,0),"")</f>
        <v>21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Tanner</v>
      </c>
      <c r="B8" s="6" t="str">
        <f>_xlfn.IFNA(VLOOKUP($B$3&amp;ROWS($B$5:B8),Rosters!$B$2:$D$163,3,0),"?")</f>
        <v>Cuff</v>
      </c>
      <c r="C8" s="6">
        <f>_xlfn.IFNA(VLOOKUP($B$3&amp;ROWS($C$5:C8),Rosters!$B$2:$E$163,4,0),"")</f>
        <v>87</v>
      </c>
      <c r="E8" s="6">
        <v>10</v>
      </c>
      <c r="H8" s="6">
        <v>7</v>
      </c>
      <c r="K8" s="6">
        <v>2</v>
      </c>
      <c r="N8" s="6">
        <v>0</v>
      </c>
      <c r="Q8" s="6">
        <v>2</v>
      </c>
      <c r="T8" s="6">
        <v>1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Brady</v>
      </c>
      <c r="B9" s="5" t="str">
        <f>_xlfn.IFNA(VLOOKUP($B$3&amp;ROWS($B$5:B9),Rosters!$B$2:$D$163,3,0),"?")</f>
        <v>Smith</v>
      </c>
      <c r="C9" s="5">
        <f>_xlfn.IFNA(VLOOKUP($B$3&amp;ROWS($C$5:C9),Rosters!$B$2:$E$163,4,0),"")</f>
        <v>23</v>
      </c>
      <c r="D9" s="5"/>
      <c r="E9" s="5">
        <v>3</v>
      </c>
      <c r="F9" s="5"/>
      <c r="G9" s="5"/>
      <c r="H9" s="5">
        <v>1</v>
      </c>
      <c r="I9" s="5"/>
      <c r="J9" s="5"/>
      <c r="K9" s="5">
        <v>1</v>
      </c>
      <c r="L9" s="5"/>
      <c r="M9" s="5"/>
      <c r="N9" s="5">
        <v>0</v>
      </c>
      <c r="O9" s="5"/>
      <c r="P9" s="5"/>
      <c r="Q9" s="5">
        <v>2</v>
      </c>
      <c r="R9" s="5"/>
      <c r="S9" s="5"/>
      <c r="T9" s="5">
        <v>2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Nick</v>
      </c>
      <c r="B10" s="6" t="str">
        <f>_xlfn.IFNA(VLOOKUP($B$3&amp;ROWS($B$5:B10),Rosters!$B$2:$D$163,3,0),"?")</f>
        <v>Covington</v>
      </c>
      <c r="C10" s="6">
        <f>_xlfn.IFNA(VLOOKUP($B$3&amp;ROWS($C$5:C10),Rosters!$B$2:$E$163,4,0),"")</f>
        <v>2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">
        <v>222</v>
      </c>
      <c r="B11" s="5" t="s">
        <v>223</v>
      </c>
      <c r="C11" s="5">
        <f>_xlfn.IFNA(VLOOKUP($B$3&amp;ROWS($C$5:C11),Rosters!$B$2:$E$163,4,0),"")</f>
        <v>10</v>
      </c>
      <c r="D11" s="5"/>
      <c r="E11" s="5">
        <v>2</v>
      </c>
      <c r="F11" s="5"/>
      <c r="G11" s="5"/>
      <c r="H11" s="5">
        <v>1</v>
      </c>
      <c r="I11" s="5"/>
      <c r="J11" s="5"/>
      <c r="K11" s="5">
        <v>7</v>
      </c>
      <c r="L11" s="5"/>
      <c r="M11" s="5"/>
      <c r="N11" s="5">
        <v>3</v>
      </c>
      <c r="O11" s="5"/>
      <c r="P11" s="5"/>
      <c r="Q11" s="5">
        <v>1</v>
      </c>
      <c r="R11" s="5"/>
      <c r="S11" s="5"/>
      <c r="T11" s="5">
        <v>1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Jared</v>
      </c>
      <c r="B12" s="6" t="str">
        <f>_xlfn.IFNA(VLOOKUP($B$3&amp;ROWS($B$5:B12),Rosters!$B$2:$D$163,3,0),"?")</f>
        <v>Garcia</v>
      </c>
      <c r="C12" s="6">
        <f>_xlfn.IFNA(VLOOKUP($B$3&amp;ROWS($C$5:C12),Rosters!$B$2:$E$163,4,0),"")</f>
        <v>25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Macea</v>
      </c>
      <c r="B13" s="5" t="str">
        <f>_xlfn.IFNA(VLOOKUP($B$3&amp;ROWS($B$5:B13),Rosters!$B$2:$D$163,3,0),"?")</f>
        <v>Austin</v>
      </c>
      <c r="C13" s="5">
        <f>_xlfn.IFNA(VLOOKUP($B$3&amp;ROWS($C$5:C13),Rosters!$B$2:$E$163,4,0),"")</f>
        <v>3</v>
      </c>
      <c r="D13" s="5"/>
      <c r="E13" s="5">
        <v>2</v>
      </c>
      <c r="F13" s="5"/>
      <c r="G13" s="5"/>
      <c r="H13" s="5">
        <v>1</v>
      </c>
      <c r="I13" s="5"/>
      <c r="J13" s="5"/>
      <c r="K13" s="5">
        <v>5</v>
      </c>
      <c r="L13" s="5"/>
      <c r="M13" s="5"/>
      <c r="N13" s="5">
        <v>3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Austin</v>
      </c>
      <c r="B14" s="6" t="str">
        <f>_xlfn.IFNA(VLOOKUP($B$3&amp;ROWS($B$5:B14),Rosters!$B$2:$D$163,3,0),"?")</f>
        <v>Hayhurst</v>
      </c>
      <c r="C14" s="6">
        <f>_xlfn.IFNA(VLOOKUP($B$3&amp;ROWS($C$5:C14),Rosters!$B$2:$E$163,4,0),"")</f>
        <v>33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Dwayne</v>
      </c>
      <c r="B15" s="5" t="str">
        <f>_xlfn.IFNA(VLOOKUP($B$3&amp;ROWS($B$5:B15),Rosters!$B$2:$D$163,3,0),"?")</f>
        <v>Koroma</v>
      </c>
      <c r="C15" s="5">
        <f>_xlfn.IFNA(VLOOKUP($B$3&amp;ROWS($C$5:C15),Rosters!$B$2:$E$163,4,0),"")</f>
        <v>16</v>
      </c>
      <c r="D15" s="5"/>
      <c r="E15" s="5">
        <v>15</v>
      </c>
      <c r="F15" s="5"/>
      <c r="G15" s="5"/>
      <c r="H15" s="5">
        <v>9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10</v>
      </c>
      <c r="R15" s="5"/>
      <c r="S15" s="5"/>
      <c r="T15" s="5">
        <v>5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Jaxon</v>
      </c>
      <c r="B16" s="6" t="str">
        <f>_xlfn.IFNA(VLOOKUP($B$3&amp;ROWS($B$5:B16),Rosters!$B$2:$D$163,3,0),"?")</f>
        <v>Heiden</v>
      </c>
      <c r="C16" s="6">
        <f>_xlfn.IFNA(VLOOKUP($B$3&amp;ROWS($C$5:C16),Rosters!$B$2:$E$163,4,0),"")</f>
        <v>14</v>
      </c>
      <c r="E16" s="6">
        <v>4</v>
      </c>
      <c r="H16" s="6">
        <v>3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">
        <v>162</v>
      </c>
      <c r="B17" s="5" t="s">
        <v>2</v>
      </c>
      <c r="C17" s="5">
        <v>20</v>
      </c>
      <c r="D17" s="5"/>
      <c r="E17" s="5">
        <v>10</v>
      </c>
      <c r="F17" s="5"/>
      <c r="G17" s="5"/>
      <c r="H17" s="5">
        <v>7</v>
      </c>
      <c r="I17" s="5"/>
      <c r="J17" s="5"/>
      <c r="K17" s="5">
        <v>10</v>
      </c>
      <c r="L17" s="5"/>
      <c r="M17" s="5"/>
      <c r="N17" s="5">
        <v>3</v>
      </c>
      <c r="O17" s="5"/>
      <c r="P17" s="5"/>
      <c r="Q17" s="5">
        <v>9</v>
      </c>
      <c r="R17" s="5"/>
      <c r="S17" s="5"/>
      <c r="T17" s="5">
        <v>9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46</v>
      </c>
      <c r="H20" s="6">
        <f>SUM(H5:H19)</f>
        <v>29</v>
      </c>
      <c r="K20" s="6">
        <f>SUM(K5:K19)</f>
        <v>25</v>
      </c>
      <c r="N20" s="6">
        <f>SUM(N5:N19)</f>
        <v>9</v>
      </c>
      <c r="Q20" s="6">
        <f>SUM(Q5:Q19)</f>
        <v>24</v>
      </c>
      <c r="T20" s="6">
        <f>SUM(T5:T19)</f>
        <v>18</v>
      </c>
      <c r="W20" s="6">
        <f>SUM(W5:W19)</f>
        <v>0</v>
      </c>
    </row>
    <row r="21" spans="1:24" x14ac:dyDescent="0.2">
      <c r="A21" s="2" t="s">
        <v>16</v>
      </c>
      <c r="B21" s="1" t="s">
        <v>69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</row>
    <row r="23" spans="1:24" s="6" customFormat="1" x14ac:dyDescent="0.2">
      <c r="A23" s="5" t="str">
        <f>_xlfn.IFNA(VLOOKUP($B$21&amp;ROWS($A$23:A23),Rosters!$B$2:$C$163,2,0),"?")</f>
        <v>Corbin</v>
      </c>
      <c r="B23" s="5" t="str">
        <f>_xlfn.IFNA(VLOOKUP($B$21&amp;ROWS($B$23:B23),Rosters!$B$2:$D$163,3,0),"?")</f>
        <v>Green</v>
      </c>
      <c r="C23" s="5">
        <f>_xlfn.IFNA(VLOOKUP($B$21&amp;ROWS($C$23:C23),Rosters!$B$2:$E$163,4,0),"")</f>
        <v>7</v>
      </c>
      <c r="D23" s="5"/>
      <c r="E23" s="5">
        <v>5</v>
      </c>
      <c r="F23" s="5"/>
      <c r="G23" s="5"/>
      <c r="H23" s="5">
        <v>4</v>
      </c>
      <c r="I23" s="5"/>
      <c r="J23" s="5"/>
      <c r="K23" s="5">
        <v>7</v>
      </c>
      <c r="L23" s="5"/>
      <c r="M23" s="5"/>
      <c r="N23" s="5">
        <v>3</v>
      </c>
      <c r="O23" s="5"/>
      <c r="P23" s="5"/>
      <c r="Q23" s="5">
        <v>5</v>
      </c>
      <c r="R23" s="5"/>
      <c r="S23" s="5"/>
      <c r="T23" s="5">
        <v>4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Aubrey</v>
      </c>
      <c r="B24" t="str">
        <f>_xlfn.IFNA(VLOOKUP($B$21&amp;ROWS($B$23:B24),Rosters!$B$2:$D$163,3,0),"?")</f>
        <v>Hodges</v>
      </c>
      <c r="C24">
        <f>_xlfn.IFNA(VLOOKUP($B$21&amp;ROWS($C$23:C24),Rosters!$B$2:$E$163,4,0),"")</f>
        <v>5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Tre</v>
      </c>
      <c r="B25" s="5" t="str">
        <f>_xlfn.IFNA(VLOOKUP($B$21&amp;ROWS($B$23:B25),Rosters!$B$2:$D$163,3,0),"?")</f>
        <v>Smith</v>
      </c>
      <c r="C25" s="5"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2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Tim</v>
      </c>
      <c r="B26" t="str">
        <f>_xlfn.IFNA(VLOOKUP($B$21&amp;ROWS($B$23:B26),Rosters!$B$2:$D$163,3,0),"?")</f>
        <v>Drisdom</v>
      </c>
      <c r="C26">
        <f>_xlfn.IFNA(VLOOKUP($B$21&amp;ROWS($C$23:C26),Rosters!$B$2:$E$163,4,0),"")</f>
        <v>11</v>
      </c>
      <c r="D26" s="6"/>
      <c r="E26" s="6">
        <v>4</v>
      </c>
      <c r="F26" s="6"/>
      <c r="G26" s="6"/>
      <c r="H26" s="6">
        <v>3</v>
      </c>
      <c r="I26" s="6"/>
      <c r="J26" s="6"/>
      <c r="K26" s="6">
        <v>13</v>
      </c>
      <c r="L26" s="6"/>
      <c r="M26" s="6"/>
      <c r="N26" s="6">
        <v>4</v>
      </c>
      <c r="O26" s="6"/>
      <c r="P26" s="6"/>
      <c r="Q26" s="6">
        <v>1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Terrence</v>
      </c>
      <c r="B27" s="5" t="str">
        <f>_xlfn.IFNA(VLOOKUP($B$21&amp;ROWS($B$23:B27),Rosters!$B$2:$D$163,3,0),"?")</f>
        <v>Drisdom</v>
      </c>
      <c r="C27" s="5">
        <v>10</v>
      </c>
      <c r="D27" s="5"/>
      <c r="E27" s="5">
        <v>7</v>
      </c>
      <c r="F27" s="5"/>
      <c r="G27" s="5"/>
      <c r="H27" s="5">
        <v>3</v>
      </c>
      <c r="I27" s="5"/>
      <c r="J27" s="5"/>
      <c r="K27" s="5">
        <v>3</v>
      </c>
      <c r="L27" s="5"/>
      <c r="M27" s="5"/>
      <c r="N27" s="5">
        <v>1</v>
      </c>
      <c r="O27" s="5"/>
      <c r="P27" s="5"/>
      <c r="Q27" s="5">
        <v>2</v>
      </c>
      <c r="R27" s="5"/>
      <c r="S27" s="5"/>
      <c r="T27" s="5">
        <v>1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Jared</v>
      </c>
      <c r="B28" t="str">
        <f>_xlfn.IFNA(VLOOKUP($B$21&amp;ROWS($B$23:B28),Rosters!$B$2:$D$163,3,0),"?")</f>
        <v>Butler</v>
      </c>
      <c r="C28">
        <f>_xlfn.IFNA(VLOOKUP($B$21&amp;ROWS($C$23:C28),Rosters!$B$2:$E$163,4,0),"")</f>
        <v>0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Shaun</v>
      </c>
      <c r="B29" s="5" t="str">
        <f>_xlfn.IFNA(VLOOKUP($B$21&amp;ROWS($B$23:B29),Rosters!$B$2:$D$163,3,0),"?")</f>
        <v>Green</v>
      </c>
      <c r="C29" s="5">
        <v>8</v>
      </c>
      <c r="D29" s="5"/>
      <c r="E29" s="5">
        <v>6</v>
      </c>
      <c r="F29" s="5"/>
      <c r="G29" s="5"/>
      <c r="H29" s="5">
        <v>3</v>
      </c>
      <c r="I29" s="5"/>
      <c r="J29" s="5"/>
      <c r="K29" s="5">
        <v>17</v>
      </c>
      <c r="L29" s="5"/>
      <c r="M29" s="5"/>
      <c r="N29" s="5">
        <v>3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Zeus</v>
      </c>
      <c r="B30" t="str">
        <f>_xlfn.IFNA(VLOOKUP($B$21&amp;ROWS($B$23:B30),Rosters!$B$2:$D$163,3,0),"?")</f>
        <v>Martinez</v>
      </c>
      <c r="C30">
        <f>_xlfn.IFNA(VLOOKUP($B$21&amp;ROWS($C$23:C30),Rosters!$B$2:$E$163,4,0),"")</f>
        <v>1</v>
      </c>
      <c r="D30" s="6"/>
      <c r="E30" s="6">
        <v>2</v>
      </c>
      <c r="F30" s="6"/>
      <c r="G30" s="6"/>
      <c r="H30" s="6">
        <v>2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Vai</v>
      </c>
      <c r="B31" s="5" t="str">
        <f>_xlfn.IFNA(VLOOKUP($B$21&amp;ROWS($B$23:B31),Rosters!$B$2:$D$163,3,0),"?")</f>
        <v>Harris</v>
      </c>
      <c r="C31" s="5">
        <f>_xlfn.IFNA(VLOOKUP($B$21&amp;ROWS($C$23:C31),Rosters!$B$2:$E$163,4,0),"")</f>
        <v>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Brekott</v>
      </c>
      <c r="B32" t="str">
        <f>_xlfn.IFNA(VLOOKUP($B$21&amp;ROWS($B$23:B32),Rosters!$B$2:$D$163,3,0),"?")</f>
        <v>Chapman</v>
      </c>
      <c r="C32">
        <f>_xlfn.IFNA(VLOOKUP($B$21&amp;ROWS($C$23:C32),Rosters!$B$2:$E$163,4,0),"")</f>
        <v>6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Bryant</v>
      </c>
      <c r="B33" s="5" t="str">
        <f>_xlfn.IFNA(VLOOKUP($B$21&amp;ROWS($B$23:B33),Rosters!$B$2:$D$163,3,0),"?")</f>
        <v>Markson</v>
      </c>
      <c r="C33" s="5">
        <f>_xlfn.IFNA(VLOOKUP($B$21&amp;ROWS($C$23:C33),Rosters!$B$2:$E$163,4,0),"")</f>
        <v>20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">
        <v>66</v>
      </c>
      <c r="B34" t="s">
        <v>160</v>
      </c>
      <c r="C34">
        <v>2</v>
      </c>
      <c r="D34" s="6"/>
      <c r="E34" s="6">
        <v>19</v>
      </c>
      <c r="F34" s="6"/>
      <c r="G34" s="6"/>
      <c r="H34" s="6">
        <v>12</v>
      </c>
      <c r="I34" s="6"/>
      <c r="J34" s="6"/>
      <c r="K34" s="6">
        <v>5</v>
      </c>
      <c r="L34" s="6"/>
      <c r="M34" s="6"/>
      <c r="N34" s="6">
        <v>4</v>
      </c>
      <c r="O34" s="6"/>
      <c r="P34" s="6"/>
      <c r="Q34" s="6">
        <v>4</v>
      </c>
      <c r="R34" s="6"/>
      <c r="S34" s="6"/>
      <c r="T34" s="6">
        <v>4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43</v>
      </c>
      <c r="H38">
        <f>SUM(H23:H37)</f>
        <v>27</v>
      </c>
      <c r="K38">
        <f>SUM(K23:K37)</f>
        <v>47</v>
      </c>
      <c r="N38">
        <f>SUM(N23:N37)</f>
        <v>15</v>
      </c>
      <c r="Q38">
        <f>SUM(Q23:Q37)</f>
        <v>12</v>
      </c>
      <c r="T38">
        <f>SUM(T23:T37)</f>
        <v>9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Bergeson</cp:lastModifiedBy>
  <dcterms:created xsi:type="dcterms:W3CDTF">2021-06-24T17:53:51Z</dcterms:created>
  <dcterms:modified xsi:type="dcterms:W3CDTF">2022-08-03T04:36:13Z</dcterms:modified>
</cp:coreProperties>
</file>