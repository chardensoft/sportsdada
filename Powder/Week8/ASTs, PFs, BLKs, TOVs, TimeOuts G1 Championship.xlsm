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7T172408Z-001/"/>
    </mc:Choice>
  </mc:AlternateContent>
  <xr:revisionPtr revIDLastSave="0" documentId="13_ncr:1_{6E7FF8AC-29E1-F542-AC1F-67AA46A3E29B}" xr6:coauthVersionLast="47" xr6:coauthVersionMax="47" xr10:uidLastSave="{00000000-0000-0000-0000-000000000000}"/>
  <bookViews>
    <workbookView xWindow="5980" yWindow="500" windowWidth="2282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18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22" i="2"/>
  <c r="M37" i="2" l="1"/>
  <c r="M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H24" i="2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G14" i="2"/>
  <c r="C33" i="1"/>
  <c r="H34" i="2" s="1"/>
  <c r="A31" i="1"/>
  <c r="F32" i="2" s="1"/>
  <c r="B28" i="1"/>
  <c r="G29" i="2" s="1"/>
  <c r="C25" i="1"/>
  <c r="H26" i="2" s="1"/>
  <c r="A23" i="1"/>
  <c r="F24" i="2" s="1"/>
  <c r="F14" i="2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<sst xmlns="http://schemas.openxmlformats.org/spreadsheetml/2006/main" count="359" uniqueCount="222">
  <si>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</si>
  <si>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</si>
  <si>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</si>
  <si>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</si>
  <si>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</si>
  <si>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</si>
  <si>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</si>
  <si>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</si>
  <si>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</si>
  <si>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</si>
  <si>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</si>
  <si>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</si>
  <si>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</si>
  <si>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</si>
  <si>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</si>
  <si>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</si>
  <si>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</si>
  <si>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</si>
  <si>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</si>
  <si>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</si>
  <si>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</si>
  <si>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</si>
  <si>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</si>
  <si>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</si>
  <si>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</si>
  <si>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</si>
  <si>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</si>
  <si>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</si>
  <si>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</si>
  <si>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</si>
  <si>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</si>
  <si>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</si>
  <si>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</si>
  <si>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</si>
  <si>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</si>
  <si>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</si>
  <si>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</si>
  <si>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</si>
  <si>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</si>
  <si>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</si>
  <si>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</si>
  <si>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</si>
  <si>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</si>
  <si>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</si>
  <si>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</si>
  <si>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</si>
  <si>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</si>
  <si>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</si>
  <si>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</si>
  <si>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</si>
  <si>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</si>
  <si>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</si>
  <si>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</si>
  <si>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</si>
  <si>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</si>
  <si>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</si>
  <si>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</si>
  <si>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</si>
  <si>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</si>
  <si>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</si>
  <si>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</si>
  <si>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</si>
  <si>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</si>
  <si>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</si>
  <si>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</si>
  <si>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</si>
  <si>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</si>
  <si>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</si>
  <si>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</si>
  <si>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</si>
  <si>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</si>
  <si>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</si>
  <si>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</si>
  <si>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</si>
  <si>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</si>
  <si>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</si>
  <si>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</si>
  <si>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</si>
  <si>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</si>
  <si>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</si>
  <si>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</si>
  <si>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</si>
  <si>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</si>
  <si>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</si>
  <si>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</si>
  <si>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</si>
  <si>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</si>
  <si>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</si>
  <si>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</si>
  <si>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</si>
  <si>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</si>
  <si>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</si>
  <si>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</si>
  <si>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</si>
  <si>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</si>
  <si>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</si>
  <si>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</si>
  <si>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</si>
  <si>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</si>
  <si>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</si>
  <si>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</si>
  <si>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</si>
  <si>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</si>
  <si>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</si>
  <si>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</si>
  <si>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</si>
  <si>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</si>
  <si>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</si>
  <si>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</si>
  <si>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</si>
  <si>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</si>
  <si>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</si>
  <si>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</si>
  <si>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</si>
  <si>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</si>
  <si>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</si>
  <si>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</si>
  <si>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</si>
  <si>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</si>
  <si>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</si>
  <si>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</si>
  <si>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</si>
  <si>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</si>
  <si>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</si>
  <si>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</si>
  <si>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</si>
  <si>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</si>
  <si>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</si>
  <si>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</si>
  <si>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</si>
  <si>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</si>
  <si>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</si>
  <si>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</si>
  <si>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</si>
  <si>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</si>
  <si>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</si>
  <si>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</si>
  <si>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</si>
  <si>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</si>
  <si>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</si>
  <si>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</si>
  <si>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</si>
  <si>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</si>
  <si>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</si>
  <si>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</si>
  <si>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</si>
  <si>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</si>
  <si>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</si>
  <si>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</si>
  <si>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</si>
  <si>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</si>
  <si>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</si>
  <si>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</si>
  <si>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</si>
  <si>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</si>
  <si>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</si>
  <si>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</si>
  <si>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</si>
  <si>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</si>
  <si>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</si>
  <si>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</si>
  <si>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</si>
  <si>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</si>
  <si>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</si>
  <si>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</si>
  <si>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</si>
  <si>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</si>
  <si>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</si>
  <si>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</si>
  <si>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</si>
  <si>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</si>
  <si>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</si>
  <si>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</si>
  <si>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</si>
  <si>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</si>
  <si>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</si>
  <si>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</si>
  <si>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</si>
  <si>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</si>
  <si>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</si>
  <si>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</si>
  <si>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</si>
  <si>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</si>
  <si>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</si>
  <si>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</si>
  <si>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</si>
  <si>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</si>
  <si>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</si>
  <si>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</si>
  <si>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</si>
  <si>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</si>
  <si>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</si>
  <si>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</si>
  <si>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</si>
  <si>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</si>
  <si>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</si>
  <si>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</si>
  <si>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</si>
  <si>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</si>
  <si>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</si>
  <si>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</si>
  <si>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</si>
  <si>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</si>
  <si>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</si>
  <si>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</si>
  <si>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</si>
  <si>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</si>
  <si>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</si>
  <si>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</si>
  <si>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</si>
  <si>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</si>
  <si>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</si>
  <si>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</si>
  <si>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</si>
  <si>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</si>
  <si>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</si>
  <si>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</si>
  <si>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TO</t>
  </si>
  <si>
    <t>Barzin</t>
  </si>
  <si>
    <t>Boban</t>
  </si>
  <si>
    <t>PF Quarter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</si>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</sst>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C6" sqref="C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G1'!B1</f>
        <v>Team Joyce</v>
      </c>
    </row>
    <row r="2" spans="2:13" x14ac:dyDescent="0.2">
      <c r="B2" t="str">
        <f>G1</f>
        <v>Team Joyce</v>
      </c>
      <c r="D2" t="str">
        <f>G20</f>
        <v>Team Berger</v>
      </c>
      <c r="F2" t="s">
        <v>1</v>
      </c>
      <c r="G2" t="s">
        <v>2</v>
      </c>
      <c r="H2" t="s">
        <v>0</v>
      </c>
      <c r="I2" t="s">
        <v>211</v>
      </c>
      <c r="J2" t="s">
        <v>216</v>
      </c>
      <c r="K2" t="s">
        <v>212</v>
      </c>
      <c r="L2" t="s">
        <v>221</v>
      </c>
      <c r="M2" t="s">
        <v>213</v>
      </c>
    </row>
    <row r="3" spans="2:13" x14ac:dyDescent="0.2">
      <c r="B3">
        <f>I18</f>
        <v>15</v>
      </c>
      <c r="C3" s="3" t="s">
        <v>6</v>
      </c>
      <c r="D3" s="4">
        <f>I37</f>
        <v>16</v>
      </c>
      <c r="F3" t="str">
        <f>'Stats G1'!A3</f>
        <v>Kur</v>
      </c>
      <c r="G3" t="str">
        <f>'Stats G1'!B3</f>
        <v>Kuath</v>
      </c>
      <c r="H3">
        <f>'Stats G1'!C3</f>
        <v>34</v>
      </c>
      <c r="I3">
        <f>'Stats G1'!E3</f>
        <v>3</v>
      </c>
      <c r="J3">
        <f>'Stats G1'!H3</f>
        <v>2</v>
      </c>
      <c r="K3">
        <f>'Stats G1'!K3</f>
        <v>5</v>
      </c>
      <c r="L3">
        <f>'Stats G1'!N3</f>
        <v>1</v>
      </c>
    </row>
    <row r="4" spans="2:13" x14ac:dyDescent="0.2">
      <c r="F4" t="str">
        <f>'Stats G1'!A4</f>
        <v>Neema</v>
      </c>
      <c r="G4" t="str">
        <f>'Stats G1'!B4</f>
        <v>Namdar</v>
      </c>
      <c r="H4">
        <f>'Stats G1'!C4</f>
        <v>0</v>
      </c>
      <c r="I4">
        <f>'Stats G1'!E4</f>
        <v>2</v>
      </c>
      <c r="J4">
        <f>'Stats G1'!H4</f>
        <v>1</v>
      </c>
      <c r="K4">
        <f>'Stats G1'!K4</f>
        <v>0</v>
      </c>
      <c r="L4">
        <f>'Stats G1'!N4</f>
        <v>4</v>
      </c>
    </row>
    <row r="5" spans="2:13" x14ac:dyDescent="0.2">
      <c r="F5" t="str">
        <f>'Stats G1'!A5</f>
        <v>Yoeli</v>
      </c>
      <c r="G5" t="str">
        <f>'Stats G1'!B5</f>
        <v>Childs</v>
      </c>
      <c r="H5">
        <f>'Stats G1'!C5</f>
        <v>23</v>
      </c>
      <c r="I5">
        <f>'Stats G1'!E5</f>
        <v>0</v>
      </c>
      <c r="J5">
        <f>'Stats G1'!H5</f>
        <v>0</v>
      </c>
      <c r="K5">
        <f>'Stats G1'!K5</f>
        <v>0</v>
      </c>
      <c r="L5">
        <f>'Stats G1'!N5</f>
        <v>0</v>
      </c>
    </row>
    <row r="6" spans="2:13" x14ac:dyDescent="0.2">
      <c r="F6" t="str">
        <f>'Stats G1'!A6</f>
        <v>Blaze</v>
      </c>
      <c r="G6" t="str">
        <f>'Stats G1'!B6</f>
        <v>Nield</v>
      </c>
      <c r="H6">
        <f>'Stats G1'!C6</f>
        <v>3</v>
      </c>
      <c r="I6">
        <f>'Stats G1'!E6</f>
        <v>8</v>
      </c>
      <c r="J6">
        <f>'Stats G1'!H6</f>
        <v>2</v>
      </c>
      <c r="K6">
        <f>'Stats G1'!K6</f>
        <v>0</v>
      </c>
      <c r="L6">
        <f>'Stats G1'!N6</f>
        <v>1</v>
      </c>
    </row>
    <row r="7" spans="2:13" x14ac:dyDescent="0.2">
      <c r="F7" t="str">
        <f>'Stats G1'!A7</f>
        <v>Kylor</v>
      </c>
      <c r="G7" t="str">
        <f>'Stats G1'!B7</f>
        <v>Kelley</v>
      </c>
      <c r="H7">
        <f>'Stats G1'!C7</f>
        <v>35</v>
      </c>
      <c r="I7">
        <f>'Stats G1'!E7</f>
        <v>0</v>
      </c>
      <c r="J7">
        <f>'Stats G1'!H7</f>
        <v>0</v>
      </c>
      <c r="K7">
        <f>'Stats G1'!K7</f>
        <v>0</v>
      </c>
      <c r="L7">
        <f>'Stats G1'!N7</f>
        <v>0</v>
      </c>
    </row>
    <row r="8" spans="2:13" x14ac:dyDescent="0.2">
      <c r="F8" t="str">
        <f>'Stats G1'!A8</f>
        <v>Nic</v>
      </c>
      <c r="G8" t="str">
        <f>'Stats G1'!B8</f>
        <v>Paulos</v>
      </c>
      <c r="H8">
        <f>'Stats G1'!C8</f>
        <v>31</v>
      </c>
      <c r="I8">
        <f>'Stats G1'!E8</f>
        <v>0</v>
      </c>
      <c r="J8">
        <f>'Stats G1'!H8</f>
        <v>0</v>
      </c>
      <c r="K8">
        <f>'Stats G1'!K8</f>
        <v>0</v>
      </c>
      <c r="L8">
        <f>'Stats G1'!N8</f>
        <v>0</v>
      </c>
    </row>
    <row r="9" spans="2:13" x14ac:dyDescent="0.2">
      <c r="F9" t="str">
        <f>'Stats G1'!A9</f>
        <v>Trey</v>
      </c>
      <c r="G9" t="str">
        <f>'Stats G1'!B9</f>
        <v>Farrer</v>
      </c>
      <c r="H9">
        <f>'Stats G1'!C9</f>
        <v>21</v>
      </c>
      <c r="I9">
        <f>'Stats G1'!E9</f>
        <v>0</v>
      </c>
      <c r="J9">
        <f>'Stats G1'!H9</f>
        <v>4</v>
      </c>
      <c r="K9">
        <f>'Stats G1'!K9</f>
        <v>0</v>
      </c>
      <c r="L9">
        <f>'Stats G1'!N9</f>
        <v>3</v>
      </c>
    </row>
    <row r="10" spans="2:13" x14ac:dyDescent="0.2">
      <c r="F10" t="str">
        <f>'Stats G1'!A10</f>
        <v>Connor</v>
      </c>
      <c r="G10" t="str">
        <f>'Stats G1'!B10</f>
        <v>Harding</v>
      </c>
      <c r="H10">
        <f>'Stats G1'!C10</f>
        <v>11</v>
      </c>
      <c r="I10">
        <f>'Stats G1'!E10</f>
        <v>2</v>
      </c>
      <c r="J10">
        <f>'Stats G1'!H10</f>
        <v>1</v>
      </c>
      <c r="K10">
        <f>'Stats G1'!K10</f>
        <v>0</v>
      </c>
      <c r="L10">
        <f>'Stats G1'!N10</f>
        <v>3</v>
      </c>
    </row>
    <row r="11" spans="2:13" x14ac:dyDescent="0.2">
      <c r="F11" t="str">
        <f>'Stats G1'!A11</f>
        <v>Evan</v>
      </c>
      <c r="G11" t="str">
        <f>'Stats G1'!B11</f>
        <v>Troy</v>
      </c>
      <c r="H11">
        <f>'Stats G1'!C11</f>
        <v>24</v>
      </c>
      <c r="I11">
        <f>'Stats G1'!E11</f>
        <v>0</v>
      </c>
      <c r="J11">
        <f>'Stats G1'!H11</f>
        <v>0</v>
      </c>
      <c r="K11">
        <f>'Stats G1'!K11</f>
        <v>0</v>
      </c>
      <c r="L11">
        <f>'Stats G1'!N11</f>
        <v>0</v>
      </c>
    </row>
    <row r="12" spans="2:13" x14ac:dyDescent="0.2">
      <c r="F12" t="str">
        <f>'Stats G1'!A12</f>
        <v>Sam</v>
      </c>
      <c r="G12" t="str">
        <f>'Stats G1'!B12</f>
        <v>Velez</v>
      </c>
      <c r="H12">
        <f>'Stats G1'!C12</f>
        <v>1</v>
      </c>
      <c r="I12">
        <f>'Stats G1'!E12</f>
        <v>0</v>
      </c>
      <c r="J12">
        <f>'Stats G1'!H12</f>
        <v>0</v>
      </c>
      <c r="K12">
        <f>'Stats G1'!K12</f>
        <v>0</v>
      </c>
      <c r="L12">
        <f>'Stats G1'!N12</f>
        <v>0</v>
      </c>
    </row>
    <row r="13" spans="2:13" x14ac:dyDescent="0.2">
      <c r="F13" t="str">
        <f>'Stats G1'!A13</f>
        <v>Gerad</v>
      </c>
      <c r="G13" t="str">
        <f>'Stats G1'!B13</f>
        <v>Davis</v>
      </c>
      <c r="H13">
        <f>'Stats G1'!C13</f>
        <v>10</v>
      </c>
      <c r="I13">
        <f>'Stats G1'!E13</f>
        <v>0</v>
      </c>
      <c r="J13">
        <f>'Stats G1'!H13</f>
        <v>1</v>
      </c>
      <c r="K13">
        <f>'Stats G1'!K13</f>
        <v>0</v>
      </c>
      <c r="L13">
        <f>'Stats G1'!N13</f>
        <v>4</v>
      </c>
    </row>
    <row r="14" spans="2:13" x14ac:dyDescent="0.2">
      <c r="F14" t="str">
        <f>'Stats G1'!A14</f>
        <v>Barzin</v>
      </c>
      <c r="G14" t="str">
        <f>'Stats G1'!B14</f>
        <v>Boban</v>
      </c>
      <c r="H14">
        <f>'Stats G1'!C14</f>
        <v>25</v>
      </c>
      <c r="I14">
        <f>'Stats G1'!E14</f>
        <v>0</v>
      </c>
      <c r="J14">
        <f>'Stats G1'!H14</f>
        <v>0</v>
      </c>
      <c r="K14">
        <f>'Stats G1'!K14</f>
        <v>0</v>
      </c>
      <c r="L14">
        <f>'Stats G1'!N14</f>
        <v>0</v>
      </c>
    </row>
    <row r="15" spans="2:13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  <c r="L15">
        <f>'Stats G1'!N15</f>
        <v>0</v>
      </c>
    </row>
    <row r="16" spans="2:13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  <c r="L16">
        <f>'Stats G1'!N16</f>
        <v>0</v>
      </c>
    </row>
    <row r="17" spans="6:13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  <c r="L17">
        <f>'Stats G1'!N17</f>
        <v>0</v>
      </c>
    </row>
    <row r="18" spans="6:13" x14ac:dyDescent="0.2">
      <c r="H18" s="2" t="s">
        <v>5</v>
      </c>
      <c r="I18">
        <f t="shared" ref="I18:L18" si="0">SUM(I3:I17)</f>
        <v>15</v>
      </c>
      <c r="J18">
        <f t="shared" si="0"/>
        <v>11</v>
      </c>
      <c r="K18">
        <f t="shared" si="0"/>
        <v>5</v>
      </c>
      <c r="L18">
        <f t="shared" si="0"/>
        <v>16</v>
      </c>
      <c r="M18">
        <f>'Stats G1'!Z3+'Stats G1'!Y4+'Stats G1'!Z5+'Stats G1'!Y6</f>
        <v>1</v>
      </c>
    </row>
    <row r="20" spans="6:13" x14ac:dyDescent="0.2">
      <c r="F20" t="s">
        <v>4</v>
      </c>
      <c r="G20" t="str">
        <f>'Stats G1'!B19</f>
        <v>Team Berger</v>
      </c>
    </row>
    <row r="21" spans="6:13" x14ac:dyDescent="0.2">
      <c r="F21" t="s">
        <v>1</v>
      </c>
      <c r="G21" t="s">
        <v>2</v>
      </c>
      <c r="H21" t="s">
        <v>0</v>
      </c>
      <c r="I21" t="s">
        <v>211</v>
      </c>
      <c r="J21" t="s">
        <v>216</v>
      </c>
      <c r="K21" t="s">
        <v>212</v>
      </c>
      <c r="L21" t="s">
        <v>221</v>
      </c>
      <c r="M21" t="s">
        <v>213</v>
      </c>
    </row>
    <row r="22" spans="6:13" x14ac:dyDescent="0.2">
      <c r="F22" t="str">
        <f>'Stats G1'!A21</f>
        <v>Sean</v>
      </c>
      <c r="G22" t="str">
        <f>'Stats G1'!B21</f>
        <v>Harris</v>
      </c>
      <c r="H22">
        <f>'Stats G1'!C21</f>
        <v>60</v>
      </c>
      <c r="I22">
        <f>'Stats G1'!E21</f>
        <v>4</v>
      </c>
      <c r="J22">
        <f>'Stats G1'!H21</f>
        <v>5</v>
      </c>
      <c r="K22">
        <f>'Stats G1'!K21</f>
        <v>0</v>
      </c>
      <c r="L22">
        <f>'Stats G1'!N21</f>
        <v>0</v>
      </c>
    </row>
    <row r="23" spans="6:13" x14ac:dyDescent="0.2">
      <c r="F23" t="str">
        <f>'Stats G1'!A22</f>
        <v>Parker</v>
      </c>
      <c r="G23" t="str">
        <f>'Stats G1'!B22</f>
        <v>Van Dyke</v>
      </c>
      <c r="H23">
        <f>'Stats G1'!C22</f>
        <v>7</v>
      </c>
      <c r="I23">
        <f>'Stats G1'!E22</f>
        <v>0</v>
      </c>
      <c r="J23">
        <f>'Stats G1'!H22</f>
        <v>0</v>
      </c>
      <c r="K23">
        <f>'Stats G1'!K22</f>
        <v>0</v>
      </c>
      <c r="L23">
        <f>'Stats G1'!N22</f>
        <v>0</v>
      </c>
    </row>
    <row r="24" spans="6:13" x14ac:dyDescent="0.2">
      <c r="F24" t="str">
        <f>'Stats G1'!A23</f>
        <v>Danny</v>
      </c>
      <c r="G24" t="str">
        <f>'Stats G1'!B23</f>
        <v>Berger</v>
      </c>
      <c r="H24">
        <f>'Stats G1'!C23</f>
        <v>10</v>
      </c>
      <c r="I24">
        <f>'Stats G1'!E23</f>
        <v>2</v>
      </c>
      <c r="J24">
        <f>'Stats G1'!H23</f>
        <v>1</v>
      </c>
      <c r="K24">
        <f>'Stats G1'!K23</f>
        <v>1</v>
      </c>
      <c r="L24">
        <f>'Stats G1'!N23</f>
        <v>2</v>
      </c>
    </row>
    <row r="25" spans="6:13" x14ac:dyDescent="0.2">
      <c r="F25" t="str">
        <f>'Stats G1'!A24</f>
        <v>Zac</v>
      </c>
      <c r="G25" t="str">
        <f>'Stats G1'!B24</f>
        <v>Seljaas</v>
      </c>
      <c r="H25">
        <f>'Stats G1'!C24</f>
        <v>99</v>
      </c>
      <c r="I25">
        <f>'Stats G1'!E24</f>
        <v>0</v>
      </c>
      <c r="J25">
        <f>'Stats G1'!H24</f>
        <v>0</v>
      </c>
      <c r="K25">
        <f>'Stats G1'!K24</f>
        <v>0</v>
      </c>
      <c r="L25">
        <f>'Stats G1'!N24</f>
        <v>0</v>
      </c>
    </row>
    <row r="26" spans="6:13" x14ac:dyDescent="0.2">
      <c r="F26" t="str">
        <f>'Stats G1'!A25</f>
        <v>Peter</v>
      </c>
      <c r="G26" t="str">
        <f>'Stats G1'!B25</f>
        <v>Brown</v>
      </c>
      <c r="H26">
        <f>'Stats G1'!C25</f>
        <v>33</v>
      </c>
      <c r="I26">
        <f>'Stats G1'!E25</f>
        <v>0</v>
      </c>
      <c r="J26">
        <f>'Stats G1'!H25</f>
        <v>1</v>
      </c>
      <c r="K26">
        <f>'Stats G1'!K25</f>
        <v>0</v>
      </c>
      <c r="L26">
        <f>'Stats G1'!N25</f>
        <v>5</v>
      </c>
    </row>
    <row r="27" spans="6:13" x14ac:dyDescent="0.2">
      <c r="F27" t="str">
        <f>'Stats G1'!A26</f>
        <v>Zavon</v>
      </c>
      <c r="G27" t="str">
        <f>'Stats G1'!B26</f>
        <v>Jackson</v>
      </c>
      <c r="H27">
        <f>'Stats G1'!C26</f>
        <v>24</v>
      </c>
      <c r="I27">
        <f>'Stats G1'!E26</f>
        <v>0</v>
      </c>
      <c r="J27">
        <f>'Stats G1'!H26</f>
        <v>0</v>
      </c>
      <c r="K27">
        <f>'Stats G1'!K26</f>
        <v>0</v>
      </c>
      <c r="L27">
        <f>'Stats G1'!N26</f>
        <v>0</v>
      </c>
    </row>
    <row r="28" spans="6:13" x14ac:dyDescent="0.2">
      <c r="F28" t="str">
        <f>'Stats G1'!A27</f>
        <v>Spencer</v>
      </c>
      <c r="G28" t="str">
        <f>'Stats G1'!B27</f>
        <v>Butterfield</v>
      </c>
      <c r="H28">
        <f>'Stats G1'!C27</f>
        <v>21</v>
      </c>
      <c r="I28">
        <f>'Stats G1'!E27</f>
        <v>3</v>
      </c>
      <c r="J28">
        <f>'Stats G1'!H27</f>
        <v>0</v>
      </c>
      <c r="K28">
        <f>'Stats G1'!K27</f>
        <v>0</v>
      </c>
      <c r="L28">
        <f>'Stats G1'!N27</f>
        <v>1</v>
      </c>
    </row>
    <row r="29" spans="6:13" x14ac:dyDescent="0.2">
      <c r="F29" t="str">
        <f>'Stats G1'!A28</f>
        <v>Rylan</v>
      </c>
      <c r="G29" t="str">
        <f>'Stats G1'!B28</f>
        <v>Jones</v>
      </c>
      <c r="H29">
        <f>'Stats G1'!C28</f>
        <v>15</v>
      </c>
      <c r="I29">
        <f>'Stats G1'!E28</f>
        <v>4</v>
      </c>
      <c r="J29">
        <f>'Stats G1'!H28</f>
        <v>1</v>
      </c>
      <c r="K29">
        <f>'Stats G1'!K28</f>
        <v>0</v>
      </c>
      <c r="L29">
        <f>'Stats G1'!N28</f>
        <v>1</v>
      </c>
    </row>
    <row r="30" spans="6:13" x14ac:dyDescent="0.2">
      <c r="F30" t="str">
        <f>'Stats G1'!A29</f>
        <v>Brandon</v>
      </c>
      <c r="G30" t="str">
        <f>'Stats G1'!B29</f>
        <v>Sly</v>
      </c>
      <c r="H30">
        <f>'Stats G1'!C29</f>
        <v>2</v>
      </c>
      <c r="I30">
        <f>'Stats G1'!E29</f>
        <v>3</v>
      </c>
      <c r="J30">
        <f>'Stats G1'!H29</f>
        <v>1</v>
      </c>
      <c r="K30">
        <f>'Stats G1'!K29</f>
        <v>0</v>
      </c>
      <c r="L30">
        <f>'Stats G1'!N29</f>
        <v>2</v>
      </c>
    </row>
    <row r="31" spans="6:13" x14ac:dyDescent="0.2">
      <c r="F31" t="str">
        <f>'Stats G1'!A30</f>
        <v>Viko</v>
      </c>
      <c r="G31" t="str">
        <f>'Stats G1'!B30</f>
        <v>Noma'aea</v>
      </c>
      <c r="H31">
        <f>'Stats G1'!C30</f>
        <v>1</v>
      </c>
      <c r="I31">
        <f>'Stats G1'!E30</f>
        <v>0</v>
      </c>
      <c r="J31">
        <f>'Stats G1'!H30</f>
        <v>1</v>
      </c>
      <c r="K31">
        <f>'Stats G1'!K30</f>
        <v>0</v>
      </c>
      <c r="L31">
        <f>'Stats G1'!N30</f>
        <v>0</v>
      </c>
    </row>
    <row r="32" spans="6:13" x14ac:dyDescent="0.2">
      <c r="F32" t="str">
        <f>'Stats G1'!A31</f>
        <v>Steven</v>
      </c>
      <c r="G32" t="str">
        <f>'Stats G1'!B31</f>
        <v>Ashworth</v>
      </c>
      <c r="H32">
        <f>'Stats G1'!C31</f>
        <v>0</v>
      </c>
      <c r="I32">
        <f>'Stats G1'!E31</f>
        <v>0</v>
      </c>
      <c r="J32">
        <f>'Stats G1'!H31</f>
        <v>0</v>
      </c>
      <c r="K32">
        <f>'Stats G1'!K31</f>
        <v>0</v>
      </c>
      <c r="L32">
        <f>'Stats G1'!N31</f>
        <v>0</v>
      </c>
    </row>
    <row r="33" spans="6:13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  <c r="L33">
        <f>'Stats G1'!N32</f>
        <v>0</v>
      </c>
    </row>
    <row r="34" spans="6:13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  <c r="L34">
        <f>'Stats G1'!N33</f>
        <v>0</v>
      </c>
    </row>
    <row r="35" spans="6:13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  <c r="L35">
        <f>'Stats G1'!N34</f>
        <v>0</v>
      </c>
    </row>
    <row r="36" spans="6:13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  <c r="L36">
        <f>'Stats G1'!N35</f>
        <v>0</v>
      </c>
    </row>
    <row r="37" spans="6:13" x14ac:dyDescent="0.2">
      <c r="H37" s="2" t="s">
        <v>5</v>
      </c>
      <c r="I37">
        <f t="shared" ref="I37:L37" si="1">SUM(I22:I36)</f>
        <v>16</v>
      </c>
      <c r="J37">
        <f t="shared" si="1"/>
        <v>10</v>
      </c>
      <c r="K37">
        <f t="shared" si="1"/>
        <v>1</v>
      </c>
      <c r="L37">
        <f t="shared" si="1"/>
        <v>11</v>
      </c>
      <c r="M37">
        <f>'Stats G1'!Z21+'Stats G1'!Y22+'Stats G1'!Z23+'Stats G1'!Y24</f>
        <v>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D36"/>
  <sheetViews>
    <sheetView zoomScale="90" zoomScaleNormal="90" workbookViewId="0">
      <selection activeCell="AD23" sqref="AD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30" x14ac:dyDescent="0.2">
      <c r="A1" s="2" t="s">
        <v>8</v>
      </c>
      <c r="B1" s="1" t="s">
        <v>116</v>
      </c>
    </row>
    <row r="2" spans="1:30" x14ac:dyDescent="0.2">
      <c r="A2" t="s">
        <v>1</v>
      </c>
      <c r="B2" t="s">
        <v>2</v>
      </c>
      <c r="C2" t="s">
        <v>0</v>
      </c>
      <c r="E2" t="s">
        <v>211</v>
      </c>
      <c r="H2" t="s">
        <v>216</v>
      </c>
      <c r="K2" t="s">
        <v>212</v>
      </c>
      <c r="N2" t="s">
        <v>217</v>
      </c>
      <c r="Y2" t="s">
        <v>213</v>
      </c>
      <c r="AA2" t="s">
        <v>220</v>
      </c>
    </row>
    <row r="3" spans="1:30" s="6" customFormat="1" x14ac:dyDescent="0.2">
      <c r="A3" s="5" t="str">
        <f>_xlfn.IFNA(VLOOKUP($B$1&amp;ROWS($A$3:A3),Rosters!$B$2:$C$163,2,0),"?")</f>
        <v>Kur</v>
      </c>
      <c r="B3" s="5" t="str">
        <f>_xlfn.IFNA(VLOOKUP($B$1&amp;ROWS($B$3:B3),Rosters!$B$2:$D$163,3,0),"?")</f>
        <v>Kuath</v>
      </c>
      <c r="C3" s="5">
        <f>_xlfn.IFNA(VLOOKUP($B$1&amp;ROWS($C$3:C3),Rosters!$B$2:$E$163,4,0),"")</f>
        <v>34</v>
      </c>
      <c r="D3" s="5"/>
      <c r="E3" s="5">
        <v>3</v>
      </c>
      <c r="F3" s="5"/>
      <c r="G3" s="5"/>
      <c r="H3" s="5">
        <v>2</v>
      </c>
      <c r="I3" s="5"/>
      <c r="J3" s="5"/>
      <c r="K3" s="5">
        <v>5</v>
      </c>
      <c r="L3" s="5"/>
      <c r="M3" s="5"/>
      <c r="N3" s="5">
        <v>1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  <c r="AA3" s="6">
        <v>1</v>
      </c>
      <c r="AB3" s="6">
        <v>2</v>
      </c>
      <c r="AC3" s="6">
        <v>3</v>
      </c>
      <c r="AD3" s="6">
        <v>4</v>
      </c>
    </row>
    <row r="4" spans="1:30" s="6" customFormat="1" x14ac:dyDescent="0.2">
      <c r="A4" s="6" t="str">
        <f>_xlfn.IFNA(VLOOKUP($B$1&amp;ROWS($A$3:A4),Rosters!$B$2:$C$163,2,0),"?")</f>
        <v>Neema</v>
      </c>
      <c r="B4" s="6" t="str">
        <f>_xlfn.IFNA(VLOOKUP($B$1&amp;ROWS($B$3:B4),Rosters!$B$2:$D$163,3,0),"?")</f>
        <v>Namdar</v>
      </c>
      <c r="C4" s="6">
        <f>_xlfn.IFNA(VLOOKUP($B$1&amp;ROWS($C$3:C4),Rosters!$B$2:$E$163,4,0),"")</f>
        <v>0</v>
      </c>
      <c r="E4" s="6">
        <v>2</v>
      </c>
      <c r="H4" s="6">
        <v>1</v>
      </c>
      <c r="K4" s="6">
        <v>0</v>
      </c>
      <c r="N4" s="6">
        <v>4</v>
      </c>
      <c r="Q4" s="6">
        <v>0</v>
      </c>
      <c r="T4" s="6">
        <v>0</v>
      </c>
      <c r="W4" s="6">
        <v>0</v>
      </c>
      <c r="AB4" s="6">
        <v>3</v>
      </c>
      <c r="AC4" s="6">
        <v>5</v>
      </c>
      <c r="AD4" s="6">
        <v>2</v>
      </c>
    </row>
    <row r="5" spans="1:30" s="6" customFormat="1" x14ac:dyDescent="0.2">
      <c r="A5" s="5" t="str">
        <f>_xlfn.IFNA(VLOOKUP($B$1&amp;ROWS($A$3:A5),Rosters!$B$2:$C$163,2,0),"?")</f>
        <v>Yoeli</v>
      </c>
      <c r="B5" s="5" t="str">
        <f>_xlfn.IFNA(VLOOKUP($B$1&amp;ROWS($B$3:B5),Rosters!$B$2:$D$163,3,0),"?")</f>
        <v>Childs</v>
      </c>
      <c r="C5" s="5">
        <f>_xlfn.IFNA(VLOOKUP($B$1&amp;ROWS($C$3:C5),Rosters!$B$2:$E$163,4,0),"")</f>
        <v>23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  <c r="Z5" s="6">
        <v>1</v>
      </c>
    </row>
    <row r="6" spans="1:30" s="6" customFormat="1" x14ac:dyDescent="0.2">
      <c r="A6" s="6" t="str">
        <f>_xlfn.IFNA(VLOOKUP($B$1&amp;ROWS($A$3:A6),Rosters!$B$2:$C$163,2,0),"?")</f>
        <v>Blaze</v>
      </c>
      <c r="B6" s="6" t="str">
        <f>_xlfn.IFNA(VLOOKUP($B$1&amp;ROWS($B$3:B6),Rosters!$B$2:$D$163,3,0),"?")</f>
        <v>Nield</v>
      </c>
      <c r="C6" s="6">
        <f>_xlfn.IFNA(VLOOKUP($B$1&amp;ROWS($C$3:C6),Rosters!$B$2:$E$163,4,0),"")</f>
        <v>3</v>
      </c>
      <c r="E6" s="6">
        <v>8</v>
      </c>
      <c r="H6" s="6">
        <v>2</v>
      </c>
      <c r="K6" s="6">
        <v>0</v>
      </c>
      <c r="N6" s="6">
        <v>1</v>
      </c>
      <c r="Q6" s="6">
        <v>0</v>
      </c>
      <c r="T6" s="6">
        <v>0</v>
      </c>
      <c r="W6" s="6">
        <v>0</v>
      </c>
    </row>
    <row r="7" spans="1:30" s="6" customFormat="1" x14ac:dyDescent="0.2">
      <c r="A7" s="5" t="str">
        <f>_xlfn.IFNA(VLOOKUP($B$1&amp;ROWS($A$3:A7),Rosters!$B$2:$C$163,2,0),"?")</f>
        <v>Kylor</v>
      </c>
      <c r="B7" s="5" t="str">
        <f>_xlfn.IFNA(VLOOKUP($B$1&amp;ROWS($B$3:B7),Rosters!$B$2:$D$163,3,0),"?")</f>
        <v>Kelley</v>
      </c>
      <c r="C7" s="5">
        <f>_xlfn.IFNA(VLOOKUP($B$1&amp;ROWS($C$3:C7),Rosters!$B$2:$E$163,4,0),"")</f>
        <v>35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30" s="6" customFormat="1" x14ac:dyDescent="0.2">
      <c r="A8" s="6" t="str">
        <f>_xlfn.IFNA(VLOOKUP($B$1&amp;ROWS($A$3:A8),Rosters!$B$2:$C$163,2,0),"?")</f>
        <v>Nic</v>
      </c>
      <c r="B8" s="6" t="str">
        <f>_xlfn.IFNA(VLOOKUP($B$1&amp;ROWS($B$3:B8),Rosters!$B$2:$D$163,3,0),"?")</f>
        <v>Paulos</v>
      </c>
      <c r="C8" s="6">
        <f>_xlfn.IFNA(VLOOKUP($B$1&amp;ROWS($C$3:C8),Rosters!$B$2:$E$163,4,0),"")</f>
        <v>31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30" s="6" customFormat="1" x14ac:dyDescent="0.2">
      <c r="A9" s="5" t="str">
        <f>_xlfn.IFNA(VLOOKUP($B$1&amp;ROWS($A$3:A9),Rosters!$B$2:$C$163,2,0),"?")</f>
        <v>Trey</v>
      </c>
      <c r="B9" s="5" t="str">
        <f>_xlfn.IFNA(VLOOKUP($B$1&amp;ROWS($B$3:B9),Rosters!$B$2:$D$163,3,0),"?")</f>
        <v>Farrer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4</v>
      </c>
      <c r="I9" s="5"/>
      <c r="J9" s="5"/>
      <c r="K9" s="5">
        <v>0</v>
      </c>
      <c r="L9" s="5"/>
      <c r="M9" s="5"/>
      <c r="N9" s="5">
        <v>3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30" s="6" customFormat="1" x14ac:dyDescent="0.2">
      <c r="A10" s="6" t="str">
        <f>_xlfn.IFNA(VLOOKUP($B$1&amp;ROWS($A$3:A10),Rosters!$B$2:$C$163,2,0),"?")</f>
        <v>Connor</v>
      </c>
      <c r="B10" s="6" t="str">
        <f>_xlfn.IFNA(VLOOKUP($B$1&amp;ROWS($B$3:B10),Rosters!$B$2:$D$163,3,0),"?")</f>
        <v>Harding</v>
      </c>
      <c r="C10" s="6">
        <f>_xlfn.IFNA(VLOOKUP($B$1&amp;ROWS($C$3:C10),Rosters!$B$2:$E$163,4,0),"")</f>
        <v>11</v>
      </c>
      <c r="E10" s="6">
        <v>2</v>
      </c>
      <c r="H10" s="6">
        <v>1</v>
      </c>
      <c r="K10" s="6">
        <v>0</v>
      </c>
      <c r="N10" s="6">
        <v>3</v>
      </c>
      <c r="Q10" s="6">
        <v>0</v>
      </c>
      <c r="T10" s="6">
        <v>0</v>
      </c>
      <c r="W10" s="6">
        <v>0</v>
      </c>
    </row>
    <row r="11" spans="1:30" s="6" customFormat="1" x14ac:dyDescent="0.2">
      <c r="A11" s="5" t="str">
        <f>_xlfn.IFNA(VLOOKUP($B$1&amp;ROWS($A$3:A11),Rosters!$B$2:$C$163,2,0),"?")</f>
        <v>Evan</v>
      </c>
      <c r="B11" s="5" t="str">
        <f>_xlfn.IFNA(VLOOKUP($B$1&amp;ROWS($B$3:B11),Rosters!$B$2:$D$163,3,0),"?")</f>
        <v>Troy</v>
      </c>
      <c r="C11" s="5">
        <f>_xlfn.IFNA(VLOOKUP($B$1&amp;ROWS($C$3:C11),Rosters!$B$2:$E$163,4,0),"")</f>
        <v>24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30" s="6" customFormat="1" x14ac:dyDescent="0.2">
      <c r="A12" s="6" t="str">
        <f>_xlfn.IFNA(VLOOKUP($B$1&amp;ROWS($A$3:A12),Rosters!$B$2:$C$163,2,0),"?")</f>
        <v>Sam</v>
      </c>
      <c r="B12" s="6" t="str">
        <f>_xlfn.IFNA(VLOOKUP($B$1&amp;ROWS($B$3:B12),Rosters!$B$2:$D$163,3,0),"?")</f>
        <v>Velez</v>
      </c>
      <c r="C12" s="6">
        <f>_xlfn.IFNA(VLOOKUP($B$1&amp;ROWS($C$3:C12),Rosters!$B$2:$E$163,4,0),"")</f>
        <v>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30" s="6" customFormat="1" x14ac:dyDescent="0.2">
      <c r="A13" s="5" t="str">
        <f>_xlfn.IFNA(VLOOKUP($B$1&amp;ROWS($A$3:A13),Rosters!$B$2:$C$163,2,0),"?")</f>
        <v>Gerad</v>
      </c>
      <c r="B13" s="5" t="str">
        <f>_xlfn.IFNA(VLOOKUP($B$1&amp;ROWS($B$3:B13),Rosters!$B$2:$D$163,3,0),"?")</f>
        <v>Davis</v>
      </c>
      <c r="C13" s="5">
        <f>_xlfn.IFNA(VLOOKUP($B$1&amp;ROWS($C$3:C13),Rosters!$B$2:$E$163,4,0),"")</f>
        <v>10</v>
      </c>
      <c r="D13" s="5"/>
      <c r="E13" s="5">
        <v>0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4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30" s="6" customFormat="1" x14ac:dyDescent="0.2">
      <c r="A14" s="6" t="s">
        <v>218</v>
      </c>
      <c r="B14" s="6" t="s">
        <v>219</v>
      </c>
      <c r="C14" s="6">
        <v>25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30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30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30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30" s="6" customFormat="1" x14ac:dyDescent="0.2">
      <c r="E18" s="6">
        <f>SUM(E3:E17)</f>
        <v>15</v>
      </c>
      <c r="H18" s="6">
        <f>SUM(H3:H17)</f>
        <v>11</v>
      </c>
      <c r="K18" s="6">
        <f>SUM(K3:K17)</f>
        <v>5</v>
      </c>
      <c r="N18" s="6">
        <f>SUM(N3:N17)</f>
        <v>16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30" x14ac:dyDescent="0.2">
      <c r="A19" s="2" t="s">
        <v>9</v>
      </c>
      <c r="B19" s="1" t="s">
        <v>139</v>
      </c>
    </row>
    <row r="20" spans="1:30" x14ac:dyDescent="0.2">
      <c r="A20" t="s">
        <v>1</v>
      </c>
      <c r="B20" t="s">
        <v>2</v>
      </c>
      <c r="C20" t="s">
        <v>0</v>
      </c>
      <c r="E20" t="s">
        <v>211</v>
      </c>
      <c r="H20" t="s">
        <v>216</v>
      </c>
      <c r="K20" t="s">
        <v>212</v>
      </c>
      <c r="N20" t="s">
        <v>217</v>
      </c>
      <c r="Y20" t="s">
        <v>213</v>
      </c>
      <c r="AA20" t="s">
        <v>220</v>
      </c>
    </row>
    <row r="21" spans="1:30" s="6" customFormat="1" x14ac:dyDescent="0.2">
      <c r="A21" s="5" t="str">
        <f>_xlfn.IFNA(VLOOKUP($B$19&amp;ROWS($A$21:A21),Rosters!$B$2:$C$163,2,0),"?")</f>
        <v>Sean</v>
      </c>
      <c r="B21" s="5" t="str">
        <f>_xlfn.IFNA(VLOOKUP($B$19&amp;ROWS($B$21:B21),Rosters!$B$2:$D$163,3,0),"?")</f>
        <v>Harris</v>
      </c>
      <c r="C21" s="5">
        <f>_xlfn.IFNA(VLOOKUP($B$19&amp;ROWS($C$21:C21),Rosters!$B$2:$E$163,4,0),"")</f>
        <v>60</v>
      </c>
      <c r="D21" s="5"/>
      <c r="E21" s="5">
        <v>4</v>
      </c>
      <c r="F21" s="5"/>
      <c r="G21" s="5"/>
      <c r="H21" s="5">
        <v>5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  <c r="Z21" s="6">
        <v>2</v>
      </c>
      <c r="AA21" s="6">
        <v>1</v>
      </c>
      <c r="AB21" s="6">
        <v>2</v>
      </c>
      <c r="AC21" s="6">
        <v>3</v>
      </c>
      <c r="AD21" s="6">
        <v>4</v>
      </c>
    </row>
    <row r="22" spans="1:30" x14ac:dyDescent="0.2">
      <c r="A22" t="str">
        <f>_xlfn.IFNA(VLOOKUP($B$19&amp;ROWS($A$21:A22),Rosters!$B$2:$C$163,2,0),"?")</f>
        <v>Parker</v>
      </c>
      <c r="B22" t="str">
        <f>_xlfn.IFNA(VLOOKUP($B$19&amp;ROWS($B$21:B22),Rosters!$B$2:$D$163,3,0),"?")</f>
        <v>Van Dyke</v>
      </c>
      <c r="C22">
        <f>_xlfn.IFNA(VLOOKUP($B$19&amp;ROWS($C$21:C22),Rosters!$B$2:$E$163,4,0),"")</f>
        <v>7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  <c r="AA22">
        <v>1</v>
      </c>
      <c r="AB22">
        <v>5</v>
      </c>
      <c r="AC22">
        <v>1</v>
      </c>
      <c r="AD22">
        <v>2</v>
      </c>
    </row>
    <row r="23" spans="1:30" s="6" customFormat="1" x14ac:dyDescent="0.2">
      <c r="A23" s="5" t="str">
        <f>_xlfn.IFNA(VLOOKUP($B$19&amp;ROWS($A$21:A23),Rosters!$B$2:$C$163,2,0),"?")</f>
        <v>Danny</v>
      </c>
      <c r="B23" s="5" t="str">
        <f>_xlfn.IFNA(VLOOKUP($B$19&amp;ROWS($B$21:B23),Rosters!$B$2:$D$163,3,0),"?")</f>
        <v>Berger</v>
      </c>
      <c r="C23" s="5">
        <v>10</v>
      </c>
      <c r="D23" s="5"/>
      <c r="E23" s="5">
        <v>2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  <c r="Z23" s="6">
        <v>1</v>
      </c>
    </row>
    <row r="24" spans="1:30" x14ac:dyDescent="0.2">
      <c r="A24" t="str">
        <f>_xlfn.IFNA(VLOOKUP($B$19&amp;ROWS($A$21:A24),Rosters!$B$2:$C$163,2,0),"?")</f>
        <v>Zac</v>
      </c>
      <c r="B24" t="str">
        <f>_xlfn.IFNA(VLOOKUP($B$19&amp;ROWS($B$21:B24),Rosters!$B$2:$D$163,3,0),"?")</f>
        <v>Seljaas</v>
      </c>
      <c r="C24">
        <f>_xlfn.IFNA(VLOOKUP($B$19&amp;ROWS($C$21:C24),Rosters!$B$2:$E$163,4,0),"")</f>
        <v>99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30" s="6" customFormat="1" x14ac:dyDescent="0.2">
      <c r="A25" s="5" t="str">
        <f>_xlfn.IFNA(VLOOKUP($B$19&amp;ROWS($A$21:A25),Rosters!$B$2:$C$163,2,0),"?")</f>
        <v>Peter</v>
      </c>
      <c r="B25" s="5" t="str">
        <f>_xlfn.IFNA(VLOOKUP($B$19&amp;ROWS($B$21:B25),Rosters!$B$2:$D$163,3,0),"?")</f>
        <v>Brown</v>
      </c>
      <c r="C25" s="5">
        <f>_xlfn.IFNA(VLOOKUP($B$19&amp;ROWS($C$21:C25),Rosters!$B$2:$E$163,4,0),"")</f>
        <v>33</v>
      </c>
      <c r="D25" s="5"/>
      <c r="E25" s="5">
        <v>0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5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30" x14ac:dyDescent="0.2">
      <c r="A26" t="str">
        <f>_xlfn.IFNA(VLOOKUP($B$19&amp;ROWS($A$21:A26),Rosters!$B$2:$C$163,2,0),"?")</f>
        <v>Zavon</v>
      </c>
      <c r="B26" t="str">
        <f>_xlfn.IFNA(VLOOKUP($B$19&amp;ROWS($B$21:B26),Rosters!$B$2:$D$163,3,0),"?")</f>
        <v>Jackson</v>
      </c>
      <c r="C26">
        <f>_xlfn.IFNA(VLOOKUP($B$19&amp;ROWS($C$21:C26),Rosters!$B$2:$E$163,4,0),"")</f>
        <v>24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30" s="6" customFormat="1" x14ac:dyDescent="0.2">
      <c r="A27" s="5" t="str">
        <f>_xlfn.IFNA(VLOOKUP($B$19&amp;ROWS($A$21:A27),Rosters!$B$2:$C$163,2,0),"?")</f>
        <v>Spencer</v>
      </c>
      <c r="B27" s="5" t="str">
        <f>_xlfn.IFNA(VLOOKUP($B$19&amp;ROWS($B$21:B27),Rosters!$B$2:$D$163,3,0),"?")</f>
        <v>Butterfield</v>
      </c>
      <c r="C27" s="5">
        <f>_xlfn.IFNA(VLOOKUP($B$19&amp;ROWS($C$21:C27),Rosters!$B$2:$E$163,4,0),"")</f>
        <v>21</v>
      </c>
      <c r="D27" s="5"/>
      <c r="E27" s="5">
        <v>3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30" x14ac:dyDescent="0.2">
      <c r="A28" t="str">
        <f>_xlfn.IFNA(VLOOKUP($B$19&amp;ROWS($A$21:A28),Rosters!$B$2:$C$163,2,0),"?")</f>
        <v>Rylan</v>
      </c>
      <c r="B28" t="str">
        <f>_xlfn.IFNA(VLOOKUP($B$19&amp;ROWS($B$21:B28),Rosters!$B$2:$D$163,3,0),"?")</f>
        <v>Jones</v>
      </c>
      <c r="C28">
        <f>_xlfn.IFNA(VLOOKUP($B$19&amp;ROWS($C$21:C28),Rosters!$B$2:$E$163,4,0),"")</f>
        <v>15</v>
      </c>
      <c r="D28" s="6"/>
      <c r="E28" s="6">
        <v>4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30" s="6" customFormat="1" x14ac:dyDescent="0.2">
      <c r="A29" s="5" t="str">
        <f>_xlfn.IFNA(VLOOKUP($B$19&amp;ROWS($A$21:A29),Rosters!$B$2:$C$163,2,0),"?")</f>
        <v>Brandon</v>
      </c>
      <c r="B29" s="5" t="str">
        <f>_xlfn.IFNA(VLOOKUP($B$19&amp;ROWS($B$21:B29),Rosters!$B$2:$D$163,3,0),"?")</f>
        <v>Sly</v>
      </c>
      <c r="C29" s="5">
        <f>_xlfn.IFNA(VLOOKUP($B$19&amp;ROWS($C$21:C29),Rosters!$B$2:$E$163,4,0),"")</f>
        <v>2</v>
      </c>
      <c r="D29" s="5"/>
      <c r="E29" s="5">
        <v>3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2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30" x14ac:dyDescent="0.2">
      <c r="A30" t="str">
        <f>_xlfn.IFNA(VLOOKUP($B$19&amp;ROWS($A$21:A30),Rosters!$B$2:$C$163,2,0),"?")</f>
        <v>Viko</v>
      </c>
      <c r="B30" t="str">
        <f>_xlfn.IFNA(VLOOKUP($B$19&amp;ROWS($B$21:B30),Rosters!$B$2:$D$163,3,0),"?")</f>
        <v>Noma'aea</v>
      </c>
      <c r="C30">
        <v>1</v>
      </c>
      <c r="D30" s="6"/>
      <c r="E30" s="6">
        <v>0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30" s="6" customFormat="1" x14ac:dyDescent="0.2">
      <c r="A31" s="5" t="str">
        <f>_xlfn.IFNA(VLOOKUP($B$19&amp;ROWS($A$21:A31),Rosters!$B$2:$C$163,2,0),"?")</f>
        <v>Steven</v>
      </c>
      <c r="B31" s="5" t="str">
        <f>_xlfn.IFNA(VLOOKUP($B$19&amp;ROWS($B$21:B31),Rosters!$B$2:$D$163,3,0),"?")</f>
        <v>Ashworth</v>
      </c>
      <c r="C31" s="5">
        <f>_xlfn.IFNA(VLOOKUP($B$19&amp;ROWS($C$21:C31),Rosters!$B$2:$E$163,4,0),"")</f>
        <v>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30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16</v>
      </c>
      <c r="H36">
        <f>SUM(H21:H35)</f>
        <v>10</v>
      </c>
      <c r="K36">
        <f>SUM(K21:K35)</f>
        <v>1</v>
      </c>
      <c r="N36">
        <f>SUM(N21:N35)</f>
        <v>11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2022-08-07T17:30:26Z</dcterms:modified>
</cp:coreProperties>
</file>