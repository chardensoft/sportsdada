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8T134846Z-001/"/>
    </mc:Choice>
  </mc:AlternateContent>
  <xr:revisionPtr revIDLastSave="0" documentId="13_ncr:1_{17A1E005-1DC5-4048-9B3E-471836A33004}" xr6:coauthVersionLast="47" xr6:coauthVersionMax="47" xr10:uidLastSave="{00000000-0000-0000-0000-000000000000}"/>
  <bookViews>
    <workbookView xWindow="0" yWindow="520" windowWidth="1428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1" l="1"/>
  <c r="B37" i="1"/>
  <c r="A37" i="1"/>
  <c r="C19" i="1"/>
  <c r="B19" i="1"/>
  <c r="A19" i="1"/>
  <c r="C18" i="1"/>
  <c r="B18" i="1"/>
  <c r="A18" i="1"/>
  <c r="C17" i="1"/>
  <c r="B17" i="1"/>
  <c r="A17" i="1"/>
  <c r="C14" i="1"/>
  <c r="B14" i="1"/>
  <c r="A14" i="1"/>
  <c r="C16" i="1"/>
  <c r="B16" i="1"/>
  <c r="A16" i="1"/>
  <c r="C15" i="1"/>
  <c r="B15" i="1"/>
  <c r="A15" i="1"/>
  <c r="H38" i="1"/>
  <c r="K38" i="1"/>
  <c r="N38" i="1"/>
  <c r="Q38" i="1"/>
  <c r="T38" i="1"/>
  <c r="W38" i="1"/>
  <c r="E38" i="1"/>
  <c r="H20" i="1"/>
  <c r="K20" i="1"/>
  <c r="N20" i="1"/>
  <c r="Q20" i="1"/>
  <c r="T20" i="1"/>
  <c r="W20" i="1"/>
  <c r="E20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I18" i="2"/>
  <c r="L37" i="2" l="1"/>
  <c r="L18" i="2"/>
  <c r="K37" i="2"/>
  <c r="Y38" i="1"/>
  <c r="J37" i="2"/>
  <c r="Y20" i="1"/>
  <c r="K18" i="2"/>
  <c r="J18" i="2"/>
  <c r="G20" i="2"/>
  <c r="D2" i="2" s="1"/>
  <c r="G1" i="2"/>
  <c r="B2" i="2" s="1"/>
  <c r="H17" i="2" l="1"/>
  <c r="F15" i="2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F36" i="2"/>
  <c r="B26" i="1"/>
  <c r="G25" i="2" s="1"/>
  <c r="G17" i="2"/>
  <c r="H14" i="2"/>
  <c r="A36" i="1"/>
  <c r="F35" i="2" s="1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B29" i="1"/>
  <c r="G28" i="2" s="1"/>
  <c r="B34" i="1"/>
  <c r="G33" i="2" s="1"/>
  <c r="A24" i="1"/>
  <c r="F23" i="2" s="1"/>
  <c r="F17" i="2"/>
  <c r="G14" i="2"/>
  <c r="H34" i="2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G36" i="2"/>
  <c r="C26" i="1"/>
  <c r="H25" i="2" s="1"/>
  <c r="C31" i="1"/>
  <c r="H30" i="2" s="1"/>
  <c r="H16" i="2"/>
  <c r="G16" i="2"/>
  <c r="F16" i="2"/>
  <c r="H15" i="2"/>
  <c r="G15" i="2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H36" i="2"/>
  <c r="C34" i="1"/>
  <c r="H33" i="2" s="1"/>
  <c r="B24" i="1"/>
  <c r="G23" i="2" s="1"/>
  <c r="A29" i="1"/>
  <c r="F28" i="2" s="1"/>
  <c r="H13" i="2"/>
  <c r="F11" i="2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H9" i="2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<sst xmlns="http://schemas.openxmlformats.org/spreadsheetml/2006/main" count="363" uniqueCount="226">
  <si>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</si>
  <si>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</si>
  <si>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</si>
  <si>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</si>
  <si>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</si>
  <si>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</si>
  <si>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</si>
  <si>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</si>
  <si>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</si>
  <si>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</si>
  <si>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</si>
  <si>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</si>
  <si>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</si>
  <si>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</si>
  <si>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</si>
  <si>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</si>
  <si>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</si>
  <si>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</si>
  <si>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</si>
  <si>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</si>
  <si>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</si>
  <si>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</si>
  <si>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</si>
  <si>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</si>
  <si>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</si>
  <si>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</si>
  <si>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</si>
  <si>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</si>
  <si>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</si>
  <si>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</si>
  <si>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</si>
  <si>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</si>
  <si>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</si>
  <si>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</si>
  <si>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</si>
  <si>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</si>
  <si>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</si>
  <si>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</si>
  <si>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</si>
  <si>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</si>
  <si>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</si>
  <si>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</si>
  <si>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</si>
  <si>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</si>
  <si>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</si>
  <si>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</si>
  <si>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</si>
  <si>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</si>
  <si>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</si>
  <si>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</si>
  <si>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</si>
  <si>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</si>
  <si>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</si>
  <si>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</si>
  <si>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</si>
  <si>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</si>
  <si>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</si>
  <si>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</si>
  <si>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</si>
  <si>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</si>
  <si>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</si>
  <si>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</si>
  <si>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</si>
  <si>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</si>
  <si>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</si>
  <si>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</si>
  <si>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</si>
  <si>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</si>
  <si>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</si>
  <si>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</si>
  <si>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</si>
  <si>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</si>
  <si>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</si>
  <si>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</si>
  <si>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</si>
  <si>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</si>
  <si>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</si>
  <si>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</si>
  <si>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</si>
  <si>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</si>
  <si>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</si>
  <si>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</si>
  <si>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</si>
  <si>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</si>
  <si>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</si>
  <si>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</si>
  <si>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</si>
  <si>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</si>
  <si>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</si>
  <si>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</si>
  <si>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</si>
  <si>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</si>
  <si>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</si>
  <si>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</si>
  <si>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</si>
  <si>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</si>
  <si>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</si>
  <si>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</si>
  <si>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</si>
  <si>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</si>
  <si>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</si>
  <si>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</si>
  <si>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</si>
  <si>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</si>
  <si>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</si>
  <si>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</si>
  <si>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</si>
  <si>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</si>
  <si>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</si>
  <si>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</si>
  <si>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</si>
  <si>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</si>
  <si>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</si>
  <si>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</si>
  <si>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</si>
  <si>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</si>
  <si>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</si>
  <si>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</si>
  <si>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</si>
  <si>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</si>
  <si>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</si>
  <si>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</si>
  <si>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</si>
  <si>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</si>
  <si>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</si>
  <si>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</si>
  <si>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</si>
  <si>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</si>
  <si>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</si>
  <si>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</si>
  <si>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</si>
  <si>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</si>
  <si>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</si>
  <si>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</si>
  <si>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</si>
  <si>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</si>
  <si>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</si>
  <si>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</si>
  <si>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</si>
  <si>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</si>
  <si>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</si>
  <si>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</si>
  <si>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</si>
  <si>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</si>
  <si>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</si>
  <si>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</si>
  <si>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</si>
  <si>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</si>
  <si>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</si>
  <si>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</si>
  <si>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</si>
  <si>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</si>
  <si>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</si>
  <si>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</si>
  <si>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</si>
  <si>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</si>
  <si>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</si>
  <si>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</si>
  <si>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</si>
  <si>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</si>
  <si>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</si>
  <si>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</si>
  <si>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</si>
  <si>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</si>
  <si>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</si>
  <si>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</si>
  <si>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</si>
  <si>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</si>
  <si>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</si>
  <si>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</si>
  <si>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</si>
  <si>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</si>
  <si>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</si>
  <si>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</si>
  <si>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</si>
  <si>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</si>
  <si>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</si>
  <si>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</si>
  <si>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</si>
  <si>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</si>
  <si>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</si>
  <si>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</si>
  <si>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</si>
  <si>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</si>
  <si>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</si>
  <si>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</si>
  <si>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</si>
  <si>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</si>
  <si>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</si>
  <si>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</si>
  <si>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</si>
  <si>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</si>
  <si>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</si>
  <si>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</si>
  <si>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</si>
  <si>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</si>
  <si>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</si>
  <si>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</si>
  <si>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</si>
  <si>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</si>
  <si>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</si>
  <si>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</si>
  <si>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</si>
  <si>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</si>
  <si>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</si>
  <si>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</si>
  <si>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</si>
  <si>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</si>
  <si>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</si>
  <si>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</si>
  <si>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</si>
  <si>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</si>
  <si>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</si>
  <si>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</si>
  <si>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</si>
  <si>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</si>
  <si>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</si>
  <si>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</si>
  <si>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</si>
  <si>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</si>
  <si>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</si>
  <si>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</si>
  <si>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</si>
  <si>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TOTAL PTS</t>
  </si>
  <si>
    <t>Jalen</t>
  </si>
  <si>
    <t>Weaver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</si>
</sst>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32" sqref="F3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Berger</v>
      </c>
    </row>
    <row r="2" spans="2:13" x14ac:dyDescent="0.2">
      <c r="B2" t="str">
        <f>G1</f>
        <v>Team Berger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99</v>
      </c>
      <c r="C3" s="3" t="s">
        <v>13</v>
      </c>
      <c r="D3" s="4">
        <f>I37</f>
        <v>87</v>
      </c>
      <c r="F3" t="str">
        <f>'Stats G1'!A5</f>
        <v>Sean</v>
      </c>
      <c r="G3" t="str">
        <f>'Stats G1'!B5</f>
        <v>Harris</v>
      </c>
      <c r="H3">
        <f>'Stats G1'!C5</f>
        <v>60</v>
      </c>
      <c r="I3">
        <f>'Stats G1'!H5*2+'Stats G1'!N5*3+'Stats G1'!T5</f>
        <v>22</v>
      </c>
      <c r="J3" t="str">
        <f>SUM('Stats G1'!H5+'Stats G1'!N5)&amp;"-"&amp;SUM('Stats G1'!E5+'Stats G1'!K5)</f>
        <v>9-13</v>
      </c>
      <c r="K3" t="str">
        <f>SUM('Stats G1'!N5)&amp;"-"&amp;SUM('Stats G1'!K5)</f>
        <v>2-4</v>
      </c>
      <c r="L3" t="str">
        <f>SUM('Stats G1'!T5)&amp;"-"&amp;SUM('Stats G1'!Q5)</f>
        <v>2-2</v>
      </c>
      <c r="M3">
        <f>'Stats G1'!W5</f>
        <v>2</v>
      </c>
    </row>
    <row r="4" spans="2:13" x14ac:dyDescent="0.2">
      <c r="F4" t="str">
        <f>'Stats G1'!A6</f>
        <v>Parker</v>
      </c>
      <c r="G4" t="str">
        <f>'Stats G1'!B6</f>
        <v>Van Dyke</v>
      </c>
      <c r="H4">
        <f>'Stats G1'!C6</f>
        <v>7</v>
      </c>
      <c r="I4">
        <f>'Stats G1'!H6*2+'Stats G1'!N6*3+'Stats G1'!T6</f>
        <v>22</v>
      </c>
      <c r="J4" t="str">
        <f>SUM('Stats G1'!H6+'Stats G1'!N6)&amp;"-"&amp;SUM('Stats G1'!E6+'Stats G1'!K6)</f>
        <v>8-26</v>
      </c>
      <c r="K4" t="str">
        <f>SUM('Stats G1'!N6)&amp;"-"&amp;SUM('Stats G1'!K6)</f>
        <v>4-13</v>
      </c>
      <c r="L4" t="str">
        <f>SUM('Stats G1'!T6)&amp;"-"&amp;SUM('Stats G1'!Q6)</f>
        <v>2-3</v>
      </c>
      <c r="M4">
        <f>'Stats G1'!W6</f>
        <v>1</v>
      </c>
    </row>
    <row r="5" spans="2:13" x14ac:dyDescent="0.2">
      <c r="F5" t="str">
        <f>'Stats G1'!A7</f>
        <v>Danny</v>
      </c>
      <c r="G5" t="str">
        <f>'Stats G1'!B7</f>
        <v>Berger</v>
      </c>
      <c r="H5">
        <f>'Stats G1'!C7</f>
        <v>12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Zac</v>
      </c>
      <c r="G6" t="str">
        <f>'Stats G1'!B8</f>
        <v>Seljaas</v>
      </c>
      <c r="H6">
        <f>'Stats G1'!C8</f>
        <v>99</v>
      </c>
      <c r="I6">
        <f>'Stats G1'!H8*2+'Stats G1'!N8*3+'Stats G1'!T8</f>
        <v>18</v>
      </c>
      <c r="J6" t="str">
        <f>SUM('Stats G1'!H8+'Stats G1'!N8)&amp;"-"&amp;SUM('Stats G1'!E8+'Stats G1'!K8)</f>
        <v>5-19</v>
      </c>
      <c r="K6" t="str">
        <f>SUM('Stats G1'!N8)&amp;"-"&amp;SUM('Stats G1'!K8)</f>
        <v>1-12</v>
      </c>
      <c r="L6" t="str">
        <f>SUM('Stats G1'!T8)&amp;"-"&amp;SUM('Stats G1'!Q8)</f>
        <v>7-7</v>
      </c>
      <c r="M6">
        <f>'Stats G1'!W8</f>
        <v>1</v>
      </c>
    </row>
    <row r="7" spans="2:13" x14ac:dyDescent="0.2">
      <c r="F7" t="str">
        <f>'Stats G1'!A9</f>
        <v>Peter</v>
      </c>
      <c r="G7" t="str">
        <f>'Stats G1'!B9</f>
        <v>Brown</v>
      </c>
      <c r="H7">
        <f>'Stats G1'!C9</f>
        <v>33</v>
      </c>
      <c r="I7">
        <f>'Stats G1'!H9*2+'Stats G1'!N9*3+'Stats G1'!T9</f>
        <v>10</v>
      </c>
      <c r="J7" t="str">
        <f>SUM('Stats G1'!H9+'Stats G1'!N9)&amp;"-"&amp;SUM('Stats G1'!E9+'Stats G1'!K9)</f>
        <v>4-4</v>
      </c>
      <c r="K7" t="str">
        <f>SUM('Stats G1'!N9)&amp;"-"&amp;SUM('Stats G1'!K9)</f>
        <v>1-1</v>
      </c>
      <c r="L7" t="str">
        <f>SUM('Stats G1'!T9)&amp;"-"&amp;SUM('Stats G1'!Q9)</f>
        <v>1-1</v>
      </c>
      <c r="M7">
        <f>'Stats G1'!W9</f>
        <v>3</v>
      </c>
    </row>
    <row r="8" spans="2:13" x14ac:dyDescent="0.2">
      <c r="F8" t="str">
        <f>'Stats G1'!A10</f>
        <v>Zavon</v>
      </c>
      <c r="G8" t="str">
        <f>'Stats G1'!B10</f>
        <v>Jackson</v>
      </c>
      <c r="H8">
        <f>'Stats G1'!C10</f>
        <v>24</v>
      </c>
      <c r="I8">
        <f>'Stats G1'!H10*2+'Stats G1'!N10*3+'Stats G1'!T10</f>
        <v>9</v>
      </c>
      <c r="J8" t="str">
        <f>SUM('Stats G1'!H10+'Stats G1'!N10)&amp;"-"&amp;SUM('Stats G1'!E10+'Stats G1'!K10)</f>
        <v>3-7</v>
      </c>
      <c r="K8" t="str">
        <f>SUM('Stats G1'!N10)&amp;"-"&amp;SUM('Stats G1'!K10)</f>
        <v>0-1</v>
      </c>
      <c r="L8" t="str">
        <f>SUM('Stats G1'!T10)&amp;"-"&amp;SUM('Stats G1'!Q10)</f>
        <v>3-4</v>
      </c>
      <c r="M8">
        <f>'Stats G1'!W10</f>
        <v>2</v>
      </c>
    </row>
    <row r="9" spans="2:13" x14ac:dyDescent="0.2">
      <c r="F9" t="str">
        <f>'Stats G1'!A11</f>
        <v>Spencer</v>
      </c>
      <c r="G9" t="str">
        <f>'Stats G1'!B11</f>
        <v>Butterfield</v>
      </c>
      <c r="H9">
        <f>'Stats G1'!C11</f>
        <v>6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1</v>
      </c>
    </row>
    <row r="10" spans="2:13" x14ac:dyDescent="0.2">
      <c r="F10" t="str">
        <f>'Stats G1'!A12</f>
        <v>Rylan</v>
      </c>
      <c r="G10" t="str">
        <f>'Stats G1'!B12</f>
        <v>Jones</v>
      </c>
      <c r="H10">
        <f>'Stats G1'!C12</f>
        <v>15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Brandon</v>
      </c>
      <c r="G11" t="str">
        <f>'Stats G1'!B13</f>
        <v>Sly</v>
      </c>
      <c r="H11">
        <f>'Stats G1'!C13</f>
        <v>2</v>
      </c>
      <c r="I11">
        <f>'Stats G1'!H13*2+'Stats G1'!N13*3+'Stats G1'!T13</f>
        <v>18</v>
      </c>
      <c r="J11" t="str">
        <f>SUM('Stats G1'!H13+'Stats G1'!N13)&amp;"-"&amp;SUM('Stats G1'!E13+'Stats G1'!K13)</f>
        <v>8-20</v>
      </c>
      <c r="K11" t="str">
        <f>SUM('Stats G1'!N13)&amp;"-"&amp;SUM('Stats G1'!K13)</f>
        <v>2-5</v>
      </c>
      <c r="L11" t="str">
        <f>SUM('Stats G1'!T13)&amp;"-"&amp;SUM('Stats G1'!Q13)</f>
        <v>0-1</v>
      </c>
      <c r="M11">
        <f>'Stats G1'!W13</f>
        <v>3</v>
      </c>
    </row>
    <row r="12" spans="2:13" x14ac:dyDescent="0.2">
      <c r="F12" t="str">
        <f>'Stats G1'!A14</f>
        <v>Viko</v>
      </c>
      <c r="G12" t="str">
        <f>'Stats G1'!B14</f>
        <v>Noma'aea</v>
      </c>
      <c r="H12">
        <f>'Stats G1'!C14</f>
        <v>6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Steven</v>
      </c>
      <c r="G13" t="str">
        <f>'Stats G1'!B15</f>
        <v>Ashworth</v>
      </c>
      <c r="H13">
        <f>'Stats G1'!C15</f>
        <v>0</v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99</v>
      </c>
      <c r="J18" t="str">
        <f>SUM('Stats G1'!H20+'Stats G1'!N20)&amp;"-"&amp;SUM('Stats G1'!E20+'Stats G1'!K20)</f>
        <v>37-89</v>
      </c>
      <c r="K18" t="str">
        <f>SUM('Stats G1'!N20)&amp;"-"&amp;SUM('Stats G1'!K20)</f>
        <v>10-36</v>
      </c>
      <c r="L18" t="str">
        <f>SUM('Stats G1'!T20)&amp;"-"&amp;SUM('Stats G1'!Q20)</f>
        <v>15-18</v>
      </c>
      <c r="M18">
        <f>SUM(M3:M17)</f>
        <v>13</v>
      </c>
    </row>
    <row r="20" spans="6:13" x14ac:dyDescent="0.2">
      <c r="F20" t="s">
        <v>11</v>
      </c>
      <c r="G20" t="str">
        <f>'Stats G1'!B21</f>
        <v>Team Covington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Andre</v>
      </c>
      <c r="G22" t="str">
        <f>'Stats G1'!B23</f>
        <v>Mulibea</v>
      </c>
      <c r="H22">
        <f>'Stats G1'!C23</f>
        <v>34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Jaxon</v>
      </c>
      <c r="G23" t="str">
        <f>'Stats G1'!B24</f>
        <v>Pollard</v>
      </c>
      <c r="H23">
        <f>'Stats G1'!C24</f>
        <v>4</v>
      </c>
      <c r="I23">
        <f>'Stats G1'!H24*2+'Stats G1'!N24*3+'Stats G1'!T24</f>
        <v>6</v>
      </c>
      <c r="J23" t="str">
        <f>SUM('Stats G1'!H24+'Stats G1'!N24)&amp;"-"&amp;SUM('Stats G1'!E24+'Stats G1'!K24)</f>
        <v>3-12</v>
      </c>
      <c r="K23" t="str">
        <f>SUM('Stats G1'!N24)&amp;"-"&amp;SUM('Stats G1'!K24)</f>
        <v>0-5</v>
      </c>
      <c r="L23" t="str">
        <f>SUM('Stats G1'!T24)&amp;"-"&amp;SUM('Stats G1'!Q24)</f>
        <v>0-1</v>
      </c>
      <c r="M23">
        <f>'Stats G1'!W24</f>
        <v>3</v>
      </c>
    </row>
    <row r="24" spans="6:13" x14ac:dyDescent="0.2">
      <c r="F24" t="str">
        <f>'Stats G1'!A25</f>
        <v>Tyson</v>
      </c>
      <c r="G24" t="str">
        <f>'Stats G1'!B25</f>
        <v>Garff</v>
      </c>
      <c r="H24">
        <f>'Stats G1'!C25</f>
        <v>21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Tanner</v>
      </c>
      <c r="G25" t="str">
        <f>'Stats G1'!B26</f>
        <v>Cuff</v>
      </c>
      <c r="H25">
        <f>'Stats G1'!C26</f>
        <v>87</v>
      </c>
      <c r="I25">
        <f>'Stats G1'!H26*2+'Stats G1'!N26*3+'Stats G1'!T26</f>
        <v>7</v>
      </c>
      <c r="J25" t="str">
        <f>SUM('Stats G1'!H26+'Stats G1'!N26)&amp;"-"&amp;SUM('Stats G1'!E26+'Stats G1'!K26)</f>
        <v>2-9</v>
      </c>
      <c r="K25" t="str">
        <f>SUM('Stats G1'!N26)&amp;"-"&amp;SUM('Stats G1'!K26)</f>
        <v>1-3</v>
      </c>
      <c r="L25" t="str">
        <f>SUM('Stats G1'!T26)&amp;"-"&amp;SUM('Stats G1'!Q26)</f>
        <v>2-2</v>
      </c>
      <c r="M25">
        <f>'Stats G1'!W26</f>
        <v>5</v>
      </c>
    </row>
    <row r="26" spans="6:13" x14ac:dyDescent="0.2">
      <c r="F26" t="str">
        <f>'Stats G1'!A27</f>
        <v>Brady</v>
      </c>
      <c r="G26" t="str">
        <f>'Stats G1'!B27</f>
        <v>Smith</v>
      </c>
      <c r="H26">
        <f>'Stats G1'!C27</f>
        <v>23</v>
      </c>
      <c r="I26">
        <f>'Stats G1'!H27*2+'Stats G1'!N27*3+'Stats G1'!T27</f>
        <v>5</v>
      </c>
      <c r="J26" t="str">
        <f>SUM('Stats G1'!H27+'Stats G1'!N27)&amp;"-"&amp;SUM('Stats G1'!E27+'Stats G1'!K27)</f>
        <v>2-4</v>
      </c>
      <c r="K26" t="str">
        <f>SUM('Stats G1'!N27)&amp;"-"&amp;SUM('Stats G1'!K27)</f>
        <v>1-1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Nick</v>
      </c>
      <c r="G27" t="str">
        <f>'Stats G1'!B28</f>
        <v>Covington</v>
      </c>
      <c r="H27">
        <f>'Stats G1'!C28</f>
        <v>2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Alejandro</v>
      </c>
      <c r="G28" t="str">
        <f>'Stats G1'!B29</f>
        <v>Vasquez</v>
      </c>
      <c r="H28">
        <f>'Stats G1'!C29</f>
        <v>10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Jared</v>
      </c>
      <c r="G29" t="str">
        <f>'Stats G1'!B30</f>
        <v>Garcia</v>
      </c>
      <c r="H29">
        <f>'Stats G1'!C30</f>
        <v>25</v>
      </c>
      <c r="I29">
        <f>'Stats G1'!H30*2+'Stats G1'!N30*3+'Stats G1'!T30</f>
        <v>29</v>
      </c>
      <c r="J29" t="str">
        <f>SUM('Stats G1'!H30+'Stats G1'!N30)&amp;"-"&amp;SUM('Stats G1'!E30+'Stats G1'!K30)</f>
        <v>12-28</v>
      </c>
      <c r="K29" t="str">
        <f>SUM('Stats G1'!N30)&amp;"-"&amp;SUM('Stats G1'!K30)</f>
        <v>3-11</v>
      </c>
      <c r="L29" t="str">
        <f>SUM('Stats G1'!T30)&amp;"-"&amp;SUM('Stats G1'!Q30)</f>
        <v>2-2</v>
      </c>
      <c r="M29">
        <f>'Stats G1'!W30</f>
        <v>3</v>
      </c>
    </row>
    <row r="30" spans="6:13" x14ac:dyDescent="0.2">
      <c r="F30" t="str">
        <f>'Stats G1'!A31</f>
        <v>Macea</v>
      </c>
      <c r="G30" t="str">
        <f>'Stats G1'!B31</f>
        <v>Austin</v>
      </c>
      <c r="H30">
        <f>'Stats G1'!C31</f>
        <v>3</v>
      </c>
      <c r="I30">
        <f>'Stats G1'!H31*2+'Stats G1'!N31*3+'Stats G1'!T31</f>
        <v>5</v>
      </c>
      <c r="J30" t="str">
        <f>SUM('Stats G1'!H31+'Stats G1'!N31)&amp;"-"&amp;SUM('Stats G1'!E31+'Stats G1'!K31)</f>
        <v>2-3</v>
      </c>
      <c r="K30" t="str">
        <f>SUM('Stats G1'!N31)&amp;"-"&amp;SUM('Stats G1'!K31)</f>
        <v>1-2</v>
      </c>
      <c r="L30" t="str">
        <f>SUM('Stats G1'!T31)&amp;"-"&amp;SUM('Stats G1'!Q31)</f>
        <v>0-0</v>
      </c>
      <c r="M30">
        <f>'Stats G1'!W31</f>
        <v>2</v>
      </c>
    </row>
    <row r="31" spans="6:13" x14ac:dyDescent="0.2">
      <c r="F31" t="str">
        <f>'Stats G1'!A32</f>
        <v>Austin</v>
      </c>
      <c r="G31" t="str">
        <f>'Stats G1'!B32</f>
        <v>Hayhurst</v>
      </c>
      <c r="H31">
        <f>'Stats G1'!C32</f>
        <v>33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Dwayne</v>
      </c>
      <c r="G32" t="str">
        <f>'Stats G1'!B33</f>
        <v>Koroma</v>
      </c>
      <c r="H32">
        <f>'Stats G1'!C33</f>
        <v>16</v>
      </c>
      <c r="I32">
        <f>'Stats G1'!H33*2+'Stats G1'!N33*3+'Stats G1'!T33</f>
        <v>24</v>
      </c>
      <c r="J32" t="str">
        <f>SUM('Stats G1'!H33+'Stats G1'!N33)&amp;"-"&amp;SUM('Stats G1'!E33+'Stats G1'!K33)</f>
        <v>10-18</v>
      </c>
      <c r="K32" t="str">
        <f>SUM('Stats G1'!N33)&amp;"-"&amp;SUM('Stats G1'!K33)</f>
        <v>0-0</v>
      </c>
      <c r="L32" t="str">
        <f>SUM('Stats G1'!T33)&amp;"-"&amp;SUM('Stats G1'!Q33)</f>
        <v>4-4</v>
      </c>
      <c r="M32">
        <f>'Stats G1'!W33</f>
        <v>4</v>
      </c>
    </row>
    <row r="33" spans="6:13" x14ac:dyDescent="0.2">
      <c r="F33" t="str">
        <f>'Stats G1'!A34</f>
        <v>Jaxon</v>
      </c>
      <c r="G33" t="str">
        <f>'Stats G1'!B34</f>
        <v>Heiden</v>
      </c>
      <c r="H33">
        <f>'Stats G1'!C34</f>
        <v>14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Jalen</v>
      </c>
      <c r="G34" t="str">
        <f>'Stats G1'!B35</f>
        <v>Weaver</v>
      </c>
      <c r="H34">
        <f>'Stats G1'!C35</f>
        <v>20</v>
      </c>
      <c r="I34">
        <f>'Stats G1'!H35*2+'Stats G1'!N35*3+'Stats G1'!T35</f>
        <v>11</v>
      </c>
      <c r="J34" t="str">
        <f>SUM('Stats G1'!H35+'Stats G1'!N35)&amp;"-"&amp;SUM('Stats G1'!E35+'Stats G1'!K35)</f>
        <v>5-11</v>
      </c>
      <c r="K34" t="str">
        <f>SUM('Stats G1'!N35)&amp;"-"&amp;SUM('Stats G1'!K35)</f>
        <v>0-4</v>
      </c>
      <c r="L34" t="str">
        <f>SUM('Stats G1'!T35)&amp;"-"&amp;SUM('Stats G1'!Q35)</f>
        <v>1-2</v>
      </c>
      <c r="M34">
        <f>'Stats G1'!W35</f>
        <v>1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87</v>
      </c>
      <c r="J37" t="str">
        <f>SUM('Stats G1'!H38+'Stats G1'!N38)&amp;"-"&amp;SUM('Stats G1'!E38+'Stats G1'!K38)</f>
        <v>36-85</v>
      </c>
      <c r="K37" t="str">
        <f>SUM('Stats G1'!N38)&amp;"-"&amp;SUM('Stats G1'!K38)</f>
        <v>6-26</v>
      </c>
      <c r="L37" t="str">
        <f>SUM('Stats G1'!T38)&amp;"-"&amp;SUM('Stats G1'!Q38)</f>
        <v>9-11</v>
      </c>
      <c r="M37">
        <f>SUM(M22:M36)</f>
        <v>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12" zoomScale="140" zoomScaleNormal="140" workbookViewId="0">
      <selection activeCell="C36" sqref="C3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6" max="26" width="4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152</v>
      </c>
    </row>
    <row r="4" spans="1:26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  <c r="Y4" t="s">
        <v>223</v>
      </c>
      <c r="Z4" s="2"/>
    </row>
    <row r="5" spans="1:26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9">
        <f>_xlfn.IFNA(VLOOKUP($B$3&amp;ROWS($C$5:C5),Rosters!$B$2:$E$163,4,0),"")</f>
        <v>60</v>
      </c>
      <c r="D5" s="5"/>
      <c r="E5" s="5">
        <v>9</v>
      </c>
      <c r="F5" s="5"/>
      <c r="G5" s="5"/>
      <c r="H5" s="5">
        <v>7</v>
      </c>
      <c r="I5" s="5"/>
      <c r="J5" s="5"/>
      <c r="K5" s="5">
        <v>4</v>
      </c>
      <c r="L5" s="5"/>
      <c r="M5" s="5"/>
      <c r="N5" s="5">
        <v>2</v>
      </c>
      <c r="O5" s="5"/>
      <c r="P5" s="5"/>
      <c r="Q5" s="5">
        <v>2</v>
      </c>
      <c r="R5" s="5"/>
      <c r="S5" s="5"/>
      <c r="T5" s="5">
        <v>2</v>
      </c>
      <c r="U5" s="5"/>
      <c r="V5" s="5"/>
      <c r="W5" s="5">
        <v>2</v>
      </c>
      <c r="X5" s="5"/>
      <c r="Y5" s="6">
        <f>SUM(H5*2,N5*3,T5)</f>
        <v>22</v>
      </c>
      <c r="Z5" s="10"/>
    </row>
    <row r="6" spans="1:26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10">
        <f>_xlfn.IFNA(VLOOKUP($B$3&amp;ROWS($C$5:C6),Rosters!$B$2:$E$163,4,0),"")</f>
        <v>7</v>
      </c>
      <c r="E6" s="6">
        <v>13</v>
      </c>
      <c r="H6" s="6">
        <v>4</v>
      </c>
      <c r="K6" s="6">
        <v>13</v>
      </c>
      <c r="N6" s="6">
        <v>4</v>
      </c>
      <c r="Q6" s="6">
        <v>3</v>
      </c>
      <c r="T6" s="6">
        <v>2</v>
      </c>
      <c r="W6" s="6">
        <v>1</v>
      </c>
      <c r="Y6" s="6">
        <f t="shared" ref="Y6:Y38" si="0">SUM(H6*2,N6*3,T6)</f>
        <v>22</v>
      </c>
      <c r="Z6" s="10"/>
    </row>
    <row r="7" spans="1:26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9">
        <f>_xlfn.IFNA(VLOOKUP($B$3&amp;ROWS($C$5:C7),Rosters!$B$2:$E$163,4,0),"")</f>
        <v>12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6">
        <f t="shared" si="0"/>
        <v>0</v>
      </c>
      <c r="Z7" s="10"/>
    </row>
    <row r="8" spans="1:26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10">
        <f>_xlfn.IFNA(VLOOKUP($B$3&amp;ROWS($C$5:C8),Rosters!$B$2:$E$163,4,0),"")</f>
        <v>99</v>
      </c>
      <c r="E8" s="6">
        <v>7</v>
      </c>
      <c r="H8" s="6">
        <v>4</v>
      </c>
      <c r="K8" s="6">
        <v>12</v>
      </c>
      <c r="N8" s="6">
        <v>1</v>
      </c>
      <c r="Q8" s="6">
        <v>7</v>
      </c>
      <c r="T8" s="6">
        <v>7</v>
      </c>
      <c r="W8" s="6">
        <v>1</v>
      </c>
      <c r="Y8" s="6">
        <f t="shared" si="0"/>
        <v>18</v>
      </c>
      <c r="Z8" s="10"/>
    </row>
    <row r="9" spans="1:26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9">
        <f>_xlfn.IFNA(VLOOKUP($B$3&amp;ROWS($C$5:C9),Rosters!$B$2:$E$163,4,0),"")</f>
        <v>33</v>
      </c>
      <c r="D9" s="5"/>
      <c r="E9" s="5">
        <v>3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1</v>
      </c>
      <c r="R9" s="5"/>
      <c r="S9" s="5"/>
      <c r="T9" s="5">
        <v>1</v>
      </c>
      <c r="U9" s="5"/>
      <c r="V9" s="5"/>
      <c r="W9" s="5">
        <v>3</v>
      </c>
      <c r="X9" s="5"/>
      <c r="Y9" s="6">
        <f t="shared" si="0"/>
        <v>10</v>
      </c>
      <c r="Z9" s="10"/>
    </row>
    <row r="10" spans="1:26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10">
        <f>_xlfn.IFNA(VLOOKUP($B$3&amp;ROWS($C$5:C10),Rosters!$B$2:$E$163,4,0),"")</f>
        <v>24</v>
      </c>
      <c r="E10" s="6">
        <v>6</v>
      </c>
      <c r="H10" s="6">
        <v>3</v>
      </c>
      <c r="K10" s="6">
        <v>1</v>
      </c>
      <c r="Q10" s="6">
        <v>4</v>
      </c>
      <c r="T10" s="6">
        <v>3</v>
      </c>
      <c r="W10" s="6">
        <v>2</v>
      </c>
      <c r="Y10" s="6">
        <f t="shared" si="0"/>
        <v>9</v>
      </c>
      <c r="Z10" s="10"/>
    </row>
    <row r="11" spans="1:26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9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>
        <v>1</v>
      </c>
      <c r="X11" s="5"/>
      <c r="Y11" s="6">
        <f t="shared" si="0"/>
        <v>0</v>
      </c>
      <c r="Z11" s="10"/>
    </row>
    <row r="12" spans="1:26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10">
        <f>_xlfn.IFNA(VLOOKUP($B$3&amp;ROWS($C$5:C12),Rosters!$B$2:$E$163,4,0),"")</f>
        <v>15</v>
      </c>
      <c r="Y12" s="6">
        <f t="shared" si="0"/>
        <v>0</v>
      </c>
      <c r="Z12" s="10"/>
    </row>
    <row r="13" spans="1:26" s="6" customFormat="1" x14ac:dyDescent="0.2">
      <c r="A13" s="5" t="s">
        <v>167</v>
      </c>
      <c r="B13" s="5" t="s">
        <v>168</v>
      </c>
      <c r="C13" s="9">
        <v>2</v>
      </c>
      <c r="D13" s="5"/>
      <c r="E13" s="5">
        <v>15</v>
      </c>
      <c r="F13" s="5"/>
      <c r="G13" s="5"/>
      <c r="H13" s="5">
        <v>6</v>
      </c>
      <c r="I13" s="5"/>
      <c r="J13" s="5"/>
      <c r="K13" s="5">
        <v>5</v>
      </c>
      <c r="L13" s="5"/>
      <c r="M13" s="5"/>
      <c r="N13" s="5">
        <v>2</v>
      </c>
      <c r="O13" s="5"/>
      <c r="P13" s="5"/>
      <c r="Q13" s="5">
        <v>1</v>
      </c>
      <c r="R13" s="5"/>
      <c r="S13" s="5"/>
      <c r="T13" s="5"/>
      <c r="U13" s="5"/>
      <c r="V13" s="5"/>
      <c r="W13" s="5">
        <v>3</v>
      </c>
      <c r="X13" s="5"/>
      <c r="Y13" s="6">
        <f t="shared" si="0"/>
        <v>18</v>
      </c>
      <c r="Z13" s="10"/>
    </row>
    <row r="14" spans="1:26" s="6" customFormat="1" x14ac:dyDescent="0.2">
      <c r="A14" s="6" t="str">
        <f>_xlfn.IFNA(VLOOKUP($B$3&amp;ROWS($A$5:A14),Rosters!$B$2:$C$163,2,0),"?")</f>
        <v>Viko</v>
      </c>
      <c r="B14" s="6" t="str">
        <f>_xlfn.IFNA(VLOOKUP($B$3&amp;ROWS($B$5:B14),Rosters!$B$2:$D$163,3,0),"?")</f>
        <v>Noma'aea</v>
      </c>
      <c r="C14" s="10">
        <f>_xlfn.IFNA(VLOOKUP($B$3&amp;ROWS($C$5:C14),Rosters!$B$2:$E$163,4,0),"")</f>
        <v>6</v>
      </c>
      <c r="Y14" s="6">
        <f t="shared" si="0"/>
        <v>0</v>
      </c>
      <c r="Z14" s="10"/>
    </row>
    <row r="15" spans="1:26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9">
        <f>_xlfn.IFNA(VLOOKUP($B$3&amp;ROWS($C$5:C15),Rosters!$B$2:$E$163,4,0),"")</f>
        <v>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6">
        <f t="shared" si="0"/>
        <v>0</v>
      </c>
      <c r="Z15" s="10"/>
    </row>
    <row r="16" spans="1:26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10" t="str">
        <f>_xlfn.IFNA(VLOOKUP($B$3&amp;ROWS($C$5:C16),Rosters!$B$2:$E$163,4,0),"")</f>
        <v/>
      </c>
      <c r="Y16" s="6">
        <f t="shared" si="0"/>
        <v>0</v>
      </c>
      <c r="Z16" s="10"/>
    </row>
    <row r="17" spans="1:26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9" t="str">
        <f>_xlfn.IFNA(VLOOKUP($B$3&amp;ROWS($C$5:C17),Rosters!$B$2:$E$163,4,0),"")</f>
        <v/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6">
        <f t="shared" si="0"/>
        <v>0</v>
      </c>
      <c r="Z17" s="10"/>
    </row>
    <row r="18" spans="1:26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 t="str">
        <f>_xlfn.IFNA(VLOOKUP($B$3&amp;ROWS($C$5:C18),Rosters!$B$2:$E$163,4,0),"")</f>
        <v/>
      </c>
      <c r="Y18" s="6">
        <f t="shared" si="0"/>
        <v>0</v>
      </c>
      <c r="Z18" s="10"/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6">
        <f t="shared" si="0"/>
        <v>0</v>
      </c>
      <c r="Z19" s="10"/>
    </row>
    <row r="20" spans="1:26" s="6" customFormat="1" x14ac:dyDescent="0.2">
      <c r="C20" s="10"/>
      <c r="E20" s="6">
        <f>SUM(E5:E19)</f>
        <v>53</v>
      </c>
      <c r="H20" s="6">
        <f t="shared" ref="H20:W20" si="1">SUM(H5:H19)</f>
        <v>27</v>
      </c>
      <c r="K20" s="6">
        <f t="shared" si="1"/>
        <v>36</v>
      </c>
      <c r="N20" s="6">
        <f t="shared" si="1"/>
        <v>10</v>
      </c>
      <c r="Q20" s="6">
        <f t="shared" si="1"/>
        <v>18</v>
      </c>
      <c r="T20" s="6">
        <f t="shared" si="1"/>
        <v>15</v>
      </c>
      <c r="W20" s="6">
        <f t="shared" si="1"/>
        <v>13</v>
      </c>
      <c r="Y20" s="10">
        <f t="shared" si="0"/>
        <v>99</v>
      </c>
      <c r="Z20" s="10"/>
    </row>
    <row r="21" spans="1:26" x14ac:dyDescent="0.2">
      <c r="A21" s="2" t="s">
        <v>16</v>
      </c>
      <c r="B21" s="1" t="s">
        <v>46</v>
      </c>
      <c r="C21" s="2"/>
      <c r="Y21" s="6"/>
      <c r="Z21" s="2"/>
    </row>
    <row r="22" spans="1:26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  <c r="Y22" s="6"/>
      <c r="Z22" s="2"/>
    </row>
    <row r="23" spans="1:26" s="6" customFormat="1" x14ac:dyDescent="0.2">
      <c r="A23" s="5" t="str">
        <f>_xlfn.IFNA(VLOOKUP($B$21&amp;ROWS($A$23:A23),Rosters!$B$2:$C$163,2,0),"?")</f>
        <v>Andre</v>
      </c>
      <c r="B23" s="5" t="str">
        <f>_xlfn.IFNA(VLOOKUP($B$21&amp;ROWS($B$23:B23),Rosters!$B$2:$D$163,3,0),"?")</f>
        <v>Mulibea</v>
      </c>
      <c r="C23" s="9">
        <f>_xlfn.IFNA(VLOOKUP($B$21&amp;ROWS($C$23:C23),Rosters!$B$2:$E$163,4,0),"")</f>
        <v>34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6">
        <f t="shared" si="0"/>
        <v>0</v>
      </c>
      <c r="Z23" s="10"/>
    </row>
    <row r="24" spans="1:26" x14ac:dyDescent="0.2">
      <c r="A24" t="str">
        <f>_xlfn.IFNA(VLOOKUP($B$21&amp;ROWS($A$23:A24),Rosters!$B$2:$C$163,2,0),"?")</f>
        <v>Jaxon</v>
      </c>
      <c r="B24" t="str">
        <f>_xlfn.IFNA(VLOOKUP($B$21&amp;ROWS($B$23:B24),Rosters!$B$2:$D$163,3,0),"?")</f>
        <v>Pollard</v>
      </c>
      <c r="C24" s="2">
        <f>_xlfn.IFNA(VLOOKUP($B$21&amp;ROWS($C$23:C24),Rosters!$B$2:$E$163,4,0),"")</f>
        <v>4</v>
      </c>
      <c r="D24" s="6"/>
      <c r="E24" s="6">
        <v>7</v>
      </c>
      <c r="F24" s="6"/>
      <c r="G24" s="6"/>
      <c r="H24" s="6">
        <v>3</v>
      </c>
      <c r="I24" s="6"/>
      <c r="J24" s="6"/>
      <c r="K24" s="6">
        <v>5</v>
      </c>
      <c r="L24" s="6"/>
      <c r="M24" s="6"/>
      <c r="N24" s="6"/>
      <c r="O24" s="6"/>
      <c r="P24" s="6"/>
      <c r="Q24" s="6">
        <v>1</v>
      </c>
      <c r="R24" s="6"/>
      <c r="S24" s="6"/>
      <c r="T24" s="6"/>
      <c r="U24" s="6"/>
      <c r="V24" s="6"/>
      <c r="W24" s="6">
        <v>3</v>
      </c>
      <c r="X24" s="6"/>
      <c r="Y24" s="6">
        <f t="shared" si="0"/>
        <v>6</v>
      </c>
      <c r="Z24" s="2"/>
    </row>
    <row r="25" spans="1:26" s="6" customFormat="1" x14ac:dyDescent="0.2">
      <c r="A25" s="5" t="str">
        <f>_xlfn.IFNA(VLOOKUP($B$21&amp;ROWS($A$23:A25),Rosters!$B$2:$C$163,2,0),"?")</f>
        <v>Tyson</v>
      </c>
      <c r="B25" s="5" t="str">
        <f>_xlfn.IFNA(VLOOKUP($B$21&amp;ROWS($B$23:B25),Rosters!$B$2:$D$163,3,0),"?")</f>
        <v>Garff</v>
      </c>
      <c r="C25" s="9">
        <f>_xlfn.IFNA(VLOOKUP($B$21&amp;ROWS($C$23:C25),Rosters!$B$2:$E$163,4,0),"")</f>
        <v>21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6">
        <f t="shared" si="0"/>
        <v>0</v>
      </c>
      <c r="Z25" s="10"/>
    </row>
    <row r="26" spans="1:26" x14ac:dyDescent="0.2">
      <c r="A26" t="str">
        <f>_xlfn.IFNA(VLOOKUP($B$21&amp;ROWS($A$23:A26),Rosters!$B$2:$C$163,2,0),"?")</f>
        <v>Tanner</v>
      </c>
      <c r="B26" t="str">
        <f>_xlfn.IFNA(VLOOKUP($B$21&amp;ROWS($B$23:B26),Rosters!$B$2:$D$163,3,0),"?")</f>
        <v>Cuff</v>
      </c>
      <c r="C26" s="2">
        <f>_xlfn.IFNA(VLOOKUP($B$21&amp;ROWS($C$23:C26),Rosters!$B$2:$E$163,4,0),"")</f>
        <v>87</v>
      </c>
      <c r="D26" s="6"/>
      <c r="E26" s="6">
        <v>6</v>
      </c>
      <c r="F26" s="6"/>
      <c r="G26" s="6"/>
      <c r="H26" s="6">
        <v>1</v>
      </c>
      <c r="I26" s="6"/>
      <c r="J26" s="6"/>
      <c r="K26" s="6">
        <v>3</v>
      </c>
      <c r="L26" s="6"/>
      <c r="M26" s="6"/>
      <c r="N26" s="6">
        <v>1</v>
      </c>
      <c r="O26" s="6"/>
      <c r="P26" s="6"/>
      <c r="Q26" s="6">
        <v>2</v>
      </c>
      <c r="R26" s="6"/>
      <c r="S26" s="6"/>
      <c r="T26" s="6">
        <v>2</v>
      </c>
      <c r="U26" s="6"/>
      <c r="V26" s="6"/>
      <c r="W26" s="6">
        <v>5</v>
      </c>
      <c r="X26" s="6"/>
      <c r="Y26" s="6">
        <f t="shared" si="0"/>
        <v>7</v>
      </c>
      <c r="Z26" s="10"/>
    </row>
    <row r="27" spans="1:26" s="6" customFormat="1" x14ac:dyDescent="0.2">
      <c r="A27" s="5" t="str">
        <f>_xlfn.IFNA(VLOOKUP($B$21&amp;ROWS($A$23:A27),Rosters!$B$2:$C$163,2,0),"?")</f>
        <v>Brady</v>
      </c>
      <c r="B27" s="5" t="str">
        <f>_xlfn.IFNA(VLOOKUP($B$21&amp;ROWS($B$23:B27),Rosters!$B$2:$D$163,3,0),"?")</f>
        <v>Smith</v>
      </c>
      <c r="C27" s="9">
        <f>_xlfn.IFNA(VLOOKUP($B$21&amp;ROWS($C$23:C27),Rosters!$B$2:$E$163,4,0),"")</f>
        <v>23</v>
      </c>
      <c r="D27" s="5"/>
      <c r="E27" s="5">
        <v>3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6">
        <f t="shared" si="0"/>
        <v>5</v>
      </c>
      <c r="Z27" s="10"/>
    </row>
    <row r="28" spans="1:26" x14ac:dyDescent="0.2">
      <c r="A28" t="str">
        <f>_xlfn.IFNA(VLOOKUP($B$21&amp;ROWS($A$23:A28),Rosters!$B$2:$C$163,2,0),"?")</f>
        <v>Nick</v>
      </c>
      <c r="B28" t="str">
        <f>_xlfn.IFNA(VLOOKUP($B$21&amp;ROWS($B$23:B28),Rosters!$B$2:$D$163,3,0),"?")</f>
        <v>Covington</v>
      </c>
      <c r="C28" s="2">
        <f>_xlfn.IFNA(VLOOKUP($B$21&amp;ROWS($C$23:C28),Rosters!$B$2:$E$163,4,0),"")</f>
        <v>2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>
        <f t="shared" si="0"/>
        <v>0</v>
      </c>
      <c r="Z28" s="10"/>
    </row>
    <row r="29" spans="1:26" s="6" customFormat="1" x14ac:dyDescent="0.2">
      <c r="A29" s="5" t="str">
        <f>_xlfn.IFNA(VLOOKUP($B$21&amp;ROWS($A$23:A29),Rosters!$B$2:$C$163,2,0),"?")</f>
        <v>Alejandro</v>
      </c>
      <c r="B29" s="5" t="str">
        <f>_xlfn.IFNA(VLOOKUP($B$21&amp;ROWS($B$23:B29),Rosters!$B$2:$D$163,3,0),"?")</f>
        <v>Vasquez</v>
      </c>
      <c r="C29" s="9">
        <f>_xlfn.IFNA(VLOOKUP($B$21&amp;ROWS($C$23:C29),Rosters!$B$2:$E$163,4,0),"")</f>
        <v>10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6">
        <f t="shared" si="0"/>
        <v>0</v>
      </c>
      <c r="Z29" s="10"/>
    </row>
    <row r="30" spans="1:26" x14ac:dyDescent="0.2">
      <c r="A30" t="str">
        <f>_xlfn.IFNA(VLOOKUP($B$21&amp;ROWS($A$23:A30),Rosters!$B$2:$C$163,2,0),"?")</f>
        <v>Jared</v>
      </c>
      <c r="B30" t="str">
        <f>_xlfn.IFNA(VLOOKUP($B$21&amp;ROWS($B$23:B30),Rosters!$B$2:$D$163,3,0),"?")</f>
        <v>Garcia</v>
      </c>
      <c r="C30" s="2">
        <f>_xlfn.IFNA(VLOOKUP($B$21&amp;ROWS($C$23:C30),Rosters!$B$2:$E$163,4,0),"")</f>
        <v>25</v>
      </c>
      <c r="D30" s="6"/>
      <c r="E30" s="6">
        <v>17</v>
      </c>
      <c r="F30" s="6"/>
      <c r="G30" s="6"/>
      <c r="H30" s="6">
        <v>9</v>
      </c>
      <c r="I30" s="6"/>
      <c r="J30" s="6"/>
      <c r="K30" s="6">
        <v>11</v>
      </c>
      <c r="L30" s="6"/>
      <c r="M30" s="6"/>
      <c r="N30" s="6">
        <v>3</v>
      </c>
      <c r="O30" s="6"/>
      <c r="P30" s="6"/>
      <c r="Q30" s="6">
        <v>2</v>
      </c>
      <c r="R30" s="6"/>
      <c r="S30" s="6"/>
      <c r="T30" s="6">
        <v>2</v>
      </c>
      <c r="U30" s="6"/>
      <c r="V30" s="6"/>
      <c r="W30" s="6">
        <v>3</v>
      </c>
      <c r="X30" s="6"/>
      <c r="Y30" s="6">
        <f t="shared" si="0"/>
        <v>29</v>
      </c>
      <c r="Z30" s="10"/>
    </row>
    <row r="31" spans="1:26" s="6" customFormat="1" x14ac:dyDescent="0.2">
      <c r="A31" s="5" t="str">
        <f>_xlfn.IFNA(VLOOKUP($B$21&amp;ROWS($A$23:A31),Rosters!$B$2:$C$163,2,0),"?")</f>
        <v>Macea</v>
      </c>
      <c r="B31" s="5" t="str">
        <f>_xlfn.IFNA(VLOOKUP($B$21&amp;ROWS($B$23:B31),Rosters!$B$2:$D$163,3,0),"?")</f>
        <v>Austin</v>
      </c>
      <c r="C31" s="9">
        <f>_xlfn.IFNA(VLOOKUP($B$21&amp;ROWS($C$23:C31),Rosters!$B$2:$E$163,4,0),"")</f>
        <v>3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/>
      <c r="R31" s="5"/>
      <c r="S31" s="5"/>
      <c r="T31" s="5"/>
      <c r="U31" s="5"/>
      <c r="V31" s="5"/>
      <c r="W31" s="5">
        <v>2</v>
      </c>
      <c r="X31" s="5"/>
      <c r="Y31" s="6">
        <f t="shared" si="0"/>
        <v>5</v>
      </c>
      <c r="Z31" s="10"/>
    </row>
    <row r="32" spans="1:26" x14ac:dyDescent="0.2">
      <c r="A32" t="str">
        <f>_xlfn.IFNA(VLOOKUP($B$21&amp;ROWS($A$23:A32),Rosters!$B$2:$C$163,2,0),"?")</f>
        <v>Austin</v>
      </c>
      <c r="B32" t="str">
        <f>_xlfn.IFNA(VLOOKUP($B$21&amp;ROWS($B$23:B32),Rosters!$B$2:$D$163,3,0),"?")</f>
        <v>Hayhurst</v>
      </c>
      <c r="C32" s="2">
        <f>_xlfn.IFNA(VLOOKUP($B$21&amp;ROWS($C$23:C32),Rosters!$B$2:$E$163,4,0),"")</f>
        <v>33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>
        <f t="shared" si="0"/>
        <v>0</v>
      </c>
      <c r="Z32" s="10"/>
    </row>
    <row r="33" spans="1:26" s="6" customFormat="1" x14ac:dyDescent="0.2">
      <c r="A33" s="5" t="str">
        <f>_xlfn.IFNA(VLOOKUP($B$21&amp;ROWS($A$23:A33),Rosters!$B$2:$C$163,2,0),"?")</f>
        <v>Dwayne</v>
      </c>
      <c r="B33" s="5" t="str">
        <f>_xlfn.IFNA(VLOOKUP($B$21&amp;ROWS($B$23:B33),Rosters!$B$2:$D$163,3,0),"?")</f>
        <v>Koroma</v>
      </c>
      <c r="C33" s="9">
        <f>_xlfn.IFNA(VLOOKUP($B$21&amp;ROWS($C$23:C33),Rosters!$B$2:$E$163,4,0),"")</f>
        <v>16</v>
      </c>
      <c r="D33" s="5"/>
      <c r="E33" s="5">
        <v>18</v>
      </c>
      <c r="F33" s="5"/>
      <c r="G33" s="5"/>
      <c r="H33" s="5">
        <v>10</v>
      </c>
      <c r="I33" s="5"/>
      <c r="J33" s="5"/>
      <c r="K33" s="5"/>
      <c r="L33" s="5"/>
      <c r="M33" s="5"/>
      <c r="N33" s="5"/>
      <c r="O33" s="5"/>
      <c r="P33" s="5"/>
      <c r="Q33" s="5">
        <v>4</v>
      </c>
      <c r="R33" s="5"/>
      <c r="S33" s="5"/>
      <c r="T33" s="5">
        <v>4</v>
      </c>
      <c r="U33" s="5"/>
      <c r="V33" s="5"/>
      <c r="W33" s="5">
        <v>4</v>
      </c>
      <c r="X33" s="5"/>
      <c r="Y33" s="6">
        <f t="shared" si="0"/>
        <v>24</v>
      </c>
      <c r="Z33" s="10"/>
    </row>
    <row r="34" spans="1:26" x14ac:dyDescent="0.2">
      <c r="A34" t="str">
        <f>_xlfn.IFNA(VLOOKUP($B$21&amp;ROWS($A$23:A34),Rosters!$B$2:$C$163,2,0),"?")</f>
        <v>Jaxon</v>
      </c>
      <c r="B34" t="str">
        <f>_xlfn.IFNA(VLOOKUP($B$21&amp;ROWS($B$23:B34),Rosters!$B$2:$D$163,3,0),"?")</f>
        <v>Heiden</v>
      </c>
      <c r="C34" s="2">
        <f>_xlfn.IFNA(VLOOKUP($B$21&amp;ROWS($C$23:C34),Rosters!$B$2:$E$163,4,0),"")</f>
        <v>14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>
        <v>0</v>
      </c>
      <c r="R34" s="6"/>
      <c r="S34" s="6"/>
      <c r="T34" s="6">
        <v>0</v>
      </c>
      <c r="U34" s="6"/>
      <c r="V34" s="6"/>
      <c r="W34" s="6"/>
      <c r="X34" s="6"/>
      <c r="Y34" s="6">
        <f t="shared" si="0"/>
        <v>0</v>
      </c>
      <c r="Z34" s="10"/>
    </row>
    <row r="35" spans="1:26" s="6" customFormat="1" x14ac:dyDescent="0.2">
      <c r="A35" s="5" t="s">
        <v>224</v>
      </c>
      <c r="B35" s="5" t="s">
        <v>225</v>
      </c>
      <c r="C35" s="9">
        <v>20</v>
      </c>
      <c r="D35" s="5"/>
      <c r="E35" s="5">
        <v>7</v>
      </c>
      <c r="F35" s="5"/>
      <c r="G35" s="5"/>
      <c r="H35" s="5">
        <v>5</v>
      </c>
      <c r="I35" s="5"/>
      <c r="J35" s="5"/>
      <c r="K35" s="5">
        <v>4</v>
      </c>
      <c r="L35" s="5"/>
      <c r="M35" s="5"/>
      <c r="N35" s="5"/>
      <c r="O35" s="5"/>
      <c r="P35" s="5"/>
      <c r="Q35" s="5">
        <v>2</v>
      </c>
      <c r="R35" s="5"/>
      <c r="S35" s="5"/>
      <c r="T35" s="5">
        <v>1</v>
      </c>
      <c r="U35" s="5"/>
      <c r="V35" s="5"/>
      <c r="W35" s="5">
        <v>1</v>
      </c>
      <c r="X35" s="5"/>
      <c r="Y35" s="6">
        <f t="shared" si="0"/>
        <v>11</v>
      </c>
      <c r="Z35" s="10"/>
    </row>
    <row r="36" spans="1:26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>
        <f t="shared" si="0"/>
        <v>0</v>
      </c>
      <c r="Z36" s="10"/>
    </row>
    <row r="37" spans="1:26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6">
        <f t="shared" si="0"/>
        <v>0</v>
      </c>
      <c r="Z37" s="10"/>
    </row>
    <row r="38" spans="1:26" x14ac:dyDescent="0.2">
      <c r="E38">
        <f>SUM(E23:E37)</f>
        <v>59</v>
      </c>
      <c r="H38">
        <f t="shared" ref="H38:W38" si="2">SUM(H23:H37)</f>
        <v>30</v>
      </c>
      <c r="K38">
        <f t="shared" si="2"/>
        <v>26</v>
      </c>
      <c r="N38">
        <f t="shared" si="2"/>
        <v>6</v>
      </c>
      <c r="Q38">
        <f t="shared" si="2"/>
        <v>11</v>
      </c>
      <c r="T38">
        <f t="shared" si="2"/>
        <v>9</v>
      </c>
      <c r="W38">
        <f t="shared" si="2"/>
        <v>18</v>
      </c>
      <c r="Y38" s="10">
        <f t="shared" si="0"/>
        <v>87</v>
      </c>
      <c r="Z38" s="2"/>
    </row>
  </sheetData>
  <conditionalFormatting sqref="W5:W19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23:W3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2022-07-28T14:36:34Z</dcterms:modified>
</cp:coreProperties>
</file>