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B9DD8411-2129-5149-A5B0-22CAEC838BCD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3" i="1" l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Y38" i="1" l="1"/>
  <c r="Y20" i="1"/>
  <c r="L18" i="2"/>
  <c r="K18" i="2"/>
  <c r="L37" i="2"/>
  <c r="K37" i="2"/>
  <c r="J37" i="2"/>
  <c r="J18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F30" i="2"/>
  <c r="B28" i="1"/>
  <c r="G27" i="2" s="1"/>
  <c r="C25" i="1"/>
  <c r="H24" i="2" s="1"/>
  <c r="A23" i="1"/>
  <c r="F22" i="2" s="1"/>
  <c r="C24" i="1"/>
  <c r="H23" i="2" s="1"/>
  <c r="G31" i="2"/>
  <c r="A27" i="1"/>
  <c r="F26" i="2" s="1"/>
  <c r="F31" i="2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H30" i="2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G30" i="2"/>
  <c r="C28" i="1"/>
  <c r="H27" i="2" s="1"/>
  <c r="A26" i="1"/>
  <c r="F25" i="2" s="1"/>
  <c r="B23" i="1"/>
  <c r="G22" i="2" s="1"/>
  <c r="H31" i="2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<sst xmlns="http://schemas.openxmlformats.org/spreadsheetml/2006/main" count="318" uniqueCount="203">
  <si>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</si>
  <si>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</si>
  <si>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</si>
  <si>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</si>
  <si>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</si>
  <si>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</si>
  <si>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</si>
  <si>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</si>
  <si>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</si>
  <si>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</si>
  <si>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</si>
  <si>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</si>
  <si>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</si>
  <si>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</si>
  <si>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</si>
  <si>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</si>
  <si>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</si>
  <si>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</si>
  <si>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</si>
  <si>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</si>
  <si>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</si>
  <si>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</si>
  <si>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</si>
  <si>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</si>
  <si>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</si>
  <si>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</si>
  <si>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</si>
  <si>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</si>
  <si>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</si>
  <si>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</si>
  <si>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</si>
  <si>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</si>
  <si>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</si>
  <si>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</si>
  <si>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</si>
  <si>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</si>
  <si>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</si>
  <si>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</si>
  <si>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</si>
  <si>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</si>
  <si>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</si>
  <si>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</si>
  <si>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</si>
  <si>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</si>
  <si>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</si>
  <si>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</si>
  <si>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</si>
  <si>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</si>
  <si>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</si>
  <si>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</si>
  <si>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</si>
  <si>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</si>
  <si>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</si>
  <si>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</si>
  <si>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</si>
  <si>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</si>
  <si>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</si>
  <si>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</si>
  <si>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</si>
  <si>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</si>
  <si>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</si>
  <si>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</si>
  <si>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</si>
  <si>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</si>
  <si>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</si>
  <si>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</si>
  <si>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</si>
  <si>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</si>
  <si>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</si>
  <si>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</si>
  <si>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</si>
  <si>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</si>
  <si>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</si>
  <si>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</si>
  <si>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</si>
  <si>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</si>
  <si>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</si>
  <si>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</si>
  <si>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</si>
  <si>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</si>
  <si>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</si>
  <si>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</si>
  <si>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</si>
  <si>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</si>
  <si>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</si>
  <si>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</si>
  <si>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</si>
  <si>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</si>
  <si>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</si>
  <si>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</si>
  <si>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</si>
  <si>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</si>
  <si>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</si>
  <si>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</si>
  <si>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</si>
  <si>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</si>
  <si>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</si>
  <si>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</si>
  <si>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</si>
  <si>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</si>
  <si>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</si>
  <si>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</si>
  <si>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</si>
  <si>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</si>
  <si>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</si>
  <si>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</si>
  <si>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</si>
  <si>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</si>
  <si>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</si>
  <si>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</si>
  <si>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</si>
  <si>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</si>
  <si>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</si>
  <si>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</si>
  <si>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</si>
  <si>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</si>
  <si>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</si>
  <si>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</si>
  <si>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</si>
  <si>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</si>
  <si>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</si>
  <si>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</si>
  <si>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</si>
  <si>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</si>
  <si>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</si>
  <si>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</si>
  <si>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</si>
  <si>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</si>
  <si>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</si>
  <si>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</si>
  <si>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</si>
  <si>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</si>
  <si>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</si>
  <si>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</si>
  <si>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</si>
  <si>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</si>
  <si>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</si>
  <si>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</si>
  <si>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</si>
  <si>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</si>
  <si>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</si>
  <si>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</si>
  <si>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</si>
  <si>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</si>
  <si>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</si>
  <si>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</si>
  <si>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</si>
  <si>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</si>
  <si>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</si>
  <si>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</si>
  <si>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</si>
  <si>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</si>
  <si>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</si>
  <si>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</si>
  <si>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</si>
  <si>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</si>
  <si>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</si>
  <si>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</si>
  <si>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</si>
  <si>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</si>
  <si>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</si>
  <si>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</si>
  <si>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</si>
  <si>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</si>
  <si>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</si>
  <si>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</si>
  <si>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</si>
  <si>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</si>
  <si>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</si>
  <si>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</si>
  <si>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</si>
  <si>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</si>
  <si>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</si>
  <si>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</si>
  <si>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</si>
  <si>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</si>
  <si>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</si>
  <si>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</si>
  <si>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</si>
  <si>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</si>
  <si>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</si>
  <si>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</si>
  <si>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</si>
  <si>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</si>
  <si>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</si>
  <si>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</si>
  <si>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</si>
  <si>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</si>
  <si>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</si>
  <si>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</si>
  <si>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</si>
  <si>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</si>
  <si>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</si>
  <si>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</si>
  <si>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</si>
  <si>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</si>
  <si>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</si>
  <si>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</si>
  <si>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</si>
  <si>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Lewis</t>
  </si>
  <si>
    <t>Johnson</t>
  </si>
  <si>
    <t>Noma'aea</t>
  </si>
  <si>
    <t>Stewart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</si>
</sst>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  <xdr:twoCellAnchor>
    <xdr:from>
      <xdr:col>8</xdr:col>
      <xdr:colOff>723900</xdr:colOff>
      <xdr:row>1</xdr:row>
      <xdr:rowOff>0</xdr:rowOff>
    </xdr:from>
    <xdr:to>
      <xdr:col>16</xdr:col>
      <xdr:colOff>25400</xdr:colOff>
      <xdr:row>13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315200" y="2032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H13" sqref="H1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Berger</v>
      </c>
    </row>
    <row r="2" spans="2:12" x14ac:dyDescent="0.2">
      <c r="B2" t="str">
        <f>G1</f>
        <v>Team Berger</v>
      </c>
      <c r="D2" t="str">
        <f>G20</f>
        <v>Team Erickson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117</v>
      </c>
      <c r="C3" s="3" t="s">
        <v>13</v>
      </c>
      <c r="D3" s="4">
        <f>I37</f>
        <v>112</v>
      </c>
      <c r="F3" t="str">
        <f>'Stats G1'!A5</f>
        <v>Sean</v>
      </c>
      <c r="G3" t="str">
        <f>'Stats G1'!B5</f>
        <v>Harris</v>
      </c>
      <c r="H3">
        <f>'Stats G1'!C5</f>
        <v>60</v>
      </c>
      <c r="I3">
        <f>'Stats G1'!H5*2+'Stats G1'!N5*3+'Stats G1'!T5</f>
        <v>4</v>
      </c>
      <c r="J3" t="str">
        <f>SUM('Stats G1'!H5+'Stats G1'!N5)&amp;"-"&amp;SUM('Stats G1'!E5+'Stats G1'!K5)</f>
        <v>2-7</v>
      </c>
      <c r="K3" t="str">
        <f>SUM('Stats G1'!N5)&amp;"-"&amp;SUM('Stats G1'!K5)</f>
        <v>0-0</v>
      </c>
      <c r="L3" t="str">
        <f>SUM('Stats G1'!T5)&amp;"-"&amp;SUM('Stats G1'!Q5)</f>
        <v>0-0</v>
      </c>
    </row>
    <row r="4" spans="2:12" x14ac:dyDescent="0.2">
      <c r="F4" t="str">
        <f>'Stats G1'!A6</f>
        <v>Parker</v>
      </c>
      <c r="G4" t="str">
        <f>'Stats G1'!B6</f>
        <v>Van Dyke</v>
      </c>
      <c r="H4">
        <f>'Stats G1'!C6</f>
        <v>7</v>
      </c>
      <c r="I4">
        <f>'Stats G1'!H6*2+'Stats G1'!N6*3+'Stats G1'!T6</f>
        <v>32</v>
      </c>
      <c r="J4" t="str">
        <f>SUM('Stats G1'!H6+'Stats G1'!N6)&amp;"-"&amp;SUM('Stats G1'!E6+'Stats G1'!K6)</f>
        <v>11-27</v>
      </c>
      <c r="K4" t="str">
        <f>SUM('Stats G1'!N6)&amp;"-"&amp;SUM('Stats G1'!K6)</f>
        <v>5-9</v>
      </c>
      <c r="L4" t="str">
        <f>SUM('Stats G1'!T6)&amp;"-"&amp;SUM('Stats G1'!Q6)</f>
        <v>5-6</v>
      </c>
    </row>
    <row r="5" spans="2:12" x14ac:dyDescent="0.2">
      <c r="F5" t="str">
        <f>'Stats G1'!A7</f>
        <v>Danny</v>
      </c>
      <c r="G5" t="str">
        <f>'Stats G1'!B7</f>
        <v>Berger</v>
      </c>
      <c r="H5">
        <f>'Stats G1'!C7</f>
        <v>12</v>
      </c>
      <c r="I5">
        <f>'Stats G1'!H7*2+'Stats G1'!N7*3+'Stats G1'!T7</f>
        <v>3</v>
      </c>
      <c r="J5" t="str">
        <f>SUM('Stats G1'!H7+'Stats G1'!N7)&amp;"-"&amp;SUM('Stats G1'!E7+'Stats G1'!K7)</f>
        <v>1-8</v>
      </c>
      <c r="K5" t="str">
        <f>SUM('Stats G1'!N7)&amp;"-"&amp;SUM('Stats G1'!K7)</f>
        <v>1-5</v>
      </c>
      <c r="L5" t="str">
        <f>SUM('Stats G1'!T7)&amp;"-"&amp;SUM('Stats G1'!Q7)</f>
        <v>0-0</v>
      </c>
    </row>
    <row r="6" spans="2:12" x14ac:dyDescent="0.2">
      <c r="F6" t="str">
        <f>'Stats G1'!A8</f>
        <v>Zac</v>
      </c>
      <c r="G6" t="str">
        <f>'Stats G1'!B8</f>
        <v>Seljaas</v>
      </c>
      <c r="H6">
        <f>'Stats G1'!C8</f>
        <v>99</v>
      </c>
      <c r="I6">
        <f>'Stats G1'!H8*2+'Stats G1'!N8*3+'Stats G1'!T8</f>
        <v>39</v>
      </c>
      <c r="J6" t="str">
        <f>SUM('Stats G1'!H8+'Stats G1'!N8)&amp;"-"&amp;SUM('Stats G1'!E8+'Stats G1'!K8)</f>
        <v>16-28</v>
      </c>
      <c r="K6" t="str">
        <f>SUM('Stats G1'!N8)&amp;"-"&amp;SUM('Stats G1'!K8)</f>
        <v>4-11</v>
      </c>
      <c r="L6" t="str">
        <f>SUM('Stats G1'!T8)&amp;"-"&amp;SUM('Stats G1'!Q8)</f>
        <v>3-5</v>
      </c>
    </row>
    <row r="7" spans="2:12" x14ac:dyDescent="0.2">
      <c r="F7" t="str">
        <f>'Stats G1'!A9</f>
        <v>Peter</v>
      </c>
      <c r="G7" t="str">
        <f>'Stats G1'!B9</f>
        <v>Brown</v>
      </c>
      <c r="H7">
        <f>'Stats G1'!C9</f>
        <v>33</v>
      </c>
      <c r="I7">
        <f>'Stats G1'!H9*2+'Stats G1'!N9*3+'Stats G1'!T9</f>
        <v>4</v>
      </c>
      <c r="J7" t="str">
        <f>SUM('Stats G1'!H9+'Stats G1'!N9)&amp;"-"&amp;SUM('Stats G1'!E9+'Stats G1'!K9)</f>
        <v>2-4</v>
      </c>
      <c r="K7" t="str">
        <f>SUM('Stats G1'!N9)&amp;"-"&amp;SUM('Stats G1'!K9)</f>
        <v>0-1</v>
      </c>
      <c r="L7" t="str">
        <f>SUM('Stats G1'!T9)&amp;"-"&amp;SUM('Stats G1'!Q9)</f>
        <v>0-0</v>
      </c>
    </row>
    <row r="8" spans="2:12" x14ac:dyDescent="0.2">
      <c r="F8" t="str">
        <f>'Stats G1'!A10</f>
        <v>Zavon</v>
      </c>
      <c r="G8" t="str">
        <f>'Stats G1'!B10</f>
        <v>Jackson</v>
      </c>
      <c r="H8">
        <f>'Stats G1'!C10</f>
        <v>24</v>
      </c>
      <c r="I8">
        <f>'Stats G1'!H10*2+'Stats G1'!N10*3+'Stats G1'!T10</f>
        <v>16</v>
      </c>
      <c r="J8" t="str">
        <f>SUM('Stats G1'!H10+'Stats G1'!N10)&amp;"-"&amp;SUM('Stats G1'!E10+'Stats G1'!K10)</f>
        <v>6-9</v>
      </c>
      <c r="K8" t="str">
        <f>SUM('Stats G1'!N10)&amp;"-"&amp;SUM('Stats G1'!K10)</f>
        <v>0-1</v>
      </c>
      <c r="L8" t="str">
        <f>SUM('Stats G1'!T10)&amp;"-"&amp;SUM('Stats G1'!Q10)</f>
        <v>4-5</v>
      </c>
    </row>
    <row r="9" spans="2:12" x14ac:dyDescent="0.2">
      <c r="F9" t="str">
        <f>'Stats G1'!A11</f>
        <v>Spencer</v>
      </c>
      <c r="G9" t="str">
        <f>'Stats G1'!B11</f>
        <v>Butterfield</v>
      </c>
      <c r="H9">
        <f>'Stats G1'!C11</f>
        <v>21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Rylan</v>
      </c>
      <c r="G10" t="str">
        <f>'Stats G1'!B12</f>
        <v>Jones</v>
      </c>
      <c r="H10">
        <f>'Stats G1'!C12</f>
        <v>15</v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</row>
    <row r="11" spans="2:12" x14ac:dyDescent="0.2">
      <c r="F11" t="str">
        <f>'Stats G1'!A13</f>
        <v>Brandon</v>
      </c>
      <c r="G11" t="str">
        <f>'Stats G1'!B13</f>
        <v>Sly</v>
      </c>
      <c r="H11">
        <f>'Stats G1'!C13</f>
        <v>2</v>
      </c>
      <c r="I11">
        <f>'Stats G1'!H13*2+'Stats G1'!N13*3+'Stats G1'!T13</f>
        <v>14</v>
      </c>
      <c r="J11" t="str">
        <f>SUM('Stats G1'!H13+'Stats G1'!N13)&amp;"-"&amp;SUM('Stats G1'!E13+'Stats G1'!K13)</f>
        <v>6-13</v>
      </c>
      <c r="K11" t="str">
        <f>SUM('Stats G1'!N13)&amp;"-"&amp;SUM('Stats G1'!K13)</f>
        <v>1-2</v>
      </c>
      <c r="L11" t="str">
        <f>SUM('Stats G1'!T13)&amp;"-"&amp;SUM('Stats G1'!Q13)</f>
        <v>1-2</v>
      </c>
    </row>
    <row r="12" spans="2:12" x14ac:dyDescent="0.2">
      <c r="F12" t="str">
        <f>'Stats G1'!A14</f>
        <v>Viko</v>
      </c>
      <c r="G12" t="str">
        <f>'Stats G1'!B14</f>
        <v>Noma'aea</v>
      </c>
      <c r="H12">
        <f>'Stats G1'!C14</f>
        <v>1</v>
      </c>
      <c r="I12">
        <f>'Stats G1'!H14*2+'Stats G1'!N14*3+'Stats G1'!T14</f>
        <v>5</v>
      </c>
      <c r="J12" t="str">
        <f>SUM('Stats G1'!H14+'Stats G1'!N14)&amp;"-"&amp;SUM('Stats G1'!E14+'Stats G1'!K14)</f>
        <v>2-6</v>
      </c>
      <c r="K12" t="str">
        <f>SUM('Stats G1'!N14)&amp;"-"&amp;SUM('Stats G1'!K14)</f>
        <v>1-4</v>
      </c>
      <c r="L12" t="str">
        <f>SUM('Stats G1'!T14)&amp;"-"&amp;SUM('Stats G1'!Q14)</f>
        <v>0-0</v>
      </c>
    </row>
    <row r="13" spans="2:12" x14ac:dyDescent="0.2">
      <c r="F13" t="str">
        <f>'Stats G1'!A15</f>
        <v>Steven</v>
      </c>
      <c r="G13" t="str">
        <f>'Stats G1'!B15</f>
        <v>Ashworth</v>
      </c>
      <c r="H13">
        <f>'Stats G1'!C15</f>
        <v>0</v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117</v>
      </c>
      <c r="J18" t="str">
        <f>SUM('Stats G1'!H20+'Stats G1'!N20)&amp;"-"&amp;SUM('Stats G1'!E20+'Stats G1'!K20)</f>
        <v>46-102</v>
      </c>
      <c r="K18" t="str">
        <f>SUM('Stats G1'!N20)&amp;"-"&amp;SUM('Stats G1'!K20)</f>
        <v>12-33</v>
      </c>
      <c r="L18" t="str">
        <f>SUM('Stats G1'!T20)&amp;"-"&amp;SUM('Stats G1'!Q20)</f>
        <v>13-18</v>
      </c>
    </row>
    <row r="20" spans="6:12" x14ac:dyDescent="0.2">
      <c r="F20" t="s">
        <v>11</v>
      </c>
      <c r="G20" t="str">
        <f>'Stats G1'!B21</f>
        <v>Team Erickson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Taylor</v>
      </c>
      <c r="G22" t="str">
        <f>'Stats G1'!B23</f>
        <v>Miller</v>
      </c>
      <c r="H22">
        <f>'Stats G1'!C23</f>
        <v>20</v>
      </c>
      <c r="I22">
        <f>'Stats G1'!H23*2+'Stats G1'!N23*3+'Stats G1'!T23</f>
        <v>15</v>
      </c>
      <c r="J22" t="str">
        <f>SUM('Stats G1'!H23+'Stats G1'!N23)&amp;"-"&amp;SUM('Stats G1'!E23+'Stats G1'!K23)</f>
        <v>5-17</v>
      </c>
      <c r="K22" t="str">
        <f>SUM('Stats G1'!N23)&amp;"-"&amp;SUM('Stats G1'!K23)</f>
        <v>1-6</v>
      </c>
      <c r="L22" t="str">
        <f>SUM('Stats G1'!T23)&amp;"-"&amp;SUM('Stats G1'!Q23)</f>
        <v>4-5</v>
      </c>
    </row>
    <row r="23" spans="6:12" x14ac:dyDescent="0.2">
      <c r="F23" t="str">
        <f>'Stats G1'!A24</f>
        <v>Alrek</v>
      </c>
      <c r="G23" t="str">
        <f>'Stats G1'!B24</f>
        <v>Greenhalgh</v>
      </c>
      <c r="H23">
        <f>'Stats G1'!C24</f>
        <v>3</v>
      </c>
      <c r="I23">
        <f>'Stats G1'!H24*2+'Stats G1'!N24*3+'Stats G1'!T24</f>
        <v>6</v>
      </c>
      <c r="J23" t="str">
        <f>SUM('Stats G1'!H24+'Stats G1'!N24)&amp;"-"&amp;SUM('Stats G1'!E24+'Stats G1'!K24)</f>
        <v>3-6</v>
      </c>
      <c r="K23" t="str">
        <f>SUM('Stats G1'!N24)&amp;"-"&amp;SUM('Stats G1'!K24)</f>
        <v>0-1</v>
      </c>
      <c r="L23" t="str">
        <f>SUM('Stats G1'!T24)&amp;"-"&amp;SUM('Stats G1'!Q24)</f>
        <v>0-0</v>
      </c>
    </row>
    <row r="24" spans="6:12" x14ac:dyDescent="0.2">
      <c r="F24" t="str">
        <f>'Stats G1'!A25</f>
        <v>Gideon</v>
      </c>
      <c r="G24" t="str">
        <f>'Stats G1'!B25</f>
        <v>George</v>
      </c>
      <c r="H24">
        <f>'Stats G1'!C25</f>
        <v>5</v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Brock</v>
      </c>
      <c r="G25" t="str">
        <f>'Stats G1'!B26</f>
        <v>Anderson</v>
      </c>
      <c r="H25">
        <f>'Stats G1'!C26</f>
        <v>30</v>
      </c>
      <c r="I25">
        <f>'Stats G1'!H26*2+'Stats G1'!N26*3+'Stats G1'!T26</f>
        <v>2</v>
      </c>
      <c r="J25" t="str">
        <f>SUM('Stats G1'!H26+'Stats G1'!N26)&amp;"-"&amp;SUM('Stats G1'!E26+'Stats G1'!K26)</f>
        <v>1-4</v>
      </c>
      <c r="K25" t="str">
        <f>SUM('Stats G1'!N26)&amp;"-"&amp;SUM('Stats G1'!K26)</f>
        <v>0-1</v>
      </c>
      <c r="L25" t="str">
        <f>SUM('Stats G1'!T26)&amp;"-"&amp;SUM('Stats G1'!Q26)</f>
        <v>0-2</v>
      </c>
    </row>
    <row r="26" spans="6:12" x14ac:dyDescent="0.2">
      <c r="F26" t="str">
        <f>'Stats G1'!A27</f>
        <v>Dalton</v>
      </c>
      <c r="G26" t="str">
        <f>'Stats G1'!B27</f>
        <v>Nixon</v>
      </c>
      <c r="H26">
        <f>'Stats G1'!C27</f>
        <v>4</v>
      </c>
      <c r="I26">
        <f>'Stats G1'!H27*2+'Stats G1'!N27*3+'Stats G1'!T27</f>
        <v>9</v>
      </c>
      <c r="J26" t="str">
        <f>SUM('Stats G1'!H27+'Stats G1'!N27)&amp;"-"&amp;SUM('Stats G1'!E27+'Stats G1'!K27)</f>
        <v>4-13</v>
      </c>
      <c r="K26" t="str">
        <f>SUM('Stats G1'!N27)&amp;"-"&amp;SUM('Stats G1'!K27)</f>
        <v>1-9</v>
      </c>
      <c r="L26" t="str">
        <f>SUM('Stats G1'!T27)&amp;"-"&amp;SUM('Stats G1'!Q27)</f>
        <v>0-0</v>
      </c>
    </row>
    <row r="27" spans="6:12" x14ac:dyDescent="0.2">
      <c r="F27" t="str">
        <f>'Stats G1'!A28</f>
        <v>Taylor</v>
      </c>
      <c r="G27" t="str">
        <f>'Stats G1'!B28</f>
        <v>Funk</v>
      </c>
      <c r="H27">
        <f>'Stats G1'!C28</f>
        <v>13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Hunter</v>
      </c>
      <c r="G28" t="str">
        <f>'Stats G1'!B29</f>
        <v>Erickson</v>
      </c>
      <c r="H28">
        <f>'Stats G1'!C29</f>
        <v>0</v>
      </c>
      <c r="I28">
        <f>'Stats G1'!H29*2+'Stats G1'!N29*3+'Stats G1'!T29</f>
        <v>32</v>
      </c>
      <c r="J28" t="str">
        <f>SUM('Stats G1'!H29+'Stats G1'!N29)&amp;"-"&amp;SUM('Stats G1'!E29+'Stats G1'!K29)</f>
        <v>12-24</v>
      </c>
      <c r="K28" t="str">
        <f>SUM('Stats G1'!N29)&amp;"-"&amp;SUM('Stats G1'!K29)</f>
        <v>4-9</v>
      </c>
      <c r="L28" t="str">
        <f>SUM('Stats G1'!T29)&amp;"-"&amp;SUM('Stats G1'!Q29)</f>
        <v>4-7</v>
      </c>
    </row>
    <row r="29" spans="6:12" x14ac:dyDescent="0.2">
      <c r="F29" t="str">
        <f>'Stats G1'!A30</f>
        <v>Dayon</v>
      </c>
      <c r="G29" t="str">
        <f>'Stats G1'!B30</f>
        <v>Goodman</v>
      </c>
      <c r="H29">
        <f>'Stats G1'!C30</f>
        <v>35</v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</row>
    <row r="30" spans="6:12" x14ac:dyDescent="0.2">
      <c r="F30" t="str">
        <f>'Stats G1'!A31</f>
        <v>Lewis</v>
      </c>
      <c r="G30" t="str">
        <f>'Stats G1'!B31</f>
        <v>Johnson</v>
      </c>
      <c r="H30">
        <f>'Stats G1'!C31</f>
        <v>10</v>
      </c>
      <c r="I30">
        <f>'Stats G1'!H31*2+'Stats G1'!N31*3+'Stats G1'!T31</f>
        <v>28</v>
      </c>
      <c r="J30" t="str">
        <f>SUM('Stats G1'!H31+'Stats G1'!N31)&amp;"-"&amp;SUM('Stats G1'!E31+'Stats G1'!K31)</f>
        <v>10-18</v>
      </c>
      <c r="K30" t="str">
        <f>SUM('Stats G1'!N31)&amp;"-"&amp;SUM('Stats G1'!K31)</f>
        <v>5-11</v>
      </c>
      <c r="L30" t="str">
        <f>SUM('Stats G1'!T31)&amp;"-"&amp;SUM('Stats G1'!Q31)</f>
        <v>3-3</v>
      </c>
    </row>
    <row r="31" spans="6:12" x14ac:dyDescent="0.2">
      <c r="F31" t="str">
        <f>'Stats G1'!A32</f>
        <v>Trey</v>
      </c>
      <c r="G31" t="str">
        <f>'Stats G1'!B32</f>
        <v>Stewart</v>
      </c>
      <c r="H31">
        <f>'Stats G1'!C32</f>
        <v>1</v>
      </c>
      <c r="I31">
        <f>'Stats G1'!H32*2+'Stats G1'!N32*3+'Stats G1'!T32</f>
        <v>20</v>
      </c>
      <c r="J31" t="str">
        <f>SUM('Stats G1'!H32+'Stats G1'!N32)&amp;"-"&amp;SUM('Stats G1'!E32+'Stats G1'!K32)</f>
        <v>8-21</v>
      </c>
      <c r="K31" t="str">
        <f>SUM('Stats G1'!N32)&amp;"-"&amp;SUM('Stats G1'!K32)</f>
        <v>3-10</v>
      </c>
      <c r="L31" t="str">
        <f>SUM('Stats G1'!T32)&amp;"-"&amp;SUM('Stats G1'!Q32)</f>
        <v>1-2</v>
      </c>
    </row>
    <row r="32" spans="6:12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112</v>
      </c>
      <c r="J37" t="str">
        <f>SUM('Stats G1'!H38+'Stats G1'!N38)&amp;"-"&amp;SUM('Stats G1'!E38+'Stats G1'!K38)</f>
        <v>43-103</v>
      </c>
      <c r="K37" t="str">
        <f>SUM('Stats G1'!N38)&amp;"-"&amp;SUM('Stats G1'!K38)</f>
        <v>14-47</v>
      </c>
      <c r="L37" t="str">
        <f>SUM('Stats G1'!T38)&amp;"-"&amp;SUM('Stats G1'!Q38)</f>
        <v>12-19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B17" zoomScale="140" zoomScaleNormal="140" workbookViewId="0">
      <selection activeCell="AB26" sqref="AB26"/>
    </sheetView>
  </sheetViews>
  <sheetFormatPr baseColWidth="10" defaultRowHeight="16" x14ac:dyDescent="0.2"/>
  <cols>
    <col min="1" max="1" width="17.5" bestFit="1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hidden="1" x14ac:dyDescent="0.2">
      <c r="A1" s="1" t="s">
        <v>17</v>
      </c>
      <c r="B1" t="s">
        <v>19</v>
      </c>
      <c r="C1" t="s">
        <v>18</v>
      </c>
    </row>
    <row r="2" spans="1:25" hidden="1" x14ac:dyDescent="0.2"/>
    <row r="3" spans="1:25" x14ac:dyDescent="0.2">
      <c r="A3" s="2" t="s">
        <v>15</v>
      </c>
      <c r="B3" s="1" t="s">
        <v>153</v>
      </c>
    </row>
    <row r="4" spans="1:25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27</v>
      </c>
    </row>
    <row r="5" spans="1:25" s="6" customFormat="1" x14ac:dyDescent="0.2">
      <c r="A5" s="5" t="str">
        <f>_xlfn.IFNA(VLOOKUP($B$3&amp;ROWS($A$5:A5),Rosters!$B$2:$C$163,2,0),"?")</f>
        <v>Sean</v>
      </c>
      <c r="B5" s="5" t="str">
        <f>_xlfn.IFNA(VLOOKUP($B$3&amp;ROWS($B$5:B5),Rosters!$B$2:$D$163,3,0),"?")</f>
        <v>Harris</v>
      </c>
      <c r="C5" s="5">
        <f>_xlfn.IFNA(VLOOKUP($B$3&amp;ROWS($C$5:C5),Rosters!$B$2:$E$163,4,0),"")</f>
        <v>60</v>
      </c>
      <c r="D5" s="5"/>
      <c r="E5" s="5">
        <v>7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>
        <f t="shared" ref="Y5:Y19" si="0">SUM(H5*2,N5*3,T5)</f>
        <v>4</v>
      </c>
    </row>
    <row r="6" spans="1:25" s="6" customFormat="1" x14ac:dyDescent="0.2">
      <c r="A6" s="6" t="str">
        <f>_xlfn.IFNA(VLOOKUP($B$3&amp;ROWS($A$5:A6),Rosters!$B$2:$C$163,2,0),"?")</f>
        <v>Parker</v>
      </c>
      <c r="B6" s="6" t="str">
        <f>_xlfn.IFNA(VLOOKUP($B$3&amp;ROWS($B$5:B6),Rosters!$B$2:$D$163,3,0),"?")</f>
        <v>Van Dyke</v>
      </c>
      <c r="C6" s="6">
        <f>_xlfn.IFNA(VLOOKUP($B$3&amp;ROWS($C$5:C6),Rosters!$B$2:$E$163,4,0),"")</f>
        <v>7</v>
      </c>
      <c r="E6" s="6">
        <v>18</v>
      </c>
      <c r="H6" s="6">
        <v>6</v>
      </c>
      <c r="K6" s="6">
        <v>9</v>
      </c>
      <c r="N6" s="6">
        <v>5</v>
      </c>
      <c r="Q6" s="6">
        <v>6</v>
      </c>
      <c r="T6" s="6">
        <v>5</v>
      </c>
      <c r="W6" s="6">
        <v>0</v>
      </c>
      <c r="Y6" s="6">
        <f t="shared" si="0"/>
        <v>32</v>
      </c>
    </row>
    <row r="7" spans="1:25" s="6" customFormat="1" x14ac:dyDescent="0.2">
      <c r="A7" s="5" t="str">
        <f>_xlfn.IFNA(VLOOKUP($B$3&amp;ROWS($A$5:A7),Rosters!$B$2:$C$163,2,0),"?")</f>
        <v>Danny</v>
      </c>
      <c r="B7" s="5" t="str">
        <f>_xlfn.IFNA(VLOOKUP($B$3&amp;ROWS($B$5:B7),Rosters!$B$2:$D$163,3,0),"?")</f>
        <v>Berger</v>
      </c>
      <c r="C7" s="5">
        <f>_xlfn.IFNA(VLOOKUP($B$3&amp;ROWS($C$5:C7),Rosters!$B$2:$E$163,4,0),"")</f>
        <v>12</v>
      </c>
      <c r="D7" s="5"/>
      <c r="E7" s="5">
        <v>3</v>
      </c>
      <c r="F7" s="5"/>
      <c r="G7" s="5"/>
      <c r="H7" s="5">
        <v>0</v>
      </c>
      <c r="I7" s="5"/>
      <c r="J7" s="5"/>
      <c r="K7" s="5">
        <v>5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>
        <f t="shared" si="0"/>
        <v>3</v>
      </c>
    </row>
    <row r="8" spans="1:25" s="6" customFormat="1" x14ac:dyDescent="0.2">
      <c r="A8" s="6" t="str">
        <f>_xlfn.IFNA(VLOOKUP($B$3&amp;ROWS($A$5:A8),Rosters!$B$2:$C$163,2,0),"?")</f>
        <v>Zac</v>
      </c>
      <c r="B8" s="6" t="str">
        <f>_xlfn.IFNA(VLOOKUP($B$3&amp;ROWS($B$5:B8),Rosters!$B$2:$D$163,3,0),"?")</f>
        <v>Seljaas</v>
      </c>
      <c r="C8" s="6">
        <f>_xlfn.IFNA(VLOOKUP($B$3&amp;ROWS($C$5:C8),Rosters!$B$2:$E$163,4,0),"")</f>
        <v>99</v>
      </c>
      <c r="E8" s="6">
        <v>17</v>
      </c>
      <c r="H8" s="6">
        <v>12</v>
      </c>
      <c r="K8" s="6">
        <v>11</v>
      </c>
      <c r="N8" s="6">
        <v>4</v>
      </c>
      <c r="Q8" s="6">
        <v>5</v>
      </c>
      <c r="T8" s="6">
        <v>3</v>
      </c>
      <c r="W8" s="6">
        <v>0</v>
      </c>
      <c r="Y8" s="6">
        <f t="shared" si="0"/>
        <v>39</v>
      </c>
    </row>
    <row r="9" spans="1:25" s="6" customFormat="1" x14ac:dyDescent="0.2">
      <c r="A9" s="5" t="str">
        <f>_xlfn.IFNA(VLOOKUP($B$3&amp;ROWS($A$5:A9),Rosters!$B$2:$C$163,2,0),"?")</f>
        <v>Peter</v>
      </c>
      <c r="B9" s="5" t="str">
        <f>_xlfn.IFNA(VLOOKUP($B$3&amp;ROWS($B$5:B9),Rosters!$B$2:$D$163,3,0),"?")</f>
        <v>Brown</v>
      </c>
      <c r="C9" s="5">
        <f>_xlfn.IFNA(VLOOKUP($B$3&amp;ROWS($C$5:C9),Rosters!$B$2:$E$163,4,0),"")</f>
        <v>33</v>
      </c>
      <c r="D9" s="5"/>
      <c r="E9" s="5">
        <v>3</v>
      </c>
      <c r="F9" s="5"/>
      <c r="G9" s="5"/>
      <c r="H9" s="5">
        <v>2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4</v>
      </c>
    </row>
    <row r="10" spans="1:25" s="6" customFormat="1" x14ac:dyDescent="0.2">
      <c r="A10" s="6" t="str">
        <f>_xlfn.IFNA(VLOOKUP($B$3&amp;ROWS($A$5:A10),Rosters!$B$2:$C$163,2,0),"?")</f>
        <v>Zavon</v>
      </c>
      <c r="B10" s="6" t="str">
        <f>_xlfn.IFNA(VLOOKUP($B$3&amp;ROWS($B$5:B10),Rosters!$B$2:$D$163,3,0),"?")</f>
        <v>Jackson</v>
      </c>
      <c r="C10" s="6">
        <f>_xlfn.IFNA(VLOOKUP($B$3&amp;ROWS($C$5:C10),Rosters!$B$2:$E$163,4,0),"")</f>
        <v>24</v>
      </c>
      <c r="E10" s="6">
        <v>8</v>
      </c>
      <c r="H10" s="6">
        <v>6</v>
      </c>
      <c r="K10" s="6">
        <v>1</v>
      </c>
      <c r="N10" s="6">
        <v>0</v>
      </c>
      <c r="Q10" s="6">
        <v>5</v>
      </c>
      <c r="T10" s="6">
        <v>4</v>
      </c>
      <c r="W10" s="6">
        <v>0</v>
      </c>
      <c r="Y10" s="6">
        <f t="shared" si="0"/>
        <v>16</v>
      </c>
    </row>
    <row r="11" spans="1:25" s="6" customFormat="1" x14ac:dyDescent="0.2">
      <c r="A11" s="5" t="str">
        <f>_xlfn.IFNA(VLOOKUP($B$3&amp;ROWS($A$5:A11),Rosters!$B$2:$C$163,2,0),"?")</f>
        <v>Spencer</v>
      </c>
      <c r="B11" s="5" t="str">
        <f>_xlfn.IFNA(VLOOKUP($B$3&amp;ROWS($B$5:B11),Rosters!$B$2:$D$163,3,0),"?")</f>
        <v>Butterfield</v>
      </c>
      <c r="C11" s="5">
        <f>_xlfn.IFNA(VLOOKUP($B$3&amp;ROWS($C$5:C11),Rosters!$B$2:$E$163,4,0),"")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0</v>
      </c>
    </row>
    <row r="12" spans="1:25" s="6" customFormat="1" x14ac:dyDescent="0.2">
      <c r="A12" s="6" t="str">
        <f>_xlfn.IFNA(VLOOKUP($B$3&amp;ROWS($A$5:A12),Rosters!$B$2:$C$163,2,0),"?")</f>
        <v>Rylan</v>
      </c>
      <c r="B12" s="6" t="str">
        <f>_xlfn.IFNA(VLOOKUP($B$3&amp;ROWS($B$5:B12),Rosters!$B$2:$D$163,3,0),"?")</f>
        <v>Jones</v>
      </c>
      <c r="C12" s="6">
        <f>_xlfn.IFNA(VLOOKUP($B$3&amp;ROWS($C$5:C12),Rosters!$B$2:$E$163,4,0),"")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Y12" s="6">
        <f t="shared" si="0"/>
        <v>0</v>
      </c>
    </row>
    <row r="13" spans="1:25" s="6" customFormat="1" x14ac:dyDescent="0.2">
      <c r="A13" s="5" t="str">
        <f>_xlfn.IFNA(VLOOKUP($B$3&amp;ROWS($A$5:A13),Rosters!$B$2:$C$163,2,0),"?")</f>
        <v>Brandon</v>
      </c>
      <c r="B13" s="5" t="str">
        <f>_xlfn.IFNA(VLOOKUP($B$3&amp;ROWS($B$5:B13),Rosters!$B$2:$D$163,3,0),"?")</f>
        <v>Sly</v>
      </c>
      <c r="C13" s="5">
        <f>_xlfn.IFNA(VLOOKUP($B$3&amp;ROWS($C$5:C13),Rosters!$B$2:$E$163,4,0),"")</f>
        <v>2</v>
      </c>
      <c r="D13" s="5"/>
      <c r="E13" s="5">
        <v>11</v>
      </c>
      <c r="F13" s="5"/>
      <c r="G13" s="5"/>
      <c r="H13" s="5">
        <v>5</v>
      </c>
      <c r="I13" s="5"/>
      <c r="J13" s="5"/>
      <c r="K13" s="5">
        <v>2</v>
      </c>
      <c r="L13" s="5"/>
      <c r="M13" s="5"/>
      <c r="N13" s="5">
        <v>1</v>
      </c>
      <c r="O13" s="5"/>
      <c r="P13" s="5"/>
      <c r="Q13" s="5">
        <v>2</v>
      </c>
      <c r="R13" s="5"/>
      <c r="S13" s="5"/>
      <c r="T13" s="5">
        <v>1</v>
      </c>
      <c r="U13" s="5"/>
      <c r="V13" s="5"/>
      <c r="W13" s="5">
        <v>0</v>
      </c>
      <c r="X13" s="5"/>
      <c r="Y13" s="6">
        <f t="shared" si="0"/>
        <v>14</v>
      </c>
    </row>
    <row r="14" spans="1:25" s="6" customFormat="1" x14ac:dyDescent="0.2">
      <c r="A14" s="6" t="str">
        <f>_xlfn.IFNA(VLOOKUP($B$3&amp;ROWS($A$5:A14),Rosters!$B$2:$C$163,2,0),"?")</f>
        <v>Viko</v>
      </c>
      <c r="B14" s="6" t="s">
        <v>201</v>
      </c>
      <c r="C14" s="6">
        <v>1</v>
      </c>
      <c r="E14" s="6">
        <v>2</v>
      </c>
      <c r="H14" s="6">
        <v>1</v>
      </c>
      <c r="K14" s="6">
        <v>4</v>
      </c>
      <c r="N14" s="6">
        <v>1</v>
      </c>
      <c r="Q14" s="6">
        <v>0</v>
      </c>
      <c r="T14" s="6">
        <v>0</v>
      </c>
      <c r="W14" s="6">
        <v>0</v>
      </c>
      <c r="Y14" s="6">
        <f t="shared" si="0"/>
        <v>5</v>
      </c>
    </row>
    <row r="15" spans="1:25" s="6" customFormat="1" x14ac:dyDescent="0.2">
      <c r="A15" s="5" t="str">
        <f>_xlfn.IFNA(VLOOKUP($B$3&amp;ROWS($A$5:A15),Rosters!$B$2:$C$163,2,0),"?")</f>
        <v>Steven</v>
      </c>
      <c r="B15" s="5" t="str">
        <f>_xlfn.IFNA(VLOOKUP($B$3&amp;ROWS($B$5:B15),Rosters!$B$2:$D$163,3,0),"?")</f>
        <v>Ashworth</v>
      </c>
      <c r="C15" s="5">
        <f>_xlfn.IFNA(VLOOKUP($B$3&amp;ROWS($C$5:C15),Rosters!$B$2:$E$163,4,0),"")</f>
        <v>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  <c r="Y15" s="6">
        <f t="shared" si="0"/>
        <v>0</v>
      </c>
    </row>
    <row r="16" spans="1:25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  <c r="Y16" s="6">
        <f t="shared" si="0"/>
        <v>0</v>
      </c>
    </row>
    <row r="17" spans="1:25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  <c r="Y17" s="6">
        <f t="shared" si="0"/>
        <v>0</v>
      </c>
    </row>
    <row r="18" spans="1:25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  <c r="Y18" s="6">
        <f t="shared" si="0"/>
        <v>0</v>
      </c>
    </row>
    <row r="19" spans="1:25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  <c r="Y19" s="6">
        <f t="shared" si="0"/>
        <v>0</v>
      </c>
    </row>
    <row r="20" spans="1:25" s="6" customFormat="1" x14ac:dyDescent="0.2">
      <c r="E20" s="6">
        <f>SUM(E5:E19)</f>
        <v>69</v>
      </c>
      <c r="H20" s="6">
        <f>SUM(H5:H19)</f>
        <v>34</v>
      </c>
      <c r="K20" s="6">
        <f>SUM(K5:K19)</f>
        <v>33</v>
      </c>
      <c r="N20" s="6">
        <f>SUM(N5:N19)</f>
        <v>12</v>
      </c>
      <c r="Q20" s="6">
        <f>SUM(Q5:Q19)</f>
        <v>18</v>
      </c>
      <c r="T20" s="6">
        <f>SUM(T5:T19)</f>
        <v>13</v>
      </c>
      <c r="W20" s="6">
        <f>SUM(W5:W19)</f>
        <v>0</v>
      </c>
      <c r="Y20" s="6">
        <f>SUM(H20*2,N20*3,T20)</f>
        <v>117</v>
      </c>
    </row>
    <row r="21" spans="1:25" x14ac:dyDescent="0.2">
      <c r="A21" s="2" t="s">
        <v>16</v>
      </c>
      <c r="B21" s="1" t="s">
        <v>114</v>
      </c>
    </row>
    <row r="22" spans="1:25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27</v>
      </c>
    </row>
    <row r="23" spans="1:25" s="6" customFormat="1" x14ac:dyDescent="0.2">
      <c r="A23" s="5" t="str">
        <f>_xlfn.IFNA(VLOOKUP($B$21&amp;ROWS($A$23:A23),Rosters!$B$2:$C$163,2,0),"?")</f>
        <v>Taylor</v>
      </c>
      <c r="B23" s="5" t="str">
        <f>_xlfn.IFNA(VLOOKUP($B$21&amp;ROWS($B$23:B23),Rosters!$B$2:$D$163,3,0),"?")</f>
        <v>Miller</v>
      </c>
      <c r="C23" s="5">
        <f>_xlfn.IFNA(VLOOKUP($B$21&amp;ROWS($C$23:C23),Rosters!$B$2:$E$163,4,0),"")</f>
        <v>20</v>
      </c>
      <c r="D23" s="5"/>
      <c r="E23" s="5">
        <v>11</v>
      </c>
      <c r="F23" s="5"/>
      <c r="G23" s="5"/>
      <c r="H23" s="5">
        <v>4</v>
      </c>
      <c r="I23" s="5"/>
      <c r="J23" s="5"/>
      <c r="K23" s="5">
        <v>6</v>
      </c>
      <c r="L23" s="5"/>
      <c r="M23" s="5"/>
      <c r="N23" s="5">
        <v>1</v>
      </c>
      <c r="O23" s="5"/>
      <c r="P23" s="5"/>
      <c r="Q23" s="5">
        <v>5</v>
      </c>
      <c r="R23" s="5"/>
      <c r="S23" s="5"/>
      <c r="T23" s="5">
        <v>4</v>
      </c>
      <c r="U23" s="5"/>
      <c r="V23" s="5"/>
      <c r="W23" s="5">
        <v>0</v>
      </c>
      <c r="X23" s="5"/>
      <c r="Y23">
        <f t="shared" ref="Y23:Y37" si="1">SUM(H23*2,N23*3,T23)</f>
        <v>15</v>
      </c>
    </row>
    <row r="24" spans="1:25" x14ac:dyDescent="0.2">
      <c r="A24" t="str">
        <f>_xlfn.IFNA(VLOOKUP($B$21&amp;ROWS($A$23:A24),Rosters!$B$2:$C$163,2,0),"?")</f>
        <v>Alrek</v>
      </c>
      <c r="B24" t="str">
        <f>_xlfn.IFNA(VLOOKUP($B$21&amp;ROWS($B$23:B24),Rosters!$B$2:$D$163,3,0),"?")</f>
        <v>Greenhalgh</v>
      </c>
      <c r="C24">
        <f>_xlfn.IFNA(VLOOKUP($B$21&amp;ROWS($C$23:C24),Rosters!$B$2:$E$163,4,0),"")</f>
        <v>3</v>
      </c>
      <c r="D24" s="6"/>
      <c r="E24" s="6">
        <v>5</v>
      </c>
      <c r="F24" s="6"/>
      <c r="G24" s="6"/>
      <c r="H24" s="6">
        <v>3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>
        <f t="shared" si="1"/>
        <v>6</v>
      </c>
    </row>
    <row r="25" spans="1:25" s="6" customFormat="1" x14ac:dyDescent="0.2">
      <c r="A25" s="5" t="str">
        <f>_xlfn.IFNA(VLOOKUP($B$21&amp;ROWS($A$23:A25),Rosters!$B$2:$C$163,2,0),"?")</f>
        <v>Gideon</v>
      </c>
      <c r="B25" s="5" t="str">
        <f>_xlfn.IFNA(VLOOKUP($B$21&amp;ROWS($B$23:B25),Rosters!$B$2:$D$163,3,0),"?")</f>
        <v>George</v>
      </c>
      <c r="C25" s="5">
        <f>_xlfn.IFNA(VLOOKUP($B$21&amp;ROWS($C$23:C25),Rosters!$B$2:$E$163,4,0),"")</f>
        <v>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>
        <f t="shared" si="1"/>
        <v>0</v>
      </c>
    </row>
    <row r="26" spans="1:25" x14ac:dyDescent="0.2">
      <c r="A26" t="str">
        <f>_xlfn.IFNA(VLOOKUP($B$21&amp;ROWS($A$23:A26),Rosters!$B$2:$C$163,2,0),"?")</f>
        <v>Brock</v>
      </c>
      <c r="B26" t="str">
        <f>_xlfn.IFNA(VLOOKUP($B$21&amp;ROWS($B$23:B26),Rosters!$B$2:$D$163,3,0),"?")</f>
        <v>Anderson</v>
      </c>
      <c r="C26">
        <f>_xlfn.IFNA(VLOOKUP($B$21&amp;ROWS($C$23:C26),Rosters!$B$2:$E$163,4,0),"")</f>
        <v>30</v>
      </c>
      <c r="D26" s="6"/>
      <c r="E26" s="6">
        <v>3</v>
      </c>
      <c r="F26" s="6"/>
      <c r="G26" s="6"/>
      <c r="H26" s="6">
        <v>1</v>
      </c>
      <c r="I26" s="6"/>
      <c r="J26" s="6"/>
      <c r="K26" s="6">
        <v>1</v>
      </c>
      <c r="L26" s="6"/>
      <c r="M26" s="6"/>
      <c r="N26" s="6">
        <v>0</v>
      </c>
      <c r="O26" s="6"/>
      <c r="P26" s="6"/>
      <c r="Q26" s="6">
        <v>2</v>
      </c>
      <c r="R26" s="6"/>
      <c r="S26" s="6"/>
      <c r="T26" s="6">
        <v>0</v>
      </c>
      <c r="U26" s="6"/>
      <c r="V26" s="6"/>
      <c r="W26" s="6">
        <v>0</v>
      </c>
      <c r="X26" s="6"/>
      <c r="Y26">
        <f t="shared" si="1"/>
        <v>2</v>
      </c>
    </row>
    <row r="27" spans="1:25" s="6" customFormat="1" x14ac:dyDescent="0.2">
      <c r="A27" s="5" t="str">
        <f>_xlfn.IFNA(VLOOKUP($B$21&amp;ROWS($A$23:A27),Rosters!$B$2:$C$163,2,0),"?")</f>
        <v>Dalton</v>
      </c>
      <c r="B27" s="5" t="str">
        <f>_xlfn.IFNA(VLOOKUP($B$21&amp;ROWS($B$23:B27),Rosters!$B$2:$D$163,3,0),"?")</f>
        <v>Nixon</v>
      </c>
      <c r="C27" s="5">
        <f>_xlfn.IFNA(VLOOKUP($B$21&amp;ROWS($C$23:C27),Rosters!$B$2:$E$163,4,0),"")</f>
        <v>4</v>
      </c>
      <c r="D27" s="5"/>
      <c r="E27" s="5">
        <v>4</v>
      </c>
      <c r="F27" s="5"/>
      <c r="G27" s="5"/>
      <c r="H27" s="5">
        <v>3</v>
      </c>
      <c r="I27" s="5"/>
      <c r="J27" s="5"/>
      <c r="K27" s="5">
        <v>9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  <c r="Y27">
        <f t="shared" si="1"/>
        <v>9</v>
      </c>
    </row>
    <row r="28" spans="1:25" x14ac:dyDescent="0.2">
      <c r="A28" t="str">
        <f>_xlfn.IFNA(VLOOKUP($B$21&amp;ROWS($A$23:A28),Rosters!$B$2:$C$163,2,0),"?")</f>
        <v>Taylor</v>
      </c>
      <c r="B28" t="str">
        <f>_xlfn.IFNA(VLOOKUP($B$21&amp;ROWS($B$23:B28),Rosters!$B$2:$D$163,3,0),"?")</f>
        <v>Funk</v>
      </c>
      <c r="C28">
        <f>_xlfn.IFNA(VLOOKUP($B$21&amp;ROWS($C$23:C28),Rosters!$B$2:$E$163,4,0),"")</f>
        <v>13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>
        <f t="shared" si="1"/>
        <v>0</v>
      </c>
    </row>
    <row r="29" spans="1:25" s="6" customFormat="1" x14ac:dyDescent="0.2">
      <c r="A29" s="5" t="str">
        <f>_xlfn.IFNA(VLOOKUP($B$21&amp;ROWS($A$23:A29),Rosters!$B$2:$C$163,2,0),"?")</f>
        <v>Hunter</v>
      </c>
      <c r="B29" s="5" t="str">
        <f>_xlfn.IFNA(VLOOKUP($B$21&amp;ROWS($B$23:B29),Rosters!$B$2:$D$163,3,0),"?")</f>
        <v>Erickson</v>
      </c>
      <c r="C29" s="5">
        <f>_xlfn.IFNA(VLOOKUP($B$21&amp;ROWS($C$23:C29),Rosters!$B$2:$E$163,4,0),"")</f>
        <v>0</v>
      </c>
      <c r="D29" s="5"/>
      <c r="E29" s="5">
        <v>15</v>
      </c>
      <c r="F29" s="5"/>
      <c r="G29" s="5"/>
      <c r="H29" s="5">
        <v>8</v>
      </c>
      <c r="I29" s="5"/>
      <c r="J29" s="5"/>
      <c r="K29" s="5">
        <v>9</v>
      </c>
      <c r="L29" s="5"/>
      <c r="M29" s="5"/>
      <c r="N29" s="5">
        <v>4</v>
      </c>
      <c r="O29" s="5"/>
      <c r="P29" s="5"/>
      <c r="Q29" s="5">
        <v>7</v>
      </c>
      <c r="R29" s="5"/>
      <c r="S29" s="5"/>
      <c r="T29" s="5">
        <v>4</v>
      </c>
      <c r="U29" s="5"/>
      <c r="V29" s="5"/>
      <c r="W29" s="5">
        <v>0</v>
      </c>
      <c r="X29" s="5"/>
      <c r="Y29">
        <f t="shared" si="1"/>
        <v>32</v>
      </c>
    </row>
    <row r="30" spans="1:25" x14ac:dyDescent="0.2">
      <c r="A30" t="str">
        <f>_xlfn.IFNA(VLOOKUP($B$21&amp;ROWS($A$23:A30),Rosters!$B$2:$C$163,2,0),"?")</f>
        <v>Dayon</v>
      </c>
      <c r="B30" t="str">
        <f>_xlfn.IFNA(VLOOKUP($B$21&amp;ROWS($B$23:B30),Rosters!$B$2:$D$163,3,0),"?")</f>
        <v>Goodman</v>
      </c>
      <c r="C30">
        <f>_xlfn.IFNA(VLOOKUP($B$21&amp;ROWS($C$23:C30),Rosters!$B$2:$E$163,4,0),"")</f>
        <v>35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>
        <f t="shared" si="1"/>
        <v>0</v>
      </c>
    </row>
    <row r="31" spans="1:25" s="6" customFormat="1" x14ac:dyDescent="0.2">
      <c r="A31" s="5" t="s">
        <v>199</v>
      </c>
      <c r="B31" s="5" t="s">
        <v>200</v>
      </c>
      <c r="C31" s="5">
        <v>10</v>
      </c>
      <c r="D31" s="5"/>
      <c r="E31" s="5">
        <v>7</v>
      </c>
      <c r="F31" s="5"/>
      <c r="G31" s="5"/>
      <c r="H31" s="5">
        <v>5</v>
      </c>
      <c r="I31" s="5"/>
      <c r="J31" s="5"/>
      <c r="K31" s="5">
        <v>11</v>
      </c>
      <c r="L31" s="5"/>
      <c r="M31" s="5"/>
      <c r="N31" s="5">
        <v>5</v>
      </c>
      <c r="O31" s="5"/>
      <c r="P31" s="5"/>
      <c r="Q31" s="5">
        <v>3</v>
      </c>
      <c r="R31" s="5"/>
      <c r="S31" s="5"/>
      <c r="T31" s="5">
        <v>3</v>
      </c>
      <c r="U31" s="5"/>
      <c r="V31" s="5"/>
      <c r="W31" s="5">
        <v>0</v>
      </c>
      <c r="X31" s="5"/>
      <c r="Y31">
        <f t="shared" si="1"/>
        <v>28</v>
      </c>
    </row>
    <row r="32" spans="1:25" x14ac:dyDescent="0.2">
      <c r="A32" t="s">
        <v>143</v>
      </c>
      <c r="B32" t="s">
        <v>202</v>
      </c>
      <c r="C32">
        <v>1</v>
      </c>
      <c r="D32" s="6"/>
      <c r="E32" s="6">
        <v>11</v>
      </c>
      <c r="F32" s="6"/>
      <c r="G32" s="6"/>
      <c r="H32" s="6">
        <v>5</v>
      </c>
      <c r="I32" s="6"/>
      <c r="J32" s="6"/>
      <c r="K32" s="6">
        <v>10</v>
      </c>
      <c r="L32" s="6"/>
      <c r="M32" s="6"/>
      <c r="N32" s="6">
        <v>3</v>
      </c>
      <c r="O32" s="6"/>
      <c r="P32" s="6"/>
      <c r="Q32" s="6">
        <v>2</v>
      </c>
      <c r="R32" s="6"/>
      <c r="S32" s="6"/>
      <c r="T32" s="6">
        <v>1</v>
      </c>
      <c r="U32" s="6"/>
      <c r="V32" s="6"/>
      <c r="W32" s="6">
        <v>0</v>
      </c>
      <c r="X32" s="6"/>
      <c r="Y32">
        <f t="shared" si="1"/>
        <v>20</v>
      </c>
    </row>
    <row r="33" spans="1:25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  <c r="Y33">
        <f t="shared" si="1"/>
        <v>0</v>
      </c>
    </row>
    <row r="34" spans="1:25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>
        <f t="shared" si="1"/>
        <v>0</v>
      </c>
    </row>
    <row r="35" spans="1:25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  <c r="Y35">
        <f t="shared" si="1"/>
        <v>0</v>
      </c>
    </row>
    <row r="36" spans="1:25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  <c r="Y36">
        <f t="shared" si="1"/>
        <v>0</v>
      </c>
    </row>
    <row r="37" spans="1:25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  <c r="Y37">
        <f t="shared" si="1"/>
        <v>0</v>
      </c>
    </row>
    <row r="38" spans="1:25" x14ac:dyDescent="0.2">
      <c r="E38">
        <f>SUM(E23:E37)</f>
        <v>56</v>
      </c>
      <c r="H38">
        <f>SUM(H23:H37)</f>
        <v>29</v>
      </c>
      <c r="K38">
        <f>SUM(K23:K37)</f>
        <v>47</v>
      </c>
      <c r="N38">
        <f>SUM(N23:N37)</f>
        <v>14</v>
      </c>
      <c r="Q38">
        <f>SUM(Q23:Q37)</f>
        <v>19</v>
      </c>
      <c r="T38">
        <f>SUM(T23:T37)</f>
        <v>12</v>
      </c>
      <c r="W38">
        <f>SUM(W23:W37)</f>
        <v>0</v>
      </c>
      <c r="Y38">
        <f>SUM(H38*2,N38*3,T38)</f>
        <v>112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opLeftCell="A31" workbookViewId="0">
      <selection activeCell="E12" sqref="E12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 t="str">
        <v>Team Erickson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  <c r="G7" s="8" t="str">
        <v>Team Joyce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  <c r="G8" s="8" t="str">
        <v>Team Berger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  <c r="G9" s="8" t="str">
        <v>Team Stan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  <c r="G10" s="8">
        <v>0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A46" t="s">
        <v>114</v>
      </c>
      <c r="B46" s="8" t="str">
        <f>A46&amp;COUNTIF($A$2:$A46,A46)</f>
        <v>Team Erickson1</v>
      </c>
      <c r="C46" t="s">
        <v>115</v>
      </c>
      <c r="D46" t="s">
        <v>116</v>
      </c>
      <c r="E46">
        <v>20</v>
      </c>
    </row>
    <row r="47" spans="1:5" x14ac:dyDescent="0.2">
      <c r="A47" t="s">
        <v>114</v>
      </c>
      <c r="B47" s="8" t="str">
        <f>A47&amp;COUNTIF($A$2:$A47,A47)</f>
        <v>Team Erickson2</v>
      </c>
      <c r="C47" t="s">
        <v>117</v>
      </c>
      <c r="D47" t="s">
        <v>118</v>
      </c>
      <c r="E47">
        <v>3</v>
      </c>
    </row>
    <row r="48" spans="1:5" x14ac:dyDescent="0.2">
      <c r="A48" t="s">
        <v>114</v>
      </c>
      <c r="B48" s="8" t="str">
        <f>A48&amp;COUNTIF($A$2:$A48,A48)</f>
        <v>Team Erickson3</v>
      </c>
      <c r="C48" t="s">
        <v>119</v>
      </c>
      <c r="D48" t="s">
        <v>120</v>
      </c>
      <c r="E48">
        <v>5</v>
      </c>
    </row>
    <row r="49" spans="1:5" x14ac:dyDescent="0.2">
      <c r="A49" t="s">
        <v>114</v>
      </c>
      <c r="B49" s="8" t="str">
        <f>A49&amp;COUNTIF($A$2:$A49,A49)</f>
        <v>Team Erickson4</v>
      </c>
      <c r="C49" t="s">
        <v>121</v>
      </c>
      <c r="D49" t="s">
        <v>122</v>
      </c>
      <c r="E49">
        <v>30</v>
      </c>
    </row>
    <row r="50" spans="1:5" x14ac:dyDescent="0.2">
      <c r="A50" t="s">
        <v>114</v>
      </c>
      <c r="B50" s="8" t="str">
        <f>A50&amp;COUNTIF($A$2:$A50,A50)</f>
        <v>Team Erickson5</v>
      </c>
      <c r="C50" t="s">
        <v>123</v>
      </c>
      <c r="D50" t="s">
        <v>124</v>
      </c>
      <c r="E50">
        <v>4</v>
      </c>
    </row>
    <row r="51" spans="1:5" x14ac:dyDescent="0.2">
      <c r="A51" t="s">
        <v>114</v>
      </c>
      <c r="B51" s="8" t="str">
        <f>A51&amp;COUNTIF($A$2:$A51,A51)</f>
        <v>Team Erickson6</v>
      </c>
      <c r="C51" t="s">
        <v>115</v>
      </c>
      <c r="D51" t="s">
        <v>125</v>
      </c>
      <c r="E51">
        <v>13</v>
      </c>
    </row>
    <row r="52" spans="1:5" x14ac:dyDescent="0.2">
      <c r="A52" t="s">
        <v>114</v>
      </c>
      <c r="B52" s="8" t="str">
        <f>A52&amp;COUNTIF($A$2:$A52,A52)</f>
        <v>Team Erickson7</v>
      </c>
      <c r="C52" t="s">
        <v>126</v>
      </c>
      <c r="D52" t="s">
        <v>127</v>
      </c>
      <c r="E52">
        <v>0</v>
      </c>
    </row>
    <row r="53" spans="1:5" x14ac:dyDescent="0.2">
      <c r="A53" t="s">
        <v>114</v>
      </c>
      <c r="B53" s="8" t="str">
        <f>A53&amp;COUNTIF($A$2:$A53,A53)</f>
        <v>Team Erickson8</v>
      </c>
      <c r="C53" t="s">
        <v>128</v>
      </c>
      <c r="D53" t="s">
        <v>129</v>
      </c>
      <c r="E53">
        <v>35</v>
      </c>
    </row>
    <row r="54" spans="1:5" x14ac:dyDescent="0.2">
      <c r="A54" t="s">
        <v>130</v>
      </c>
      <c r="B54" s="8" t="str">
        <f>A54&amp;COUNTIF($A$2:$A54,A54)</f>
        <v>Team Joyce1</v>
      </c>
      <c r="C54" t="s">
        <v>131</v>
      </c>
      <c r="D54" t="s">
        <v>132</v>
      </c>
      <c r="E54">
        <v>34</v>
      </c>
    </row>
    <row r="55" spans="1:5" x14ac:dyDescent="0.2">
      <c r="A55" t="s">
        <v>130</v>
      </c>
      <c r="B55" s="8" t="str">
        <f>A55&amp;COUNTIF($A$2:$A55,A55)</f>
        <v>Team Joyce2</v>
      </c>
      <c r="C55" t="s">
        <v>133</v>
      </c>
      <c r="D55" t="s">
        <v>134</v>
      </c>
      <c r="E55">
        <v>0</v>
      </c>
    </row>
    <row r="56" spans="1:5" x14ac:dyDescent="0.2">
      <c r="A56" t="s">
        <v>130</v>
      </c>
      <c r="B56" s="8" t="str">
        <f>A56&amp;COUNTIF($A$2:$A56,A56)</f>
        <v>Team Joyce3</v>
      </c>
      <c r="C56" t="s">
        <v>135</v>
      </c>
      <c r="D56" t="s">
        <v>136</v>
      </c>
      <c r="E56">
        <v>23</v>
      </c>
    </row>
    <row r="57" spans="1:5" x14ac:dyDescent="0.2">
      <c r="A57" t="s">
        <v>130</v>
      </c>
      <c r="B57" s="8" t="str">
        <f>A57&amp;COUNTIF($A$2:$A57,A57)</f>
        <v>Team Joyce4</v>
      </c>
      <c r="C57" t="s">
        <v>137</v>
      </c>
      <c r="D57" t="s">
        <v>138</v>
      </c>
      <c r="E57">
        <v>3</v>
      </c>
    </row>
    <row r="58" spans="1:5" x14ac:dyDescent="0.2">
      <c r="A58" t="s">
        <v>130</v>
      </c>
      <c r="B58" s="8" t="str">
        <f>A58&amp;COUNTIF($A$2:$A58,A58)</f>
        <v>Team Joyce5</v>
      </c>
      <c r="C58" t="s">
        <v>139</v>
      </c>
      <c r="D58" t="s">
        <v>140</v>
      </c>
      <c r="E58">
        <v>35</v>
      </c>
    </row>
    <row r="59" spans="1:5" x14ac:dyDescent="0.2">
      <c r="A59" t="s">
        <v>130</v>
      </c>
      <c r="B59" s="8" t="str">
        <f>A59&amp;COUNTIF($A$2:$A59,A59)</f>
        <v>Team Joyce6</v>
      </c>
      <c r="C59" t="s">
        <v>141</v>
      </c>
      <c r="D59" t="s">
        <v>142</v>
      </c>
      <c r="E59">
        <v>31</v>
      </c>
    </row>
    <row r="60" spans="1:5" x14ac:dyDescent="0.2">
      <c r="A60" t="s">
        <v>130</v>
      </c>
      <c r="B60" s="8" t="str">
        <f>A60&amp;COUNTIF($A$2:$A60,A60)</f>
        <v>Team Joyce7</v>
      </c>
      <c r="C60" t="s">
        <v>143</v>
      </c>
      <c r="D60" t="s">
        <v>144</v>
      </c>
      <c r="E60">
        <v>21</v>
      </c>
    </row>
    <row r="61" spans="1:5" x14ac:dyDescent="0.2">
      <c r="A61" t="s">
        <v>130</v>
      </c>
      <c r="B61" s="8" t="str">
        <f>A61&amp;COUNTIF($A$2:$A61,A61)</f>
        <v>Team Joyce8</v>
      </c>
      <c r="C61" t="s">
        <v>145</v>
      </c>
      <c r="D61" t="s">
        <v>146</v>
      </c>
      <c r="E61">
        <v>11</v>
      </c>
    </row>
    <row r="62" spans="1:5" x14ac:dyDescent="0.2">
      <c r="A62" t="s">
        <v>130</v>
      </c>
      <c r="B62" s="8" t="str">
        <f>A62&amp;COUNTIF($A$2:$A62,A62)</f>
        <v>Team Joyce9</v>
      </c>
      <c r="C62" t="s">
        <v>147</v>
      </c>
      <c r="D62" t="s">
        <v>148</v>
      </c>
      <c r="E62">
        <v>24</v>
      </c>
    </row>
    <row r="63" spans="1:5" x14ac:dyDescent="0.2">
      <c r="A63" t="s">
        <v>130</v>
      </c>
      <c r="B63" s="8" t="str">
        <f>A63&amp;COUNTIF($A$2:$A63,A63)</f>
        <v>Team Joyce10</v>
      </c>
      <c r="C63" t="s">
        <v>149</v>
      </c>
      <c r="D63" t="s">
        <v>150</v>
      </c>
      <c r="E63">
        <v>1</v>
      </c>
    </row>
    <row r="64" spans="1:5" x14ac:dyDescent="0.2">
      <c r="A64" t="s">
        <v>130</v>
      </c>
      <c r="B64" s="8" t="str">
        <f>A64&amp;COUNTIF($A$2:$A64,A64)</f>
        <v>Team Joyce11</v>
      </c>
      <c r="C64" t="s">
        <v>151</v>
      </c>
      <c r="D64" t="s">
        <v>152</v>
      </c>
      <c r="E64">
        <v>10</v>
      </c>
    </row>
    <row r="65" spans="1:5" x14ac:dyDescent="0.2">
      <c r="A65" t="s">
        <v>153</v>
      </c>
      <c r="B65" s="8" t="str">
        <f>A65&amp;COUNTIF($A$2:$A65,A65)</f>
        <v>Team Berger1</v>
      </c>
      <c r="C65" t="s">
        <v>154</v>
      </c>
      <c r="D65" t="s">
        <v>84</v>
      </c>
      <c r="E65">
        <v>60</v>
      </c>
    </row>
    <row r="66" spans="1:5" x14ac:dyDescent="0.2">
      <c r="A66" t="s">
        <v>153</v>
      </c>
      <c r="B66" s="8" t="str">
        <f>A66&amp;COUNTIF($A$2:$A66,A66)</f>
        <v>Team Berger2</v>
      </c>
      <c r="C66" t="s">
        <v>155</v>
      </c>
      <c r="D66" t="s">
        <v>156</v>
      </c>
      <c r="E66" s="7">
        <v>7</v>
      </c>
    </row>
    <row r="67" spans="1:5" x14ac:dyDescent="0.2">
      <c r="A67" t="s">
        <v>153</v>
      </c>
      <c r="B67" s="8" t="str">
        <f>A67&amp;COUNTIF($A$2:$A67,A67)</f>
        <v>Team Berger3</v>
      </c>
      <c r="C67" t="s">
        <v>157</v>
      </c>
      <c r="D67" t="s">
        <v>18</v>
      </c>
      <c r="E67">
        <v>12</v>
      </c>
    </row>
    <row r="68" spans="1:5" x14ac:dyDescent="0.2">
      <c r="A68" t="s">
        <v>153</v>
      </c>
      <c r="B68" s="8" t="str">
        <f>A68&amp;COUNTIF($A$2:$A68,A68)</f>
        <v>Team Berger4</v>
      </c>
      <c r="C68" t="s">
        <v>158</v>
      </c>
      <c r="D68" t="s">
        <v>159</v>
      </c>
      <c r="E68">
        <v>99</v>
      </c>
    </row>
    <row r="69" spans="1:5" x14ac:dyDescent="0.2">
      <c r="A69" t="s">
        <v>153</v>
      </c>
      <c r="B69" s="8" t="str">
        <f>A69&amp;COUNTIF($A$2:$A69,A69)</f>
        <v>Team Berger5</v>
      </c>
      <c r="C69" t="s">
        <v>160</v>
      </c>
      <c r="D69" t="s">
        <v>161</v>
      </c>
      <c r="E69">
        <v>33</v>
      </c>
    </row>
    <row r="70" spans="1:5" x14ac:dyDescent="0.2">
      <c r="A70" t="s">
        <v>153</v>
      </c>
      <c r="B70" s="8" t="str">
        <f>A70&amp;COUNTIF($A$2:$A70,A70)</f>
        <v>Team Berger6</v>
      </c>
      <c r="C70" t="s">
        <v>162</v>
      </c>
      <c r="D70" t="s">
        <v>163</v>
      </c>
      <c r="E70">
        <v>24</v>
      </c>
    </row>
    <row r="71" spans="1:5" x14ac:dyDescent="0.2">
      <c r="A71" t="s">
        <v>153</v>
      </c>
      <c r="B71" s="8" t="str">
        <f>A71&amp;COUNTIF($A$2:$A71,A71)</f>
        <v>Team Berger7</v>
      </c>
      <c r="C71" t="s">
        <v>164</v>
      </c>
      <c r="D71" t="s">
        <v>165</v>
      </c>
      <c r="E71">
        <v>21</v>
      </c>
    </row>
    <row r="72" spans="1:5" x14ac:dyDescent="0.2">
      <c r="A72" t="s">
        <v>153</v>
      </c>
      <c r="B72" s="8" t="str">
        <f>A72&amp;COUNTIF($A$2:$A72,A72)</f>
        <v>Team Berger8</v>
      </c>
      <c r="C72" t="s">
        <v>166</v>
      </c>
      <c r="D72" t="s">
        <v>167</v>
      </c>
      <c r="E72">
        <v>15</v>
      </c>
    </row>
    <row r="73" spans="1:5" x14ac:dyDescent="0.2">
      <c r="A73" t="s">
        <v>153</v>
      </c>
      <c r="B73" s="8" t="str">
        <f>A73&amp;COUNTIF($A$2:$A73,A73)</f>
        <v>Team Berger9</v>
      </c>
      <c r="C73" t="s">
        <v>168</v>
      </c>
      <c r="D73" t="s">
        <v>169</v>
      </c>
      <c r="E73">
        <v>2</v>
      </c>
    </row>
    <row r="74" spans="1:5" x14ac:dyDescent="0.2">
      <c r="A74" t="s">
        <v>153</v>
      </c>
      <c r="B74" s="8" t="str">
        <f>A74&amp;COUNTIF($A$2:$A74,A74)</f>
        <v>Team Berger10</v>
      </c>
      <c r="C74" t="s">
        <v>170</v>
      </c>
      <c r="E74">
        <v>6</v>
      </c>
    </row>
    <row r="75" spans="1:5" x14ac:dyDescent="0.2">
      <c r="A75" t="s">
        <v>153</v>
      </c>
      <c r="B75" s="8" t="str">
        <f>A75&amp;COUNTIF($A$2:$A75,A75)</f>
        <v>Team Berger11</v>
      </c>
      <c r="C75" t="s">
        <v>171</v>
      </c>
      <c r="D75" t="s">
        <v>172</v>
      </c>
    </row>
    <row r="76" spans="1:5" x14ac:dyDescent="0.2">
      <c r="A76" t="s">
        <v>173</v>
      </c>
      <c r="B76" s="8" t="str">
        <f>A76&amp;COUNTIF($A$2:$A76,A76)</f>
        <v>Team Stan1</v>
      </c>
      <c r="C76" t="s">
        <v>174</v>
      </c>
      <c r="D76" t="s">
        <v>122</v>
      </c>
      <c r="E76">
        <v>0</v>
      </c>
    </row>
    <row r="77" spans="1:5" x14ac:dyDescent="0.2">
      <c r="A77" t="s">
        <v>173</v>
      </c>
      <c r="B77" s="8" t="str">
        <f>A77&amp;COUNTIF($A$2:$A77,A77)</f>
        <v>Team Stan2</v>
      </c>
      <c r="C77" t="s">
        <v>175</v>
      </c>
      <c r="D77" t="s">
        <v>176</v>
      </c>
      <c r="E77">
        <v>32</v>
      </c>
    </row>
    <row r="78" spans="1:5" x14ac:dyDescent="0.2">
      <c r="A78" t="s">
        <v>173</v>
      </c>
      <c r="B78" s="8" t="str">
        <f>A78&amp;COUNTIF($A$2:$A78,A78)</f>
        <v>Team Stan3</v>
      </c>
      <c r="C78" t="s">
        <v>177</v>
      </c>
      <c r="D78" t="s">
        <v>178</v>
      </c>
      <c r="E78">
        <v>1</v>
      </c>
    </row>
    <row r="79" spans="1:5" x14ac:dyDescent="0.2">
      <c r="A79" t="s">
        <v>173</v>
      </c>
      <c r="B79" s="8" t="str">
        <f>A79&amp;COUNTIF($A$2:$A79,A79)</f>
        <v>Team Stan4</v>
      </c>
      <c r="C79" t="s">
        <v>179</v>
      </c>
      <c r="D79" t="s">
        <v>180</v>
      </c>
      <c r="E79">
        <v>5</v>
      </c>
    </row>
    <row r="80" spans="1:5" x14ac:dyDescent="0.2">
      <c r="A80" t="s">
        <v>173</v>
      </c>
      <c r="B80" s="8" t="str">
        <f>A80&amp;COUNTIF($A$2:$A80,A80)</f>
        <v>Team Stan5</v>
      </c>
      <c r="C80" t="s">
        <v>181</v>
      </c>
      <c r="D80" t="s">
        <v>182</v>
      </c>
      <c r="E80">
        <v>2</v>
      </c>
    </row>
    <row r="81" spans="1:5" x14ac:dyDescent="0.2">
      <c r="A81" t="s">
        <v>173</v>
      </c>
      <c r="B81" s="8" t="str">
        <f>A81&amp;COUNTIF($A$2:$A81,A81)</f>
        <v>Team Stan6</v>
      </c>
      <c r="C81" t="s">
        <v>183</v>
      </c>
      <c r="D81" t="s">
        <v>184</v>
      </c>
      <c r="E81">
        <v>11</v>
      </c>
    </row>
    <row r="82" spans="1:5" x14ac:dyDescent="0.2">
      <c r="A82" t="s">
        <v>173</v>
      </c>
      <c r="B82" s="8" t="str">
        <f>A82&amp;COUNTIF($A$2:$A82,A82)</f>
        <v>Team Stan7</v>
      </c>
      <c r="C82" t="s">
        <v>185</v>
      </c>
      <c r="D82" t="s">
        <v>186</v>
      </c>
      <c r="E82">
        <v>20</v>
      </c>
    </row>
    <row r="83" spans="1:5" x14ac:dyDescent="0.2">
      <c r="A83" t="s">
        <v>173</v>
      </c>
      <c r="B83" s="8" t="str">
        <f>A83&amp;COUNTIF($A$2:$A83,A83)</f>
        <v>Team Stan8</v>
      </c>
      <c r="C83" t="s">
        <v>187</v>
      </c>
      <c r="D83" t="s">
        <v>188</v>
      </c>
      <c r="E83">
        <v>59</v>
      </c>
    </row>
    <row r="84" spans="1:5" x14ac:dyDescent="0.2">
      <c r="A84" t="s">
        <v>173</v>
      </c>
      <c r="B84" s="8" t="str">
        <f>A84&amp;COUNTIF($A$2:$A84,A84)</f>
        <v>Team Stan9</v>
      </c>
      <c r="C84" t="s">
        <v>189</v>
      </c>
      <c r="D84" t="s">
        <v>190</v>
      </c>
      <c r="E84">
        <v>35</v>
      </c>
    </row>
    <row r="85" spans="1:5" x14ac:dyDescent="0.2">
      <c r="A85" t="s">
        <v>173</v>
      </c>
      <c r="B85" s="8" t="str">
        <f>A85&amp;COUNTIF($A$2:$A85,A85)</f>
        <v>Team Stan10</v>
      </c>
      <c r="C85" t="s">
        <v>191</v>
      </c>
      <c r="D85" t="s">
        <v>192</v>
      </c>
      <c r="E85">
        <v>3</v>
      </c>
    </row>
    <row r="86" spans="1:5" x14ac:dyDescent="0.2">
      <c r="A86" t="s">
        <v>173</v>
      </c>
      <c r="B86" s="8" t="str">
        <f>A86&amp;COUNTIF($A$2:$A86,A86)</f>
        <v>Team Stan11</v>
      </c>
      <c r="C86" t="s">
        <v>193</v>
      </c>
      <c r="D86" t="s">
        <v>194</v>
      </c>
      <c r="E86">
        <v>20</v>
      </c>
    </row>
    <row r="87" spans="1:5" x14ac:dyDescent="0.2">
      <c r="A87" t="s">
        <v>173</v>
      </c>
      <c r="B87" s="8" t="str">
        <f>A87&amp;COUNTIF($A$2:$A87,A87)</f>
        <v>Team Stan12</v>
      </c>
      <c r="C87" t="s">
        <v>195</v>
      </c>
      <c r="D87" t="s">
        <v>196</v>
      </c>
      <c r="E87">
        <v>24</v>
      </c>
    </row>
    <row r="88" spans="1:5" x14ac:dyDescent="0.2">
      <c r="A88" t="s">
        <v>173</v>
      </c>
      <c r="B88" s="8" t="str">
        <f>A88&amp;COUNTIF($A$2:$A88,A88)</f>
        <v>Team Stan13</v>
      </c>
      <c r="C88" t="s">
        <v>197</v>
      </c>
      <c r="D88" t="s">
        <v>198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2022-06-23T05:01:36Z</dcterms:modified>
</cp:coreProperties>
</file>