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harden/Desktop/curr_Chris/Sportsdada/sportsdada/Powder/Week2/"/>
    </mc:Choice>
  </mc:AlternateContent>
  <xr:revisionPtr revIDLastSave="0" documentId="13_ncr:1_{8D1BC526-057A-CE4A-ACBD-3D882F5D5910}" xr6:coauthVersionLast="47" xr6:coauthVersionMax="47" xr10:uidLastSave="{00000000-0000-0000-0000-000000000000}"/>
  <bookViews>
    <workbookView xWindow="0" yWindow="500" windowWidth="28800" windowHeight="15940" xr2:uid="{00000000-000D-0000-FFFF-FFFF00000000}"/>
  </bookViews>
  <sheets>
    <sheet name="G2 Box Score" sheetId="1" r:id="rId1"/>
    <sheet name="Stats G2" sheetId="2" r:id="rId2"/>
    <sheet name="Rosters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uri="GoogleSheetsCustomDataVersion1">
      <go:sheetsCustomData xmlns:go="http://customooxmlschemas.google.com/" r:id="rId8" roundtripDataSignature="AMtx7mh5ntsNPfDYu/kdfclCfgRzxXuyCg=="/>
    </ext>
  </extLst>
</workbook>
</file>

<file path=xl/calcChain.xml><?xml version="1.0" encoding="utf-8"?>
<calcChain xmlns="http://schemas.openxmlformats.org/spreadsheetml/2006/main">
  <c r="H24" i="1" l="1"/>
  <c r="H26" i="1"/>
  <c r="H29" i="1"/>
  <c r="H36" i="1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B2" i="3"/>
  <c r="T38" i="2"/>
  <c r="Q38" i="2"/>
  <c r="N38" i="2"/>
  <c r="K38" i="2"/>
  <c r="H38" i="2"/>
  <c r="E38" i="2"/>
  <c r="G35" i="1"/>
  <c r="F35" i="1"/>
  <c r="G34" i="1"/>
  <c r="F34" i="1"/>
  <c r="G33" i="1"/>
  <c r="F33" i="1"/>
  <c r="H31" i="1"/>
  <c r="H30" i="1"/>
  <c r="H27" i="1"/>
  <c r="H23" i="1"/>
  <c r="H22" i="1"/>
  <c r="T20" i="2"/>
  <c r="Q20" i="2"/>
  <c r="N20" i="2"/>
  <c r="K20" i="2"/>
  <c r="H20" i="2"/>
  <c r="E20" i="2"/>
  <c r="G17" i="1"/>
  <c r="F17" i="1"/>
  <c r="G16" i="1"/>
  <c r="F16" i="1"/>
  <c r="G15" i="1"/>
  <c r="F15" i="1"/>
  <c r="H12" i="1"/>
  <c r="H10" i="1"/>
  <c r="H5" i="1"/>
  <c r="H4" i="1"/>
  <c r="L37" i="1"/>
  <c r="K36" i="1"/>
  <c r="J36" i="1"/>
  <c r="I36" i="1"/>
  <c r="K35" i="1"/>
  <c r="J35" i="1"/>
  <c r="I35" i="1"/>
  <c r="H35" i="1"/>
  <c r="K34" i="1"/>
  <c r="J34" i="1"/>
  <c r="I34" i="1"/>
  <c r="H34" i="1"/>
  <c r="K33" i="1"/>
  <c r="J33" i="1"/>
  <c r="I33" i="1"/>
  <c r="H33" i="1"/>
  <c r="K32" i="1"/>
  <c r="J32" i="1"/>
  <c r="I32" i="1"/>
  <c r="K31" i="1"/>
  <c r="J31" i="1"/>
  <c r="I31" i="1"/>
  <c r="G31" i="1"/>
  <c r="F31" i="1"/>
  <c r="K30" i="1"/>
  <c r="J30" i="1"/>
  <c r="I30" i="1"/>
  <c r="G30" i="1"/>
  <c r="F30" i="1"/>
  <c r="K29" i="1"/>
  <c r="J29" i="1"/>
  <c r="I29" i="1"/>
  <c r="G29" i="1"/>
  <c r="F29" i="1"/>
  <c r="K28" i="1"/>
  <c r="J28" i="1"/>
  <c r="I28" i="1"/>
  <c r="K27" i="1"/>
  <c r="J27" i="1"/>
  <c r="I27" i="1"/>
  <c r="G27" i="1"/>
  <c r="F27" i="1"/>
  <c r="K26" i="1"/>
  <c r="J26" i="1"/>
  <c r="I26" i="1"/>
  <c r="G26" i="1"/>
  <c r="F26" i="1"/>
  <c r="K25" i="1"/>
  <c r="J25" i="1"/>
  <c r="I25" i="1"/>
  <c r="K24" i="1"/>
  <c r="J24" i="1"/>
  <c r="I24" i="1"/>
  <c r="G24" i="1"/>
  <c r="F24" i="1"/>
  <c r="K23" i="1"/>
  <c r="J23" i="1"/>
  <c r="I23" i="1"/>
  <c r="G23" i="1"/>
  <c r="F23" i="1"/>
  <c r="K22" i="1"/>
  <c r="K37" i="1" s="1"/>
  <c r="J22" i="1"/>
  <c r="J37" i="1" s="1"/>
  <c r="D3" i="1" s="1"/>
  <c r="I22" i="1"/>
  <c r="I37" i="1" s="1"/>
  <c r="G22" i="1"/>
  <c r="F22" i="1"/>
  <c r="G20" i="1"/>
  <c r="K17" i="1"/>
  <c r="J17" i="1"/>
  <c r="I17" i="1"/>
  <c r="H17" i="1"/>
  <c r="K16" i="1"/>
  <c r="J16" i="1"/>
  <c r="I16" i="1"/>
  <c r="H16" i="1"/>
  <c r="K15" i="1"/>
  <c r="J15" i="1"/>
  <c r="I15" i="1"/>
  <c r="H15" i="1"/>
  <c r="K14" i="1"/>
  <c r="J14" i="1"/>
  <c r="I14" i="1"/>
  <c r="K13" i="1"/>
  <c r="J13" i="1"/>
  <c r="I13" i="1"/>
  <c r="K12" i="1"/>
  <c r="J12" i="1"/>
  <c r="I12" i="1"/>
  <c r="G12" i="1"/>
  <c r="F12" i="1"/>
  <c r="K11" i="1"/>
  <c r="J11" i="1"/>
  <c r="I11" i="1"/>
  <c r="H11" i="1"/>
  <c r="G11" i="1"/>
  <c r="F11" i="1"/>
  <c r="K10" i="1"/>
  <c r="J10" i="1"/>
  <c r="I10" i="1"/>
  <c r="G10" i="1"/>
  <c r="F10" i="1"/>
  <c r="K9" i="1"/>
  <c r="J9" i="1"/>
  <c r="I9" i="1"/>
  <c r="K8" i="1"/>
  <c r="J8" i="1"/>
  <c r="I8" i="1"/>
  <c r="H8" i="1"/>
  <c r="G8" i="1"/>
  <c r="F8" i="1"/>
  <c r="K7" i="1"/>
  <c r="J7" i="1"/>
  <c r="J18" i="1" s="1"/>
  <c r="I7" i="1"/>
  <c r="H7" i="1"/>
  <c r="G7" i="1"/>
  <c r="F7" i="1"/>
  <c r="K6" i="1"/>
  <c r="J6" i="1"/>
  <c r="I6" i="1"/>
  <c r="H6" i="1"/>
  <c r="G6" i="1"/>
  <c r="F6" i="1"/>
  <c r="K5" i="1"/>
  <c r="J5" i="1"/>
  <c r="I5" i="1"/>
  <c r="G5" i="1"/>
  <c r="F5" i="1"/>
  <c r="K4" i="1"/>
  <c r="J4" i="1"/>
  <c r="I4" i="1"/>
  <c r="G4" i="1"/>
  <c r="F4" i="1"/>
  <c r="K3" i="1"/>
  <c r="K18" i="1" s="1"/>
  <c r="J3" i="1"/>
  <c r="I3" i="1"/>
  <c r="I18" i="1" s="1"/>
  <c r="B3" i="1" s="1"/>
  <c r="H3" i="1"/>
  <c r="G3" i="1"/>
  <c r="F3" i="1"/>
  <c r="D2" i="1"/>
  <c r="G1" i="1"/>
  <c r="B2" i="1" s="1"/>
</calcChain>
</file>

<file path=xl/sharedStrings.xml><?xml version="1.0" encoding="utf-8"?>
<sst xmlns="http://schemas.openxmlformats.org/spreadsheetml/2006/main" count="550" uniqueCount="289">
  <si>
    <t>GAME 2</t>
  </si>
  <si>
    <t>Home Team (Gray)</t>
  </si>
  <si>
    <t>First</t>
  </si>
  <si>
    <t>Last</t>
  </si>
  <si>
    <t>#</t>
  </si>
  <si>
    <t>AST</t>
  </si>
  <si>
    <t>TOV</t>
  </si>
  <si>
    <t>BLK</t>
  </si>
  <si>
    <t>Timeouts</t>
  </si>
  <si>
    <t>-</t>
  </si>
  <si>
    <t>Total:</t>
  </si>
  <si>
    <t>Away Team (Black)</t>
  </si>
  <si>
    <t>Select Team Name</t>
  </si>
  <si>
    <t>Arok</t>
  </si>
  <si>
    <t>Berger</t>
  </si>
  <si>
    <t>Clarke</t>
  </si>
  <si>
    <t>Covington</t>
  </si>
  <si>
    <t>Dastrop</t>
  </si>
  <si>
    <t>Draney</t>
  </si>
  <si>
    <t>Drisdom</t>
  </si>
  <si>
    <t>Egan</t>
  </si>
  <si>
    <t>Fulton</t>
  </si>
  <si>
    <t>Humphries</t>
  </si>
  <si>
    <t>Joyce</t>
  </si>
  <si>
    <t>Roberts</t>
  </si>
  <si>
    <t>Gray Team (Home)</t>
  </si>
  <si>
    <t>Timeouts Used:</t>
  </si>
  <si>
    <t>1st half</t>
  </si>
  <si>
    <t>2nd half</t>
  </si>
  <si>
    <t>Black Team (Away)</t>
  </si>
  <si>
    <t>Team</t>
  </si>
  <si>
    <t>Helper</t>
  </si>
  <si>
    <t>Number</t>
  </si>
  <si>
    <t>Terrence</t>
  </si>
  <si>
    <t>Shaun</t>
  </si>
  <si>
    <t>Green</t>
  </si>
  <si>
    <t>Dwayne</t>
  </si>
  <si>
    <t>Brown</t>
  </si>
  <si>
    <t>Tre</t>
  </si>
  <si>
    <t>Smith</t>
  </si>
  <si>
    <t>Brekkott</t>
  </si>
  <si>
    <t>Chapman</t>
  </si>
  <si>
    <t>Ronnie</t>
  </si>
  <si>
    <t>Price</t>
  </si>
  <si>
    <t>Isaiah</t>
  </si>
  <si>
    <t>Wright</t>
  </si>
  <si>
    <t>Tim</t>
  </si>
  <si>
    <t>Dakarai</t>
  </si>
  <si>
    <t>Tucker</t>
  </si>
  <si>
    <t>AJ</t>
  </si>
  <si>
    <t>Hodges</t>
  </si>
  <si>
    <t>Makol</t>
  </si>
  <si>
    <t>Mawien</t>
  </si>
  <si>
    <t>Corbin</t>
  </si>
  <si>
    <t>Tone</t>
  </si>
  <si>
    <t>Anderson</t>
  </si>
  <si>
    <t>Charles</t>
  </si>
  <si>
    <t>Nunn</t>
  </si>
  <si>
    <t>Brandon</t>
  </si>
  <si>
    <t>Sly</t>
  </si>
  <si>
    <t>Duce</t>
  </si>
  <si>
    <t>Zaid</t>
  </si>
  <si>
    <t>Jaleel</t>
  </si>
  <si>
    <t>Rayjon</t>
  </si>
  <si>
    <t>Kentrell</t>
  </si>
  <si>
    <t>Barkley</t>
  </si>
  <si>
    <t>Dontay</t>
  </si>
  <si>
    <t>Bassett</t>
  </si>
  <si>
    <t>Kyndahl</t>
  </si>
  <si>
    <t>Hill</t>
  </si>
  <si>
    <t>Jordan</t>
  </si>
  <si>
    <t>Loveridge</t>
  </si>
  <si>
    <t>Thomas</t>
  </si>
  <si>
    <t>Bullock</t>
  </si>
  <si>
    <t>Brendan</t>
  </si>
  <si>
    <t>Morris</t>
  </si>
  <si>
    <t>Demarcus</t>
  </si>
  <si>
    <t>Harrison</t>
  </si>
  <si>
    <t>Marquis</t>
  </si>
  <si>
    <t>OShea</t>
  </si>
  <si>
    <t>Jaren</t>
  </si>
  <si>
    <t>McKnight</t>
  </si>
  <si>
    <t>Elijah</t>
  </si>
  <si>
    <t>Davy</t>
  </si>
  <si>
    <t>Jaxon</t>
  </si>
  <si>
    <t>Brenchley</t>
  </si>
  <si>
    <t>Jay</t>
  </si>
  <si>
    <t>Payne</t>
  </si>
  <si>
    <t>Jaden</t>
  </si>
  <si>
    <t>Vaughn</t>
  </si>
  <si>
    <t>Dason</t>
  </si>
  <si>
    <t>Youngblood</t>
  </si>
  <si>
    <t>Hunter</t>
  </si>
  <si>
    <t>Trevin</t>
  </si>
  <si>
    <t>Knell</t>
  </si>
  <si>
    <t>Hank</t>
  </si>
  <si>
    <t>Bushell</t>
  </si>
  <si>
    <t>Keon</t>
  </si>
  <si>
    <t>Burgout</t>
  </si>
  <si>
    <t>Kaleb</t>
  </si>
  <si>
    <t>Wilborn</t>
  </si>
  <si>
    <t>Dillon</t>
  </si>
  <si>
    <t>Jones</t>
  </si>
  <si>
    <t>Mark</t>
  </si>
  <si>
    <t>Burton</t>
  </si>
  <si>
    <t>Cole</t>
  </si>
  <si>
    <t>Kadoguchi</t>
  </si>
  <si>
    <t>Deng</t>
  </si>
  <si>
    <t>Mayar</t>
  </si>
  <si>
    <t>Zach</t>
  </si>
  <si>
    <t>Cassita</t>
  </si>
  <si>
    <t>Zues</t>
  </si>
  <si>
    <t>Martinez</t>
  </si>
  <si>
    <t>Dom</t>
  </si>
  <si>
    <t>Philip</t>
  </si>
  <si>
    <t>Gerad</t>
  </si>
  <si>
    <t>David</t>
  </si>
  <si>
    <t>Trigga</t>
  </si>
  <si>
    <t>Trei</t>
  </si>
  <si>
    <t>Lual</t>
  </si>
  <si>
    <t>Steven</t>
  </si>
  <si>
    <t>Adeyemi</t>
  </si>
  <si>
    <t>Both</t>
  </si>
  <si>
    <t>Gach</t>
  </si>
  <si>
    <t>Taylor</t>
  </si>
  <si>
    <t>Miller</t>
  </si>
  <si>
    <t>Quae</t>
  </si>
  <si>
    <t>Furlow</t>
  </si>
  <si>
    <t>Gazdik</t>
  </si>
  <si>
    <t>Cory</t>
  </si>
  <si>
    <t>Calvert</t>
  </si>
  <si>
    <t>Chris</t>
  </si>
  <si>
    <t>Seeley</t>
  </si>
  <si>
    <t>Kylor</t>
  </si>
  <si>
    <t>Kelley</t>
  </si>
  <si>
    <t>Erickson</t>
  </si>
  <si>
    <t>Sedrick</t>
  </si>
  <si>
    <t>Barefield</t>
  </si>
  <si>
    <t>Mckay</t>
  </si>
  <si>
    <t>Johnson</t>
  </si>
  <si>
    <t>Khalil</t>
  </si>
  <si>
    <t>Ahmad</t>
  </si>
  <si>
    <t>Payton</t>
  </si>
  <si>
    <t>John</t>
  </si>
  <si>
    <t>Bennett</t>
  </si>
  <si>
    <t>Caleb</t>
  </si>
  <si>
    <t>Lohner</t>
  </si>
  <si>
    <t>Johnny</t>
  </si>
  <si>
    <t>Dupre</t>
  </si>
  <si>
    <t>Marion</t>
  </si>
  <si>
    <t>Humphrey</t>
  </si>
  <si>
    <t>Festus</t>
  </si>
  <si>
    <t>Ndumanya</t>
  </si>
  <si>
    <t>00</t>
  </si>
  <si>
    <t>Christian</t>
  </si>
  <si>
    <t>Haffner</t>
  </si>
  <si>
    <t>Oscar</t>
  </si>
  <si>
    <t>Lopez</t>
  </si>
  <si>
    <t>Max</t>
  </si>
  <si>
    <t>Watson</t>
  </si>
  <si>
    <t>Quincy</t>
  </si>
  <si>
    <t>McGriff</t>
  </si>
  <si>
    <t>Nick</t>
  </si>
  <si>
    <t>Chase</t>
  </si>
  <si>
    <t>Adam</t>
  </si>
  <si>
    <t>Tanner</t>
  </si>
  <si>
    <t>Cuff</t>
  </si>
  <si>
    <t>Jackson</t>
  </si>
  <si>
    <t>Pollard</t>
  </si>
  <si>
    <t>Tyson</t>
  </si>
  <si>
    <t>Garff</t>
  </si>
  <si>
    <t>Brinson</t>
  </si>
  <si>
    <t>Neema</t>
  </si>
  <si>
    <t>Namdar</t>
  </si>
  <si>
    <t>Sam</t>
  </si>
  <si>
    <t>Velez</t>
  </si>
  <si>
    <t>Tyus</t>
  </si>
  <si>
    <t>Jefferson</t>
  </si>
  <si>
    <t>Frank</t>
  </si>
  <si>
    <t>Trey</t>
  </si>
  <si>
    <t>Kennedy</t>
  </si>
  <si>
    <t>Will</t>
  </si>
  <si>
    <t>Jael</t>
  </si>
  <si>
    <t>Fardaws</t>
  </si>
  <si>
    <t>Aimaq</t>
  </si>
  <si>
    <t>Yoeli</t>
  </si>
  <si>
    <t>Childs</t>
  </si>
  <si>
    <t>Nicholas</t>
  </si>
  <si>
    <t>Paulos</t>
  </si>
  <si>
    <t>Zac</t>
  </si>
  <si>
    <t>Seljaas</t>
  </si>
  <si>
    <t>Zahir</t>
  </si>
  <si>
    <t>Porter</t>
  </si>
  <si>
    <t>Averette</t>
  </si>
  <si>
    <t>Decardo</t>
  </si>
  <si>
    <t>Day</t>
  </si>
  <si>
    <t>Mogbo</t>
  </si>
  <si>
    <t>TJ</t>
  </si>
  <si>
    <t>James</t>
  </si>
  <si>
    <t>Michal</t>
  </si>
  <si>
    <t>Kozak</t>
  </si>
  <si>
    <t>Seena</t>
  </si>
  <si>
    <t>Chandler</t>
  </si>
  <si>
    <t>Dean</t>
  </si>
  <si>
    <t>Randolph</t>
  </si>
  <si>
    <t>CJ</t>
  </si>
  <si>
    <t>Rodriquez</t>
  </si>
  <si>
    <t>Roman</t>
  </si>
  <si>
    <t>Bailey</t>
  </si>
  <si>
    <t>Marcus</t>
  </si>
  <si>
    <t>Stefan</t>
  </si>
  <si>
    <t>Briggs</t>
  </si>
  <si>
    <t>Derrick</t>
  </si>
  <si>
    <t>Buys</t>
  </si>
  <si>
    <t>Kamich</t>
  </si>
  <si>
    <t>Duncan</t>
  </si>
  <si>
    <t>Reid</t>
  </si>
  <si>
    <t>Darrian</t>
  </si>
  <si>
    <t>Deonte</t>
  </si>
  <si>
    <t>Jarret</t>
  </si>
  <si>
    <t>Ousmaine</t>
  </si>
  <si>
    <t>Dia</t>
  </si>
  <si>
    <t>Orchard</t>
  </si>
  <si>
    <t>Merril</t>
  </si>
  <si>
    <t>Parker</t>
  </si>
  <si>
    <t>Van Dyke</t>
  </si>
  <si>
    <t>Riley</t>
  </si>
  <si>
    <t>Battin</t>
  </si>
  <si>
    <t>Danny</t>
  </si>
  <si>
    <t>Jalen</t>
  </si>
  <si>
    <t>Moore</t>
  </si>
  <si>
    <t>Peter</t>
  </si>
  <si>
    <t>Zavon</t>
  </si>
  <si>
    <t>Sean</t>
  </si>
  <si>
    <t>Harris</t>
  </si>
  <si>
    <t>Connor</t>
  </si>
  <si>
    <t>Nygren</t>
  </si>
  <si>
    <t>Conner</t>
  </si>
  <si>
    <t>Toolson</t>
  </si>
  <si>
    <t>Dalton</t>
  </si>
  <si>
    <t>Nixon</t>
  </si>
  <si>
    <t>Harding</t>
  </si>
  <si>
    <t>Colby</t>
  </si>
  <si>
    <t>Leifson</t>
  </si>
  <si>
    <t>Ibe</t>
  </si>
  <si>
    <t>Gerlach</t>
  </si>
  <si>
    <t>Trevor</t>
  </si>
  <si>
    <t>Thompson</t>
  </si>
  <si>
    <t>Evan</t>
  </si>
  <si>
    <t>Troy</t>
  </si>
  <si>
    <t>Steve</t>
  </si>
  <si>
    <t>Panos</t>
  </si>
  <si>
    <t>Walljasper</t>
  </si>
  <si>
    <t>Drew</t>
  </si>
  <si>
    <t>Lokeni</t>
  </si>
  <si>
    <t>Jeremy</t>
  </si>
  <si>
    <t>Dowdell</t>
  </si>
  <si>
    <t>Leonhardt</t>
  </si>
  <si>
    <t>Wil</t>
  </si>
  <si>
    <t>Carter</t>
  </si>
  <si>
    <t>Tony</t>
  </si>
  <si>
    <t>Quan</t>
  </si>
  <si>
    <t>Rylan</t>
  </si>
  <si>
    <t>Guest</t>
  </si>
  <si>
    <t>Ian</t>
  </si>
  <si>
    <t>Clark</t>
  </si>
  <si>
    <t>Hayes</t>
  </si>
  <si>
    <t>Raul</t>
  </si>
  <si>
    <t>Neto</t>
  </si>
  <si>
    <t>Royce</t>
  </si>
  <si>
    <t>ONeal</t>
  </si>
  <si>
    <t>Vai</t>
  </si>
  <si>
    <t>Zeus</t>
  </si>
  <si>
    <t>Aubrey</t>
  </si>
  <si>
    <t>Brekott</t>
  </si>
  <si>
    <t>Bryant</t>
  </si>
  <si>
    <t>Markson</t>
  </si>
  <si>
    <t>Jared</t>
  </si>
  <si>
    <t>Butler</t>
  </si>
  <si>
    <t>Blaze</t>
  </si>
  <si>
    <t>Nield</t>
  </si>
  <si>
    <t>Davis</t>
  </si>
  <si>
    <t>Farrer</t>
  </si>
  <si>
    <t>Bartzin</t>
  </si>
  <si>
    <t>Boban</t>
  </si>
  <si>
    <t>Nic</t>
  </si>
  <si>
    <t>Kur</t>
  </si>
  <si>
    <t>Kuath</t>
  </si>
  <si>
    <t>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</si>
</sst>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2"/>
      <color theme="1"/>
      <name val="Calibri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</font>
    <font>
      <sz val="12"/>
      <color theme="1"/>
      <name val="Calibri"/>
      <family val="2"/>
      <scheme val="minor"/>
    </font>
    <font>
      <sz val="12"/>
      <color theme="1"/>
      <name val="Calibri"/>
      <family val="2"/>
    </font>
    <font>
      <i/>
      <sz val="12"/>
      <color theme="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E2EFD9"/>
        <bgColor rgb="FFE2EFD9"/>
      </patternFill>
    </fill>
  </fills>
  <borders count="3"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21">
    <xf numFmtId="0" fontId="0" fillId="0" borderId="0" xfId="0" applyFont="1" applyAlignment="1"/>
    <xf numFmtId="0" fontId="2" fillId="0" borderId="0" xfId="0" applyFont="1"/>
    <xf numFmtId="0" fontId="3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left" vertical="center"/>
    </xf>
    <xf numFmtId="0" fontId="5" fillId="0" borderId="0" xfId="0" applyFont="1"/>
    <xf numFmtId="0" fontId="5" fillId="0" borderId="0" xfId="0" applyFont="1" applyAlignment="1"/>
    <xf numFmtId="0" fontId="4" fillId="2" borderId="1" xfId="0" applyFont="1" applyFill="1" applyBorder="1" applyAlignment="1"/>
    <xf numFmtId="0" fontId="4" fillId="2" borderId="2" xfId="0" applyFont="1" applyFill="1" applyBorder="1" applyAlignment="1"/>
    <xf numFmtId="0" fontId="4" fillId="2" borderId="2" xfId="0" applyFont="1" applyFill="1" applyBorder="1" applyAlignment="1">
      <alignment horizontal="right"/>
    </xf>
    <xf numFmtId="0" fontId="4" fillId="2" borderId="1" xfId="0" applyFont="1" applyFill="1" applyBorder="1"/>
    <xf numFmtId="0" fontId="4" fillId="2" borderId="1" xfId="0" applyFont="1" applyFill="1" applyBorder="1" applyAlignment="1"/>
    <xf numFmtId="0" fontId="4" fillId="0" borderId="0" xfId="0" applyFont="1"/>
    <xf numFmtId="0" fontId="4" fillId="0" borderId="2" xfId="0" applyFont="1" applyBorder="1" applyAlignment="1"/>
    <xf numFmtId="0" fontId="4" fillId="0" borderId="2" xfId="0" applyFont="1" applyBorder="1" applyAlignment="1">
      <alignment horizontal="right"/>
    </xf>
    <xf numFmtId="0" fontId="4" fillId="0" borderId="0" xfId="0" applyFont="1" applyAlignment="1"/>
    <xf numFmtId="0" fontId="4" fillId="2" borderId="2" xfId="0" applyFont="1" applyFill="1" applyBorder="1" applyAlignment="1">
      <alignment horizontal="right"/>
    </xf>
    <xf numFmtId="0" fontId="4" fillId="0" borderId="2" xfId="0" applyFont="1" applyBorder="1" applyAlignment="1">
      <alignment horizontal="right"/>
    </xf>
    <xf numFmtId="0" fontId="3" fillId="0" borderId="0" xfId="0" applyFont="1" applyAlignment="1"/>
    <xf numFmtId="0" fontId="4" fillId="0" borderId="0" xfId="0" quotePrefix="1" applyFont="1" applyAlignment="1">
      <alignment horizontal="right"/>
    </xf>
    <xf numFmtId="0" fontId="1" fillId="0" borderId="0" xfId="0" applyFont="1"/>
  </cellXfs>
  <cellStyles count="1">
    <cellStyle name="Normal" xfId="0" builtinId="0"/>
  </cellStyles>
  <dxfs count="2"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customschemas.google.com/relationships/workbookmetadata" Target="metadata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L1000"/>
  <sheetViews>
    <sheetView tabSelected="1" workbookViewId="0">
      <selection activeCell="G16" sqref="G16"/>
    </sheetView>
  </sheetViews>
  <sheetFormatPr baseColWidth="10" defaultColWidth="11.1640625" defaultRowHeight="15" customHeight="1" x14ac:dyDescent="0.2"/>
  <cols>
    <col min="1" max="1" width="3.1640625" customWidth="1"/>
    <col min="2" max="2" width="10.5" customWidth="1"/>
    <col min="3" max="3" width="2.83203125" customWidth="1"/>
    <col min="4" max="4" width="10.5" customWidth="1"/>
    <col min="5" max="5" width="3.5" customWidth="1"/>
    <col min="6" max="7" width="10.5" customWidth="1"/>
    <col min="8" max="8" width="5.83203125" customWidth="1"/>
    <col min="9" max="26" width="10.5" customWidth="1"/>
  </cols>
  <sheetData>
    <row r="1" spans="2:12" ht="15.75" customHeight="1" x14ac:dyDescent="0.2">
      <c r="B1" s="1" t="s">
        <v>0</v>
      </c>
      <c r="F1" s="2" t="s">
        <v>1</v>
      </c>
      <c r="G1" s="2" t="str">
        <f>'Stats G2'!B3</f>
        <v>Drisdom</v>
      </c>
    </row>
    <row r="2" spans="2:12" ht="15.75" customHeight="1" x14ac:dyDescent="0.2">
      <c r="B2" s="2" t="str">
        <f>G1</f>
        <v>Drisdom</v>
      </c>
      <c r="D2" s="2" t="str">
        <f>G20</f>
        <v>Joyce</v>
      </c>
      <c r="F2" s="2" t="s">
        <v>2</v>
      </c>
      <c r="G2" s="2" t="s">
        <v>3</v>
      </c>
      <c r="H2" s="2" t="s">
        <v>4</v>
      </c>
      <c r="I2" s="2" t="s">
        <v>5</v>
      </c>
      <c r="J2" s="2" t="s">
        <v>6</v>
      </c>
      <c r="K2" s="2" t="s">
        <v>7</v>
      </c>
      <c r="L2" s="2" t="s">
        <v>8</v>
      </c>
    </row>
    <row r="3" spans="2:12" ht="15.75" customHeight="1" x14ac:dyDescent="0.2">
      <c r="B3" s="2">
        <f>I18</f>
        <v>16</v>
      </c>
      <c r="C3" s="3" t="s">
        <v>9</v>
      </c>
      <c r="D3" s="4">
        <f>J37</f>
        <v>13</v>
      </c>
      <c r="F3" s="2" t="str">
        <f>'Stats G2'!A5</f>
        <v>Vai</v>
      </c>
      <c r="G3" s="2" t="str">
        <f>'Stats G2'!B5</f>
        <v>Harris</v>
      </c>
      <c r="H3" s="2">
        <f>'Stats G2'!C5</f>
        <v>4</v>
      </c>
      <c r="I3" s="2">
        <f>'Stats G2'!E5</f>
        <v>3</v>
      </c>
      <c r="J3" s="2">
        <f>'Stats G2'!H5</f>
        <v>0</v>
      </c>
      <c r="K3" s="2">
        <f>'Stats G2'!K5</f>
        <v>0</v>
      </c>
    </row>
    <row r="4" spans="2:12" ht="15.75" customHeight="1" x14ac:dyDescent="0.2">
      <c r="F4" s="2" t="str">
        <f>'Stats G2'!A6</f>
        <v>Aubrey</v>
      </c>
      <c r="G4" s="2" t="str">
        <f>'Stats G2'!B6</f>
        <v>Hodges</v>
      </c>
      <c r="H4" s="2">
        <f>'Stats G2'!C6</f>
        <v>5</v>
      </c>
      <c r="I4" s="2">
        <f>'Stats G2'!E6</f>
        <v>0</v>
      </c>
      <c r="J4" s="2">
        <f>'Stats G2'!H6</f>
        <v>2</v>
      </c>
      <c r="K4" s="2">
        <f>'Stats G2'!K6</f>
        <v>0</v>
      </c>
    </row>
    <row r="5" spans="2:12" ht="15.75" customHeight="1" x14ac:dyDescent="0.2">
      <c r="F5" s="2" t="str">
        <f>'Stats G2'!A7</f>
        <v>Brekott</v>
      </c>
      <c r="G5" s="2" t="str">
        <f>'Stats G2'!B7</f>
        <v>Chapman</v>
      </c>
      <c r="H5" s="2">
        <f>'Stats G2'!C7</f>
        <v>6</v>
      </c>
      <c r="I5" s="2">
        <f>'Stats G2'!E7</f>
        <v>0</v>
      </c>
      <c r="J5" s="2">
        <f>'Stats G2'!H7</f>
        <v>0</v>
      </c>
      <c r="K5" s="2">
        <f>'Stats G2'!K7</f>
        <v>0</v>
      </c>
    </row>
    <row r="6" spans="2:12" ht="15.75" customHeight="1" x14ac:dyDescent="0.2">
      <c r="F6" s="2" t="str">
        <f>'Stats G2'!A8</f>
        <v>Corbin</v>
      </c>
      <c r="G6" s="2" t="str">
        <f>'Stats G2'!B8</f>
        <v>Green</v>
      </c>
      <c r="H6" s="2">
        <f>'Stats G2'!C8</f>
        <v>7</v>
      </c>
      <c r="I6" s="2">
        <f>'Stats G2'!E8</f>
        <v>0</v>
      </c>
      <c r="J6" s="2">
        <f>'Stats G2'!H8</f>
        <v>2</v>
      </c>
      <c r="K6" s="2">
        <f>'Stats G2'!K8</f>
        <v>0</v>
      </c>
    </row>
    <row r="7" spans="2:12" ht="15.75" customHeight="1" x14ac:dyDescent="0.2">
      <c r="F7" s="2" t="str">
        <f>'Stats G2'!A9</f>
        <v>Zeus</v>
      </c>
      <c r="G7" s="2" t="str">
        <f>'Stats G2'!B9</f>
        <v>Martinez</v>
      </c>
      <c r="H7" s="2">
        <f>'Stats G2'!C9</f>
        <v>1</v>
      </c>
      <c r="I7" s="2">
        <f>'Stats G2'!E9</f>
        <v>2</v>
      </c>
      <c r="J7" s="2">
        <f>'Stats G2'!H9</f>
        <v>0</v>
      </c>
      <c r="K7" s="2">
        <f>'Stats G2'!K9</f>
        <v>0</v>
      </c>
    </row>
    <row r="8" spans="2:12" ht="15.75" customHeight="1" x14ac:dyDescent="0.2">
      <c r="F8" s="2" t="str">
        <f>'Stats G2'!A10</f>
        <v>Tre</v>
      </c>
      <c r="G8" s="2" t="str">
        <f>'Stats G2'!B10</f>
        <v>Smith</v>
      </c>
      <c r="H8" s="2">
        <f>'Stats G2'!C10</f>
        <v>3</v>
      </c>
      <c r="I8" s="2">
        <f>'Stats G2'!E10</f>
        <v>2</v>
      </c>
      <c r="J8" s="2">
        <f>'Stats G2'!H10</f>
        <v>0</v>
      </c>
      <c r="K8" s="2">
        <f>'Stats G2'!K10</f>
        <v>0</v>
      </c>
    </row>
    <row r="9" spans="2:12" ht="15.75" customHeight="1" x14ac:dyDescent="0.2">
      <c r="F9" s="20" t="s">
        <v>288</v>
      </c>
      <c r="G9" s="20" t="s">
        <v>288</v>
      </c>
      <c r="H9" s="2">
        <v>0</v>
      </c>
      <c r="I9" s="2">
        <f>'Stats G2'!E11</f>
        <v>0</v>
      </c>
      <c r="J9" s="2">
        <f>'Stats G2'!H11</f>
        <v>0</v>
      </c>
      <c r="K9" s="2">
        <f>'Stats G2'!K11</f>
        <v>0</v>
      </c>
    </row>
    <row r="10" spans="2:12" ht="15.75" customHeight="1" x14ac:dyDescent="0.2">
      <c r="F10" s="2" t="str">
        <f>'Stats G2'!A12</f>
        <v>Bryant</v>
      </c>
      <c r="G10" s="2" t="str">
        <f>'Stats G2'!B12</f>
        <v>Markson</v>
      </c>
      <c r="H10" s="2">
        <f>'Stats G2'!C12</f>
        <v>20</v>
      </c>
      <c r="I10" s="2">
        <f>'Stats G2'!E12</f>
        <v>1</v>
      </c>
      <c r="J10" s="2">
        <f>'Stats G2'!H12</f>
        <v>0</v>
      </c>
      <c r="K10" s="2">
        <f>'Stats G2'!K12</f>
        <v>2</v>
      </c>
    </row>
    <row r="11" spans="2:12" ht="15.75" customHeight="1" x14ac:dyDescent="0.2">
      <c r="F11" s="2" t="str">
        <f>'Stats G2'!A13</f>
        <v>Shaun</v>
      </c>
      <c r="G11" s="2" t="str">
        <f>'Stats G2'!B13</f>
        <v>Green</v>
      </c>
      <c r="H11" s="2">
        <f>'Stats G2'!C13</f>
        <v>13</v>
      </c>
      <c r="I11" s="2">
        <f>'Stats G2'!E13</f>
        <v>0</v>
      </c>
      <c r="J11" s="2">
        <f>'Stats G2'!H13</f>
        <v>0</v>
      </c>
      <c r="K11" s="2">
        <f>'Stats G2'!K13</f>
        <v>0</v>
      </c>
    </row>
    <row r="12" spans="2:12" ht="15.75" customHeight="1" x14ac:dyDescent="0.2">
      <c r="F12" s="2" t="str">
        <f>'Stats G2'!A14</f>
        <v>Tim</v>
      </c>
      <c r="G12" s="2" t="str">
        <f>'Stats G2'!B14</f>
        <v>Drisdom</v>
      </c>
      <c r="H12" s="2">
        <f>'Stats G2'!C14</f>
        <v>11</v>
      </c>
      <c r="I12" s="2">
        <f>'Stats G2'!E14</f>
        <v>4</v>
      </c>
      <c r="J12" s="2">
        <f>'Stats G2'!H14</f>
        <v>3</v>
      </c>
      <c r="K12" s="2">
        <f>'Stats G2'!K14</f>
        <v>0</v>
      </c>
    </row>
    <row r="13" spans="2:12" ht="15.75" customHeight="1" x14ac:dyDescent="0.2">
      <c r="F13" s="20" t="s">
        <v>288</v>
      </c>
      <c r="G13" s="20" t="s">
        <v>288</v>
      </c>
      <c r="H13" s="2">
        <v>0</v>
      </c>
      <c r="I13" s="2">
        <f>'Stats G2'!E15</f>
        <v>0</v>
      </c>
      <c r="J13" s="2">
        <f>'Stats G2'!H15</f>
        <v>0</v>
      </c>
      <c r="K13" s="2">
        <f>'Stats G2'!K15</f>
        <v>0</v>
      </c>
    </row>
    <row r="14" spans="2:12" ht="15.75" customHeight="1" x14ac:dyDescent="0.2">
      <c r="F14" s="20" t="s">
        <v>288</v>
      </c>
      <c r="G14" s="20" t="s">
        <v>288</v>
      </c>
      <c r="H14" s="2">
        <v>0</v>
      </c>
      <c r="I14" s="2">
        <f>'Stats G2'!E16</f>
        <v>0</v>
      </c>
      <c r="J14" s="2">
        <f>'Stats G2'!H16</f>
        <v>0</v>
      </c>
      <c r="K14" s="2">
        <f>'Stats G2'!K16</f>
        <v>0</v>
      </c>
    </row>
    <row r="15" spans="2:12" ht="15.75" customHeight="1" x14ac:dyDescent="0.2">
      <c r="F15" s="2" t="str">
        <f>'Stats G2'!A17</f>
        <v>Terrence</v>
      </c>
      <c r="G15" s="2" t="str">
        <f>'Stats G2'!B17</f>
        <v>Drisdom</v>
      </c>
      <c r="H15" s="2">
        <f>'Stats G2'!C17</f>
        <v>2</v>
      </c>
      <c r="I15" s="2">
        <f>'Stats G2'!E17</f>
        <v>0</v>
      </c>
      <c r="J15" s="2">
        <f>'Stats G2'!H17</f>
        <v>0</v>
      </c>
      <c r="K15" s="2">
        <f>'Stats G2'!K17</f>
        <v>0</v>
      </c>
    </row>
    <row r="16" spans="2:12" ht="15.75" customHeight="1" x14ac:dyDescent="0.2">
      <c r="F16" s="2" t="str">
        <f>'Stats G2'!A18</f>
        <v>Jared</v>
      </c>
      <c r="G16" s="2" t="str">
        <f>'Stats G2'!B18</f>
        <v>Butler</v>
      </c>
      <c r="H16" s="2">
        <f>'Stats G2'!C18</f>
        <v>0</v>
      </c>
      <c r="I16" s="2">
        <f>'Stats G2'!E18</f>
        <v>0</v>
      </c>
      <c r="J16" s="2">
        <f>'Stats G2'!H18</f>
        <v>0</v>
      </c>
      <c r="K16" s="2">
        <f>'Stats G2'!K18</f>
        <v>0</v>
      </c>
    </row>
    <row r="17" spans="6:12" ht="15.75" customHeight="1" x14ac:dyDescent="0.2">
      <c r="F17" s="2" t="str">
        <f>'Stats G2'!A19</f>
        <v>Dwayne</v>
      </c>
      <c r="G17" s="2" t="str">
        <f>'Stats G2'!B19</f>
        <v>Brown</v>
      </c>
      <c r="H17" s="2">
        <f>'Stats G2'!C19</f>
        <v>8</v>
      </c>
      <c r="I17" s="2">
        <f>'Stats G2'!E19</f>
        <v>4</v>
      </c>
      <c r="J17" s="2">
        <f>'Stats G2'!H19</f>
        <v>4</v>
      </c>
      <c r="K17" s="2">
        <f>'Stats G2'!K19</f>
        <v>1</v>
      </c>
    </row>
    <row r="18" spans="6:12" ht="15.75" customHeight="1" x14ac:dyDescent="0.2">
      <c r="H18" s="1" t="s">
        <v>10</v>
      </c>
      <c r="I18" s="2">
        <f t="shared" ref="I18:K18" si="0">SUM(I3:I17)</f>
        <v>16</v>
      </c>
      <c r="J18" s="2">
        <f t="shared" si="0"/>
        <v>11</v>
      </c>
      <c r="K18" s="2">
        <f t="shared" si="0"/>
        <v>3</v>
      </c>
      <c r="L18" s="2">
        <v>3</v>
      </c>
    </row>
    <row r="19" spans="6:12" ht="15.75" customHeight="1" x14ac:dyDescent="0.2"/>
    <row r="20" spans="6:12" ht="15.75" customHeight="1" x14ac:dyDescent="0.2">
      <c r="F20" s="2" t="s">
        <v>11</v>
      </c>
      <c r="G20" s="2" t="str">
        <f>'Stats G2'!B21</f>
        <v>Joyce</v>
      </c>
    </row>
    <row r="21" spans="6:12" ht="15.75" customHeight="1" x14ac:dyDescent="0.2">
      <c r="F21" s="2" t="s">
        <v>2</v>
      </c>
      <c r="G21" s="2" t="s">
        <v>3</v>
      </c>
      <c r="H21" s="2" t="s">
        <v>4</v>
      </c>
      <c r="I21" s="2" t="s">
        <v>5</v>
      </c>
      <c r="J21" s="2" t="s">
        <v>6</v>
      </c>
      <c r="K21" s="2" t="s">
        <v>7</v>
      </c>
      <c r="L21" s="2" t="s">
        <v>8</v>
      </c>
    </row>
    <row r="22" spans="6:12" ht="15.75" customHeight="1" x14ac:dyDescent="0.2">
      <c r="F22" s="2" t="str">
        <f>'Stats G2'!A23</f>
        <v>Neema</v>
      </c>
      <c r="G22" s="2" t="str">
        <f>'Stats G2'!B23</f>
        <v>Namdar</v>
      </c>
      <c r="H22" s="2">
        <f>'Stats G2'!C23</f>
        <v>0</v>
      </c>
      <c r="I22" s="2">
        <f>'Stats G2'!E23</f>
        <v>10</v>
      </c>
      <c r="J22" s="2">
        <f>'Stats G2'!H23</f>
        <v>2</v>
      </c>
      <c r="K22" s="2">
        <f>'Stats G2'!K23</f>
        <v>0</v>
      </c>
    </row>
    <row r="23" spans="6:12" ht="15.75" customHeight="1" x14ac:dyDescent="0.2">
      <c r="F23" s="2" t="str">
        <f>'Stats G2'!A24</f>
        <v>Sam</v>
      </c>
      <c r="G23" s="2" t="str">
        <f>'Stats G2'!B24</f>
        <v>Velez</v>
      </c>
      <c r="H23" s="2">
        <f>'Stats G2'!C24</f>
        <v>1</v>
      </c>
      <c r="I23" s="2">
        <f>'Stats G2'!E24</f>
        <v>1</v>
      </c>
      <c r="J23" s="2">
        <f>'Stats G2'!H24</f>
        <v>0</v>
      </c>
      <c r="K23" s="2">
        <f>'Stats G2'!K24</f>
        <v>0</v>
      </c>
    </row>
    <row r="24" spans="6:12" ht="15.75" customHeight="1" x14ac:dyDescent="0.2">
      <c r="F24" s="2" t="str">
        <f>'Stats G2'!A25</f>
        <v>Blaze</v>
      </c>
      <c r="G24" s="2" t="str">
        <f>'Stats G2'!B25</f>
        <v>Nield</v>
      </c>
      <c r="H24" s="2">
        <f>'Stats G2'!C25</f>
        <v>3</v>
      </c>
      <c r="I24" s="2">
        <f>'Stats G2'!E25</f>
        <v>6</v>
      </c>
      <c r="J24" s="2">
        <f>'Stats G2'!H25</f>
        <v>4</v>
      </c>
      <c r="K24" s="2">
        <f>'Stats G2'!K25</f>
        <v>0</v>
      </c>
    </row>
    <row r="25" spans="6:12" ht="15.75" customHeight="1" x14ac:dyDescent="0.2">
      <c r="F25" s="20" t="s">
        <v>288</v>
      </c>
      <c r="G25" s="20" t="s">
        <v>288</v>
      </c>
      <c r="H25" s="2">
        <v>0</v>
      </c>
      <c r="I25" s="2">
        <f>'Stats G2'!E26</f>
        <v>0</v>
      </c>
      <c r="J25" s="2">
        <f>'Stats G2'!H26</f>
        <v>0</v>
      </c>
      <c r="K25" s="2">
        <f>'Stats G2'!K26</f>
        <v>0</v>
      </c>
    </row>
    <row r="26" spans="6:12" ht="15.75" customHeight="1" x14ac:dyDescent="0.2">
      <c r="F26" s="2" t="str">
        <f>'Stats G2'!A27</f>
        <v>Gerad</v>
      </c>
      <c r="G26" s="2" t="str">
        <f>'Stats G2'!B27</f>
        <v>Davis</v>
      </c>
      <c r="H26" s="2">
        <f>'Stats G2'!C27</f>
        <v>10</v>
      </c>
      <c r="I26" s="2">
        <f>'Stats G2'!E27</f>
        <v>0</v>
      </c>
      <c r="J26" s="2">
        <f>'Stats G2'!H27</f>
        <v>0</v>
      </c>
      <c r="K26" s="2">
        <f>'Stats G2'!K27</f>
        <v>0</v>
      </c>
    </row>
    <row r="27" spans="6:12" ht="15.75" customHeight="1" x14ac:dyDescent="0.2">
      <c r="F27" s="2" t="str">
        <f>'Stats G2'!A28</f>
        <v>Connor</v>
      </c>
      <c r="G27" s="2" t="str">
        <f>'Stats G2'!B28</f>
        <v>Harding</v>
      </c>
      <c r="H27" s="2">
        <f>'Stats G2'!C28</f>
        <v>11</v>
      </c>
      <c r="I27" s="2">
        <f>'Stats G2'!E28</f>
        <v>0</v>
      </c>
      <c r="J27" s="2">
        <f>'Stats G2'!H28</f>
        <v>1</v>
      </c>
      <c r="K27" s="2">
        <f>'Stats G2'!K28</f>
        <v>1</v>
      </c>
    </row>
    <row r="28" spans="6:12" ht="15.75" customHeight="1" x14ac:dyDescent="0.2">
      <c r="F28" s="20" t="s">
        <v>288</v>
      </c>
      <c r="G28" s="20" t="s">
        <v>288</v>
      </c>
      <c r="H28" s="2">
        <v>0</v>
      </c>
      <c r="I28" s="2">
        <f>'Stats G2'!E29</f>
        <v>0</v>
      </c>
      <c r="J28" s="2">
        <f>'Stats G2'!H29</f>
        <v>0</v>
      </c>
      <c r="K28" s="2">
        <f>'Stats G2'!K29</f>
        <v>0</v>
      </c>
    </row>
    <row r="29" spans="6:12" ht="15.75" customHeight="1" x14ac:dyDescent="0.2">
      <c r="F29" s="2" t="str">
        <f>'Stats G2'!A30</f>
        <v>Trey</v>
      </c>
      <c r="G29" s="2" t="str">
        <f>'Stats G2'!B30</f>
        <v>Farrer</v>
      </c>
      <c r="H29" s="2">
        <f>'Stats G2'!C30</f>
        <v>21</v>
      </c>
      <c r="I29" s="2">
        <f>'Stats G2'!E30</f>
        <v>1</v>
      </c>
      <c r="J29" s="2">
        <f>'Stats G2'!H30</f>
        <v>2</v>
      </c>
      <c r="K29" s="2">
        <f>'Stats G2'!K30</f>
        <v>1</v>
      </c>
    </row>
    <row r="30" spans="6:12" ht="15.75" customHeight="1" x14ac:dyDescent="0.2">
      <c r="F30" s="2" t="str">
        <f>'Stats G2'!A31</f>
        <v>Yoeli</v>
      </c>
      <c r="G30" s="2" t="str">
        <f>'Stats G2'!B31</f>
        <v>Childs</v>
      </c>
      <c r="H30" s="2">
        <f>'Stats G2'!C31</f>
        <v>23</v>
      </c>
      <c r="I30" s="2">
        <f>'Stats G2'!E31</f>
        <v>3</v>
      </c>
      <c r="J30" s="2">
        <f>'Stats G2'!H31</f>
        <v>0</v>
      </c>
      <c r="K30" s="2">
        <f>'Stats G2'!K31</f>
        <v>0</v>
      </c>
    </row>
    <row r="31" spans="6:12" ht="15.75" customHeight="1" x14ac:dyDescent="0.2">
      <c r="F31" s="2" t="str">
        <f>'Stats G2'!A32</f>
        <v>Nic</v>
      </c>
      <c r="G31" s="2" t="str">
        <f>'Stats G2'!B32</f>
        <v>Paulos</v>
      </c>
      <c r="H31" s="2">
        <f>'Stats G2'!C32</f>
        <v>31</v>
      </c>
      <c r="I31" s="2">
        <f>'Stats G2'!E32</f>
        <v>0</v>
      </c>
      <c r="J31" s="2">
        <f>'Stats G2'!H32</f>
        <v>2</v>
      </c>
      <c r="K31" s="2">
        <f>'Stats G2'!K32</f>
        <v>0</v>
      </c>
    </row>
    <row r="32" spans="6:12" ht="15.75" customHeight="1" x14ac:dyDescent="0.2">
      <c r="F32" s="20" t="s">
        <v>288</v>
      </c>
      <c r="G32" s="20" t="s">
        <v>288</v>
      </c>
      <c r="H32" s="2">
        <v>0</v>
      </c>
      <c r="I32" s="2">
        <f>'Stats G2'!E33</f>
        <v>0</v>
      </c>
      <c r="J32" s="2">
        <f>'Stats G2'!H33</f>
        <v>0</v>
      </c>
      <c r="K32" s="2">
        <f>'Stats G2'!K33</f>
        <v>0</v>
      </c>
    </row>
    <row r="33" spans="6:12" ht="15.75" customHeight="1" x14ac:dyDescent="0.2">
      <c r="F33" s="2" t="str">
        <f>'Stats G2'!A34</f>
        <v>Kur</v>
      </c>
      <c r="G33" s="2" t="str">
        <f>'Stats G2'!B34</f>
        <v>Kuath</v>
      </c>
      <c r="H33" s="2">
        <f>'Stats G2'!C34</f>
        <v>34</v>
      </c>
      <c r="I33" s="2">
        <f>'Stats G2'!E34</f>
        <v>4</v>
      </c>
      <c r="J33" s="2">
        <f>'Stats G2'!H34</f>
        <v>1</v>
      </c>
      <c r="K33" s="2">
        <f>'Stats G2'!K34</f>
        <v>2</v>
      </c>
    </row>
    <row r="34" spans="6:12" ht="15.75" customHeight="1" x14ac:dyDescent="0.2">
      <c r="F34" s="2" t="str">
        <f>'Stats G2'!A35</f>
        <v>Evan</v>
      </c>
      <c r="G34" s="2" t="str">
        <f>'Stats G2'!B35</f>
        <v>Troy</v>
      </c>
      <c r="H34" s="2">
        <f>'Stats G2'!C35</f>
        <v>24</v>
      </c>
      <c r="I34" s="2">
        <f>'Stats G2'!E35</f>
        <v>1</v>
      </c>
      <c r="J34" s="2">
        <f>'Stats G2'!H35</f>
        <v>1</v>
      </c>
      <c r="K34" s="2">
        <f>'Stats G2'!K35</f>
        <v>1</v>
      </c>
    </row>
    <row r="35" spans="6:12" ht="15.75" customHeight="1" x14ac:dyDescent="0.2">
      <c r="F35" s="2" t="str">
        <f>'Stats G2'!A36</f>
        <v>Bartzin</v>
      </c>
      <c r="G35" s="2" t="str">
        <f>'Stats G2'!B36</f>
        <v>Boban</v>
      </c>
      <c r="H35" s="2">
        <f>'Stats G2'!C36</f>
        <v>25</v>
      </c>
      <c r="I35" s="2">
        <f>'Stats G2'!E36</f>
        <v>0</v>
      </c>
      <c r="J35" s="2">
        <f>'Stats G2'!H36</f>
        <v>0</v>
      </c>
      <c r="K35" s="2">
        <f>'Stats G2'!K36</f>
        <v>2</v>
      </c>
    </row>
    <row r="36" spans="6:12" ht="15.75" customHeight="1" x14ac:dyDescent="0.2">
      <c r="F36" s="20" t="s">
        <v>288</v>
      </c>
      <c r="G36" s="20" t="s">
        <v>288</v>
      </c>
      <c r="H36" s="2">
        <f>'Stats G2'!C37</f>
        <v>0</v>
      </c>
      <c r="I36" s="2">
        <f>'Stats G2'!E37</f>
        <v>0</v>
      </c>
      <c r="J36" s="2">
        <f>'Stats G2'!H37</f>
        <v>0</v>
      </c>
      <c r="K36" s="2">
        <f>'Stats G2'!K37</f>
        <v>0</v>
      </c>
    </row>
    <row r="37" spans="6:12" ht="15.75" customHeight="1" x14ac:dyDescent="0.2">
      <c r="H37" s="1" t="s">
        <v>10</v>
      </c>
      <c r="I37" s="2">
        <f t="shared" ref="I37:K37" si="1">SUM(I22:I36)</f>
        <v>26</v>
      </c>
      <c r="J37" s="2">
        <f t="shared" si="1"/>
        <v>13</v>
      </c>
      <c r="K37" s="2">
        <f t="shared" si="1"/>
        <v>7</v>
      </c>
      <c r="L37" s="2">
        <f>'Stats G2'!W23</f>
        <v>0</v>
      </c>
    </row>
    <row r="38" spans="6:12" ht="15.75" customHeight="1" x14ac:dyDescent="0.2"/>
    <row r="39" spans="6:12" ht="15.75" customHeight="1" x14ac:dyDescent="0.2"/>
    <row r="40" spans="6:12" ht="15.75" customHeight="1" x14ac:dyDescent="0.2"/>
    <row r="41" spans="6:12" ht="15.75" customHeight="1" x14ac:dyDescent="0.2"/>
    <row r="42" spans="6:12" ht="15.75" customHeight="1" x14ac:dyDescent="0.2"/>
    <row r="43" spans="6:12" ht="15.75" customHeight="1" x14ac:dyDescent="0.2"/>
    <row r="44" spans="6:12" ht="15.75" customHeight="1" x14ac:dyDescent="0.2"/>
    <row r="45" spans="6:12" ht="15.75" customHeight="1" x14ac:dyDescent="0.2"/>
    <row r="46" spans="6:12" ht="15.75" customHeight="1" x14ac:dyDescent="0.2"/>
    <row r="47" spans="6:12" ht="15.75" customHeight="1" x14ac:dyDescent="0.2"/>
    <row r="48" spans="6:12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conditionalFormatting sqref="B3">
    <cfRule type="cellIs" dxfId="1" priority="1" operator="greaterThan">
      <formula>$D$3</formula>
    </cfRule>
  </conditionalFormatting>
  <conditionalFormatting sqref="D3">
    <cfRule type="cellIs" dxfId="0" priority="2" operator="greaterThan">
      <formula>$B$3</formula>
    </cfRule>
  </conditionalFormatting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Z1000"/>
  <sheetViews>
    <sheetView topLeftCell="A3" workbookViewId="0">
      <selection activeCell="D21" sqref="D21"/>
    </sheetView>
  </sheetViews>
  <sheetFormatPr baseColWidth="10" defaultColWidth="11.1640625" defaultRowHeight="15" customHeight="1" x14ac:dyDescent="0.2"/>
  <cols>
    <col min="1" max="1" width="10.5" customWidth="1"/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1" width="5.33203125" customWidth="1"/>
    <col min="22" max="26" width="10.5" customWidth="1"/>
  </cols>
  <sheetData>
    <row r="1" spans="1:26" ht="15.75" hidden="1" customHeight="1" x14ac:dyDescent="0.2">
      <c r="A1" s="5" t="s">
        <v>12</v>
      </c>
      <c r="B1" s="2" t="s">
        <v>13</v>
      </c>
      <c r="C1" s="2" t="s">
        <v>14</v>
      </c>
      <c r="D1" s="2" t="s">
        <v>15</v>
      </c>
      <c r="E1" s="2" t="s">
        <v>16</v>
      </c>
      <c r="F1" s="2" t="s">
        <v>17</v>
      </c>
      <c r="G1" s="2" t="s">
        <v>18</v>
      </c>
      <c r="H1" s="2" t="s">
        <v>19</v>
      </c>
      <c r="I1" s="2" t="s">
        <v>20</v>
      </c>
      <c r="J1" s="2" t="s">
        <v>21</v>
      </c>
      <c r="K1" s="2" t="s">
        <v>22</v>
      </c>
      <c r="L1" s="2" t="s">
        <v>23</v>
      </c>
      <c r="M1" s="2" t="s">
        <v>24</v>
      </c>
    </row>
    <row r="2" spans="1:26" ht="15.75" hidden="1" customHeight="1" x14ac:dyDescent="0.2"/>
    <row r="3" spans="1:26" ht="15.75" customHeight="1" x14ac:dyDescent="0.2">
      <c r="A3" s="1" t="s">
        <v>25</v>
      </c>
      <c r="B3" s="6" t="s">
        <v>19</v>
      </c>
    </row>
    <row r="4" spans="1:26" ht="15.75" customHeight="1" x14ac:dyDescent="0.2">
      <c r="A4" s="2" t="s">
        <v>2</v>
      </c>
      <c r="B4" s="2" t="s">
        <v>3</v>
      </c>
      <c r="C4" s="2" t="s">
        <v>4</v>
      </c>
      <c r="E4" s="2" t="s">
        <v>5</v>
      </c>
      <c r="H4" s="2" t="s">
        <v>6</v>
      </c>
      <c r="K4" s="2" t="s">
        <v>7</v>
      </c>
    </row>
    <row r="5" spans="1:26" ht="15.75" customHeight="1" x14ac:dyDescent="0.2">
      <c r="A5" s="7" t="s">
        <v>271</v>
      </c>
      <c r="B5" s="8" t="s">
        <v>234</v>
      </c>
      <c r="C5" s="9">
        <v>4</v>
      </c>
      <c r="D5" s="10"/>
      <c r="E5" s="11">
        <v>3</v>
      </c>
      <c r="F5" s="10"/>
      <c r="G5" s="10"/>
      <c r="H5" s="10">
        <v>0</v>
      </c>
      <c r="I5" s="10"/>
      <c r="J5" s="10"/>
      <c r="K5" s="10">
        <v>0</v>
      </c>
      <c r="L5" s="10"/>
      <c r="M5" s="10"/>
      <c r="N5" s="10">
        <v>0</v>
      </c>
      <c r="O5" s="10"/>
      <c r="P5" s="10"/>
      <c r="Q5" s="10">
        <v>0</v>
      </c>
      <c r="R5" s="10"/>
      <c r="S5" s="10"/>
      <c r="T5" s="10">
        <v>0</v>
      </c>
      <c r="U5" s="10"/>
      <c r="V5" s="12" t="s">
        <v>26</v>
      </c>
      <c r="W5" s="12"/>
      <c r="X5" s="12"/>
      <c r="Y5" s="12"/>
      <c r="Z5" s="12"/>
    </row>
    <row r="6" spans="1:26" ht="15.75" customHeight="1" x14ac:dyDescent="0.2">
      <c r="A6" s="13" t="s">
        <v>273</v>
      </c>
      <c r="B6" s="13" t="s">
        <v>50</v>
      </c>
      <c r="C6" s="14">
        <v>5</v>
      </c>
      <c r="D6" s="12"/>
      <c r="E6" s="12">
        <v>0</v>
      </c>
      <c r="F6" s="12"/>
      <c r="G6" s="12"/>
      <c r="H6" s="15">
        <v>2</v>
      </c>
      <c r="I6" s="12"/>
      <c r="J6" s="12"/>
      <c r="K6" s="12">
        <v>0</v>
      </c>
      <c r="L6" s="12"/>
      <c r="M6" s="12"/>
      <c r="N6" s="12">
        <v>0</v>
      </c>
      <c r="O6" s="12"/>
      <c r="P6" s="12"/>
      <c r="Q6" s="12">
        <v>0</v>
      </c>
      <c r="R6" s="12"/>
      <c r="S6" s="12"/>
      <c r="T6" s="12">
        <v>0</v>
      </c>
      <c r="U6" s="12"/>
      <c r="V6" s="15" t="s">
        <v>27</v>
      </c>
      <c r="W6" s="12"/>
      <c r="X6" s="12"/>
      <c r="Y6" s="12"/>
      <c r="Z6" s="12"/>
    </row>
    <row r="7" spans="1:26" ht="15.75" customHeight="1" x14ac:dyDescent="0.2">
      <c r="A7" s="8" t="s">
        <v>274</v>
      </c>
      <c r="B7" s="8" t="s">
        <v>41</v>
      </c>
      <c r="C7" s="9">
        <v>6</v>
      </c>
      <c r="D7" s="10"/>
      <c r="E7" s="10">
        <v>0</v>
      </c>
      <c r="F7" s="10"/>
      <c r="G7" s="10"/>
      <c r="H7" s="10">
        <v>0</v>
      </c>
      <c r="I7" s="10"/>
      <c r="J7" s="10"/>
      <c r="K7" s="10">
        <v>0</v>
      </c>
      <c r="L7" s="10"/>
      <c r="M7" s="10"/>
      <c r="N7" s="10">
        <v>0</v>
      </c>
      <c r="O7" s="10"/>
      <c r="P7" s="10"/>
      <c r="Q7" s="10">
        <v>0</v>
      </c>
      <c r="R7" s="10"/>
      <c r="S7" s="10"/>
      <c r="T7" s="10">
        <v>0</v>
      </c>
      <c r="U7" s="10"/>
      <c r="V7" s="15">
        <v>1</v>
      </c>
      <c r="W7" s="12"/>
      <c r="X7" s="12"/>
      <c r="Y7" s="12"/>
      <c r="Z7" s="12"/>
    </row>
    <row r="8" spans="1:26" ht="15.75" customHeight="1" x14ac:dyDescent="0.2">
      <c r="A8" s="13" t="s">
        <v>53</v>
      </c>
      <c r="B8" s="13" t="s">
        <v>35</v>
      </c>
      <c r="C8" s="14">
        <v>7</v>
      </c>
      <c r="D8" s="12"/>
      <c r="E8" s="12">
        <v>0</v>
      </c>
      <c r="F8" s="12"/>
      <c r="G8" s="12"/>
      <c r="H8" s="15">
        <v>2</v>
      </c>
      <c r="I8" s="12"/>
      <c r="J8" s="12"/>
      <c r="K8" s="12">
        <v>0</v>
      </c>
      <c r="L8" s="12"/>
      <c r="M8" s="12"/>
      <c r="N8" s="12">
        <v>0</v>
      </c>
      <c r="O8" s="12"/>
      <c r="P8" s="12"/>
      <c r="Q8" s="12">
        <v>0</v>
      </c>
      <c r="R8" s="12"/>
      <c r="S8" s="12"/>
      <c r="T8" s="12">
        <v>0</v>
      </c>
      <c r="U8" s="12"/>
      <c r="V8" s="12"/>
      <c r="W8" s="12"/>
      <c r="X8" s="12"/>
      <c r="Y8" s="12"/>
      <c r="Z8" s="12"/>
    </row>
    <row r="9" spans="1:26" ht="15.75" customHeight="1" x14ac:dyDescent="0.2">
      <c r="A9" s="8" t="s">
        <v>272</v>
      </c>
      <c r="B9" s="8" t="s">
        <v>112</v>
      </c>
      <c r="C9" s="16">
        <v>1</v>
      </c>
      <c r="D9" s="10"/>
      <c r="E9" s="11">
        <v>2</v>
      </c>
      <c r="F9" s="10"/>
      <c r="G9" s="10"/>
      <c r="H9" s="10">
        <v>0</v>
      </c>
      <c r="I9" s="10"/>
      <c r="J9" s="10"/>
      <c r="K9" s="10">
        <v>0</v>
      </c>
      <c r="L9" s="10"/>
      <c r="M9" s="10"/>
      <c r="N9" s="10">
        <v>0</v>
      </c>
      <c r="O9" s="10"/>
      <c r="P9" s="10"/>
      <c r="Q9" s="10">
        <v>0</v>
      </c>
      <c r="R9" s="10"/>
      <c r="S9" s="10"/>
      <c r="T9" s="10">
        <v>0</v>
      </c>
      <c r="U9" s="10"/>
      <c r="V9" s="15" t="s">
        <v>28</v>
      </c>
      <c r="W9" s="12"/>
      <c r="X9" s="12"/>
      <c r="Y9" s="12"/>
      <c r="Z9" s="12"/>
    </row>
    <row r="10" spans="1:26" ht="15.75" customHeight="1" x14ac:dyDescent="0.2">
      <c r="A10" s="13" t="s">
        <v>38</v>
      </c>
      <c r="B10" s="13" t="s">
        <v>39</v>
      </c>
      <c r="C10" s="17">
        <v>3</v>
      </c>
      <c r="D10" s="12"/>
      <c r="E10" s="15">
        <v>2</v>
      </c>
      <c r="F10" s="12"/>
      <c r="G10" s="12"/>
      <c r="H10" s="12">
        <v>0</v>
      </c>
      <c r="I10" s="12"/>
      <c r="J10" s="12"/>
      <c r="K10" s="12">
        <v>0</v>
      </c>
      <c r="L10" s="12"/>
      <c r="M10" s="12"/>
      <c r="N10" s="12">
        <v>0</v>
      </c>
      <c r="O10" s="12"/>
      <c r="P10" s="12"/>
      <c r="Q10" s="12">
        <v>0</v>
      </c>
      <c r="R10" s="12"/>
      <c r="S10" s="12"/>
      <c r="T10" s="12">
        <v>0</v>
      </c>
      <c r="U10" s="12"/>
      <c r="V10" s="15">
        <v>2</v>
      </c>
      <c r="W10" s="12"/>
      <c r="X10" s="12"/>
      <c r="Y10" s="12"/>
      <c r="Z10" s="12"/>
    </row>
    <row r="11" spans="1:26" ht="15.75" customHeight="1" x14ac:dyDescent="0.2">
      <c r="A11" s="8"/>
      <c r="B11" s="8"/>
      <c r="C11" s="9">
        <v>17</v>
      </c>
      <c r="D11" s="10"/>
      <c r="E11" s="10">
        <v>0</v>
      </c>
      <c r="F11" s="10"/>
      <c r="G11" s="10"/>
      <c r="H11" s="10">
        <v>0</v>
      </c>
      <c r="I11" s="10"/>
      <c r="J11" s="10"/>
      <c r="K11" s="10">
        <v>0</v>
      </c>
      <c r="L11" s="10"/>
      <c r="M11" s="10"/>
      <c r="N11" s="10">
        <v>0</v>
      </c>
      <c r="O11" s="10"/>
      <c r="P11" s="10"/>
      <c r="Q11" s="10">
        <v>0</v>
      </c>
      <c r="R11" s="10"/>
      <c r="S11" s="10"/>
      <c r="T11" s="10">
        <v>0</v>
      </c>
      <c r="U11" s="10"/>
      <c r="V11" s="12"/>
      <c r="W11" s="12"/>
      <c r="X11" s="12"/>
      <c r="Y11" s="12"/>
      <c r="Z11" s="12"/>
    </row>
    <row r="12" spans="1:26" ht="15.75" customHeight="1" x14ac:dyDescent="0.2">
      <c r="A12" s="13" t="s">
        <v>275</v>
      </c>
      <c r="B12" s="13" t="s">
        <v>276</v>
      </c>
      <c r="C12" s="14">
        <v>20</v>
      </c>
      <c r="D12" s="12"/>
      <c r="E12" s="15">
        <v>1</v>
      </c>
      <c r="F12" s="12"/>
      <c r="G12" s="12"/>
      <c r="H12" s="12">
        <v>0</v>
      </c>
      <c r="I12" s="12"/>
      <c r="J12" s="12"/>
      <c r="K12" s="15">
        <v>2</v>
      </c>
      <c r="L12" s="12"/>
      <c r="M12" s="12"/>
      <c r="N12" s="12">
        <v>0</v>
      </c>
      <c r="O12" s="12"/>
      <c r="P12" s="12"/>
      <c r="Q12" s="12">
        <v>0</v>
      </c>
      <c r="R12" s="12"/>
      <c r="S12" s="12"/>
      <c r="T12" s="12">
        <v>0</v>
      </c>
      <c r="U12" s="12"/>
      <c r="V12" s="12"/>
      <c r="W12" s="12"/>
      <c r="X12" s="12"/>
      <c r="Y12" s="12"/>
      <c r="Z12" s="12"/>
    </row>
    <row r="13" spans="1:26" ht="15.75" customHeight="1" x14ac:dyDescent="0.2">
      <c r="A13" s="8" t="s">
        <v>34</v>
      </c>
      <c r="B13" s="8" t="s">
        <v>35</v>
      </c>
      <c r="C13" s="16">
        <v>13</v>
      </c>
      <c r="D13" s="10"/>
      <c r="E13" s="10">
        <v>0</v>
      </c>
      <c r="F13" s="10"/>
      <c r="G13" s="10"/>
      <c r="H13" s="10">
        <v>0</v>
      </c>
      <c r="I13" s="10"/>
      <c r="J13" s="10"/>
      <c r="K13" s="10">
        <v>0</v>
      </c>
      <c r="L13" s="10"/>
      <c r="M13" s="10"/>
      <c r="N13" s="10">
        <v>0</v>
      </c>
      <c r="O13" s="10"/>
      <c r="P13" s="10"/>
      <c r="Q13" s="10">
        <v>0</v>
      </c>
      <c r="R13" s="10"/>
      <c r="S13" s="10"/>
      <c r="T13" s="10">
        <v>0</v>
      </c>
      <c r="U13" s="10"/>
      <c r="V13" s="12"/>
      <c r="W13" s="12"/>
      <c r="X13" s="12"/>
      <c r="Y13" s="12"/>
      <c r="Z13" s="12"/>
    </row>
    <row r="14" spans="1:26" ht="15.75" customHeight="1" x14ac:dyDescent="0.2">
      <c r="A14" s="13" t="s">
        <v>46</v>
      </c>
      <c r="B14" s="13" t="s">
        <v>19</v>
      </c>
      <c r="C14" s="14">
        <v>11</v>
      </c>
      <c r="D14" s="12"/>
      <c r="E14" s="15">
        <v>4</v>
      </c>
      <c r="F14" s="12"/>
      <c r="G14" s="12"/>
      <c r="H14" s="15">
        <v>3</v>
      </c>
      <c r="I14" s="12"/>
      <c r="J14" s="12"/>
      <c r="K14" s="12">
        <v>0</v>
      </c>
      <c r="L14" s="12"/>
      <c r="M14" s="12"/>
      <c r="N14" s="12">
        <v>0</v>
      </c>
      <c r="O14" s="12"/>
      <c r="P14" s="12"/>
      <c r="Q14" s="12">
        <v>0</v>
      </c>
      <c r="R14" s="12"/>
      <c r="S14" s="12"/>
      <c r="T14" s="12">
        <v>0</v>
      </c>
      <c r="U14" s="12"/>
      <c r="V14" s="12"/>
      <c r="W14" s="12"/>
      <c r="X14" s="12"/>
      <c r="Y14" s="12"/>
      <c r="Z14" s="12"/>
    </row>
    <row r="15" spans="1:26" ht="15.75" customHeight="1" x14ac:dyDescent="0.2">
      <c r="A15" s="12"/>
      <c r="B15" s="12"/>
      <c r="C15" s="15">
        <v>98</v>
      </c>
      <c r="D15" s="10"/>
      <c r="E15" s="10">
        <v>0</v>
      </c>
      <c r="F15" s="10"/>
      <c r="G15" s="10"/>
      <c r="H15" s="10">
        <v>0</v>
      </c>
      <c r="I15" s="10"/>
      <c r="J15" s="10"/>
      <c r="K15" s="10">
        <v>0</v>
      </c>
      <c r="L15" s="10"/>
      <c r="M15" s="10"/>
      <c r="N15" s="10">
        <v>0</v>
      </c>
      <c r="O15" s="10"/>
      <c r="P15" s="10"/>
      <c r="Q15" s="10">
        <v>0</v>
      </c>
      <c r="R15" s="10"/>
      <c r="S15" s="10"/>
      <c r="T15" s="10">
        <v>0</v>
      </c>
      <c r="U15" s="10"/>
      <c r="V15" s="12"/>
      <c r="W15" s="12"/>
      <c r="X15" s="12"/>
      <c r="Y15" s="12"/>
      <c r="Z15" s="12"/>
    </row>
    <row r="16" spans="1:26" ht="15.75" customHeight="1" x14ac:dyDescent="0.2">
      <c r="C16" s="18">
        <v>10</v>
      </c>
      <c r="D16" s="12"/>
      <c r="E16" s="12">
        <v>0</v>
      </c>
      <c r="F16" s="12"/>
      <c r="G16" s="12"/>
      <c r="H16" s="12">
        <v>0</v>
      </c>
      <c r="I16" s="12"/>
      <c r="J16" s="12"/>
      <c r="K16" s="12">
        <v>0</v>
      </c>
      <c r="L16" s="12"/>
      <c r="M16" s="12"/>
      <c r="N16" s="12">
        <v>0</v>
      </c>
      <c r="O16" s="12"/>
      <c r="P16" s="12"/>
      <c r="Q16" s="12">
        <v>0</v>
      </c>
      <c r="R16" s="12"/>
      <c r="S16" s="12"/>
      <c r="T16" s="12">
        <v>0</v>
      </c>
      <c r="U16" s="12"/>
      <c r="V16" s="12"/>
      <c r="W16" s="12"/>
      <c r="X16" s="12"/>
      <c r="Y16" s="12"/>
      <c r="Z16" s="12"/>
    </row>
    <row r="17" spans="1:26" ht="15.75" customHeight="1" x14ac:dyDescent="0.2">
      <c r="A17" s="10" t="s">
        <v>33</v>
      </c>
      <c r="B17" s="10" t="s">
        <v>19</v>
      </c>
      <c r="C17" s="11">
        <v>2</v>
      </c>
      <c r="D17" s="10"/>
      <c r="E17" s="10">
        <v>0</v>
      </c>
      <c r="F17" s="10"/>
      <c r="G17" s="10"/>
      <c r="H17" s="10">
        <v>0</v>
      </c>
      <c r="I17" s="10"/>
      <c r="J17" s="10"/>
      <c r="K17" s="10">
        <v>0</v>
      </c>
      <c r="L17" s="10"/>
      <c r="M17" s="10"/>
      <c r="N17" s="10">
        <v>0</v>
      </c>
      <c r="O17" s="10"/>
      <c r="P17" s="10"/>
      <c r="Q17" s="10">
        <v>0</v>
      </c>
      <c r="R17" s="10"/>
      <c r="S17" s="10"/>
      <c r="T17" s="10">
        <v>0</v>
      </c>
      <c r="U17" s="10"/>
      <c r="V17" s="12"/>
      <c r="W17" s="12"/>
      <c r="X17" s="12"/>
      <c r="Y17" s="12"/>
      <c r="Z17" s="12"/>
    </row>
    <row r="18" spans="1:26" ht="15.75" customHeight="1" x14ac:dyDescent="0.2">
      <c r="A18" s="12" t="s">
        <v>277</v>
      </c>
      <c r="B18" s="12" t="s">
        <v>278</v>
      </c>
      <c r="C18" s="15">
        <v>0</v>
      </c>
      <c r="D18" s="12"/>
      <c r="E18" s="12">
        <v>0</v>
      </c>
      <c r="F18" s="12"/>
      <c r="G18" s="12"/>
      <c r="H18" s="12">
        <v>0</v>
      </c>
      <c r="I18" s="12"/>
      <c r="J18" s="12"/>
      <c r="K18" s="12">
        <v>0</v>
      </c>
      <c r="L18" s="12"/>
      <c r="M18" s="12"/>
      <c r="N18" s="12">
        <v>0</v>
      </c>
      <c r="O18" s="12"/>
      <c r="P18" s="12"/>
      <c r="Q18" s="12">
        <v>0</v>
      </c>
      <c r="R18" s="12"/>
      <c r="S18" s="12"/>
      <c r="T18" s="12">
        <v>0</v>
      </c>
      <c r="U18" s="12"/>
      <c r="V18" s="12"/>
      <c r="W18" s="12"/>
      <c r="X18" s="12"/>
      <c r="Y18" s="12"/>
      <c r="Z18" s="12"/>
    </row>
    <row r="19" spans="1:26" ht="15.75" customHeight="1" x14ac:dyDescent="0.2">
      <c r="A19" s="10" t="s">
        <v>36</v>
      </c>
      <c r="B19" s="10" t="s">
        <v>37</v>
      </c>
      <c r="C19" s="11">
        <v>8</v>
      </c>
      <c r="D19" s="10"/>
      <c r="E19" s="11">
        <v>4</v>
      </c>
      <c r="F19" s="10"/>
      <c r="G19" s="10"/>
      <c r="H19" s="11">
        <v>4</v>
      </c>
      <c r="I19" s="10"/>
      <c r="J19" s="10"/>
      <c r="K19" s="11">
        <v>1</v>
      </c>
      <c r="L19" s="10"/>
      <c r="M19" s="10"/>
      <c r="N19" s="10">
        <v>0</v>
      </c>
      <c r="O19" s="10"/>
      <c r="P19" s="10"/>
      <c r="Q19" s="10">
        <v>0</v>
      </c>
      <c r="R19" s="10"/>
      <c r="S19" s="10"/>
      <c r="T19" s="10">
        <v>0</v>
      </c>
      <c r="U19" s="10"/>
      <c r="V19" s="12"/>
      <c r="W19" s="12"/>
      <c r="X19" s="12"/>
      <c r="Y19" s="12"/>
      <c r="Z19" s="12"/>
    </row>
    <row r="20" spans="1:26" ht="15.75" customHeight="1" x14ac:dyDescent="0.2">
      <c r="E20" s="2">
        <f>SUM(E5:E19)</f>
        <v>16</v>
      </c>
      <c r="H20" s="2">
        <f>SUM(H5:H19)</f>
        <v>11</v>
      </c>
      <c r="K20" s="2">
        <f>SUM(K5:K19)</f>
        <v>3</v>
      </c>
      <c r="N20" s="2">
        <f>SUM(N5:N19)</f>
        <v>0</v>
      </c>
      <c r="Q20" s="2">
        <f>SUM(Q5:Q19)</f>
        <v>0</v>
      </c>
      <c r="T20" s="2">
        <f>SUM(T5:T19)</f>
        <v>0</v>
      </c>
    </row>
    <row r="21" spans="1:26" ht="15.75" customHeight="1" x14ac:dyDescent="0.2">
      <c r="A21" s="1" t="s">
        <v>29</v>
      </c>
      <c r="B21" s="6" t="s">
        <v>23</v>
      </c>
    </row>
    <row r="22" spans="1:26" ht="15.75" customHeight="1" x14ac:dyDescent="0.2">
      <c r="A22" s="2" t="s">
        <v>2</v>
      </c>
      <c r="B22" s="2" t="s">
        <v>3</v>
      </c>
      <c r="C22" s="2" t="s">
        <v>4</v>
      </c>
      <c r="E22" s="2" t="s">
        <v>5</v>
      </c>
      <c r="H22" s="2" t="s">
        <v>6</v>
      </c>
      <c r="K22" s="2" t="s">
        <v>7</v>
      </c>
    </row>
    <row r="23" spans="1:26" ht="15.75" customHeight="1" x14ac:dyDescent="0.2">
      <c r="A23" s="10" t="s">
        <v>172</v>
      </c>
      <c r="B23" s="10" t="s">
        <v>173</v>
      </c>
      <c r="C23" s="10">
        <v>0</v>
      </c>
      <c r="D23" s="10"/>
      <c r="E23" s="11">
        <v>10</v>
      </c>
      <c r="F23" s="10"/>
      <c r="G23" s="10"/>
      <c r="H23" s="11">
        <v>2</v>
      </c>
      <c r="I23" s="10"/>
      <c r="J23" s="10"/>
      <c r="K23" s="10">
        <v>0</v>
      </c>
      <c r="L23" s="10"/>
      <c r="M23" s="10"/>
      <c r="N23" s="10">
        <v>0</v>
      </c>
      <c r="O23" s="10"/>
      <c r="P23" s="10"/>
      <c r="Q23" s="10">
        <v>0</v>
      </c>
      <c r="R23" s="10"/>
      <c r="S23" s="10"/>
      <c r="T23" s="10">
        <v>0</v>
      </c>
      <c r="U23" s="10"/>
      <c r="V23" s="12" t="s">
        <v>26</v>
      </c>
      <c r="W23" s="12"/>
      <c r="X23" s="12"/>
      <c r="Y23" s="12"/>
      <c r="Z23" s="12"/>
    </row>
    <row r="24" spans="1:26" ht="15.75" customHeight="1" x14ac:dyDescent="0.2">
      <c r="A24" s="12" t="s">
        <v>174</v>
      </c>
      <c r="B24" s="12" t="s">
        <v>175</v>
      </c>
      <c r="C24" s="12">
        <v>1</v>
      </c>
      <c r="D24" s="12"/>
      <c r="E24" s="15">
        <v>1</v>
      </c>
      <c r="F24" s="12"/>
      <c r="G24" s="12"/>
      <c r="H24" s="12">
        <v>0</v>
      </c>
      <c r="I24" s="12"/>
      <c r="J24" s="12"/>
      <c r="K24" s="12">
        <v>0</v>
      </c>
      <c r="L24" s="12"/>
      <c r="M24" s="12"/>
      <c r="N24" s="12">
        <v>0</v>
      </c>
      <c r="O24" s="12"/>
      <c r="P24" s="12"/>
      <c r="Q24" s="12">
        <v>0</v>
      </c>
      <c r="R24" s="12"/>
      <c r="S24" s="12"/>
      <c r="T24" s="12">
        <v>0</v>
      </c>
      <c r="U24" s="12"/>
      <c r="V24" s="15" t="s">
        <v>27</v>
      </c>
      <c r="W24" s="12"/>
      <c r="X24" s="12"/>
      <c r="Y24" s="12"/>
      <c r="Z24" s="12"/>
    </row>
    <row r="25" spans="1:26" ht="15.75" customHeight="1" x14ac:dyDescent="0.2">
      <c r="A25" s="10" t="s">
        <v>279</v>
      </c>
      <c r="B25" s="10" t="s">
        <v>280</v>
      </c>
      <c r="C25" s="10">
        <v>3</v>
      </c>
      <c r="D25" s="10"/>
      <c r="E25" s="11">
        <v>6</v>
      </c>
      <c r="F25" s="10"/>
      <c r="G25" s="10"/>
      <c r="H25" s="11">
        <v>4</v>
      </c>
      <c r="I25" s="10"/>
      <c r="J25" s="10"/>
      <c r="K25" s="10">
        <v>0</v>
      </c>
      <c r="L25" s="10"/>
      <c r="M25" s="10"/>
      <c r="N25" s="10">
        <v>0</v>
      </c>
      <c r="O25" s="10"/>
      <c r="P25" s="10"/>
      <c r="Q25" s="10">
        <v>0</v>
      </c>
      <c r="R25" s="10"/>
      <c r="S25" s="10"/>
      <c r="T25" s="10">
        <v>0</v>
      </c>
      <c r="U25" s="10"/>
      <c r="V25" s="12"/>
      <c r="W25" s="12"/>
      <c r="X25" s="12"/>
      <c r="Y25" s="12"/>
      <c r="Z25" s="12"/>
    </row>
    <row r="26" spans="1:26" ht="15.75" customHeight="1" x14ac:dyDescent="0.2">
      <c r="A26" s="12"/>
      <c r="B26" s="12"/>
      <c r="C26" s="12">
        <v>5</v>
      </c>
      <c r="D26" s="12"/>
      <c r="E26" s="12">
        <v>0</v>
      </c>
      <c r="F26" s="12"/>
      <c r="G26" s="12"/>
      <c r="H26" s="12">
        <v>0</v>
      </c>
      <c r="I26" s="12"/>
      <c r="J26" s="12"/>
      <c r="K26" s="12">
        <v>0</v>
      </c>
      <c r="L26" s="12"/>
      <c r="M26" s="12"/>
      <c r="N26" s="12">
        <v>0</v>
      </c>
      <c r="O26" s="12"/>
      <c r="P26" s="12"/>
      <c r="Q26" s="12">
        <v>0</v>
      </c>
      <c r="R26" s="12"/>
      <c r="S26" s="12"/>
      <c r="T26" s="12">
        <v>0</v>
      </c>
      <c r="U26" s="12"/>
      <c r="V26" s="12"/>
      <c r="W26" s="12"/>
      <c r="X26" s="12"/>
      <c r="Y26" s="12"/>
      <c r="Z26" s="12"/>
    </row>
    <row r="27" spans="1:26" ht="15.75" customHeight="1" x14ac:dyDescent="0.2">
      <c r="A27" s="10" t="s">
        <v>115</v>
      </c>
      <c r="B27" s="10" t="s">
        <v>281</v>
      </c>
      <c r="C27" s="10">
        <v>10</v>
      </c>
      <c r="D27" s="10"/>
      <c r="E27" s="10">
        <v>0</v>
      </c>
      <c r="F27" s="10"/>
      <c r="G27" s="10"/>
      <c r="H27" s="10">
        <v>0</v>
      </c>
      <c r="I27" s="10"/>
      <c r="J27" s="10"/>
      <c r="K27" s="10">
        <v>0</v>
      </c>
      <c r="L27" s="10"/>
      <c r="M27" s="10"/>
      <c r="N27" s="10">
        <v>0</v>
      </c>
      <c r="O27" s="10"/>
      <c r="P27" s="10"/>
      <c r="Q27" s="10">
        <v>0</v>
      </c>
      <c r="R27" s="10"/>
      <c r="S27" s="10"/>
      <c r="T27" s="10">
        <v>0</v>
      </c>
      <c r="U27" s="10"/>
      <c r="V27" s="15" t="s">
        <v>28</v>
      </c>
      <c r="W27" s="12"/>
      <c r="X27" s="12"/>
      <c r="Y27" s="12"/>
      <c r="Z27" s="12"/>
    </row>
    <row r="28" spans="1:26" ht="15.75" customHeight="1" x14ac:dyDescent="0.2">
      <c r="A28" s="12" t="s">
        <v>235</v>
      </c>
      <c r="B28" s="12" t="s">
        <v>241</v>
      </c>
      <c r="C28" s="12">
        <v>11</v>
      </c>
      <c r="D28" s="12"/>
      <c r="E28" s="12">
        <v>0</v>
      </c>
      <c r="F28" s="12"/>
      <c r="G28" s="12"/>
      <c r="H28" s="15">
        <v>1</v>
      </c>
      <c r="I28" s="12"/>
      <c r="J28" s="12"/>
      <c r="K28" s="15">
        <v>1</v>
      </c>
      <c r="L28" s="12"/>
      <c r="M28" s="12"/>
      <c r="N28" s="12">
        <v>0</v>
      </c>
      <c r="O28" s="12"/>
      <c r="P28" s="12"/>
      <c r="Q28" s="12">
        <v>0</v>
      </c>
      <c r="R28" s="12"/>
      <c r="S28" s="12"/>
      <c r="T28" s="12">
        <v>0</v>
      </c>
      <c r="U28" s="12"/>
      <c r="V28" s="12"/>
      <c r="W28" s="12"/>
      <c r="X28" s="12"/>
      <c r="Y28" s="12"/>
      <c r="Z28" s="12"/>
    </row>
    <row r="29" spans="1:26" ht="15.75" customHeight="1" x14ac:dyDescent="0.2">
      <c r="A29" s="10"/>
      <c r="B29" s="10"/>
      <c r="C29" s="10">
        <v>12</v>
      </c>
      <c r="D29" s="10"/>
      <c r="E29" s="10">
        <v>0</v>
      </c>
      <c r="F29" s="10"/>
      <c r="G29" s="10"/>
      <c r="H29" s="10">
        <v>0</v>
      </c>
      <c r="I29" s="10"/>
      <c r="J29" s="10"/>
      <c r="K29" s="10">
        <v>0</v>
      </c>
      <c r="L29" s="10"/>
      <c r="M29" s="10"/>
      <c r="N29" s="10">
        <v>0</v>
      </c>
      <c r="O29" s="10"/>
      <c r="P29" s="10"/>
      <c r="Q29" s="10">
        <v>0</v>
      </c>
      <c r="R29" s="10"/>
      <c r="S29" s="10"/>
      <c r="T29" s="10">
        <v>0</v>
      </c>
      <c r="U29" s="10"/>
      <c r="V29" s="12"/>
      <c r="W29" s="12"/>
      <c r="X29" s="12"/>
      <c r="Y29" s="12"/>
      <c r="Z29" s="12"/>
    </row>
    <row r="30" spans="1:26" ht="15.75" customHeight="1" x14ac:dyDescent="0.2">
      <c r="A30" s="12" t="s">
        <v>179</v>
      </c>
      <c r="B30" s="12" t="s">
        <v>282</v>
      </c>
      <c r="C30" s="12">
        <v>21</v>
      </c>
      <c r="D30" s="12"/>
      <c r="E30" s="15">
        <v>1</v>
      </c>
      <c r="F30" s="12"/>
      <c r="G30" s="12"/>
      <c r="H30" s="15">
        <v>2</v>
      </c>
      <c r="I30" s="12"/>
      <c r="J30" s="12"/>
      <c r="K30" s="15">
        <v>1</v>
      </c>
      <c r="L30" s="12"/>
      <c r="M30" s="12"/>
      <c r="N30" s="12">
        <v>0</v>
      </c>
      <c r="O30" s="12"/>
      <c r="P30" s="12"/>
      <c r="Q30" s="12">
        <v>0</v>
      </c>
      <c r="R30" s="12"/>
      <c r="S30" s="12"/>
      <c r="T30" s="12">
        <v>0</v>
      </c>
      <c r="U30" s="12"/>
      <c r="V30" s="12"/>
      <c r="W30" s="12"/>
      <c r="X30" s="12"/>
      <c r="Y30" s="12"/>
      <c r="Z30" s="12"/>
    </row>
    <row r="31" spans="1:26" ht="15.75" customHeight="1" x14ac:dyDescent="0.2">
      <c r="A31" s="10" t="s">
        <v>185</v>
      </c>
      <c r="B31" s="10" t="s">
        <v>186</v>
      </c>
      <c r="C31" s="10">
        <v>23</v>
      </c>
      <c r="D31" s="10"/>
      <c r="E31" s="11">
        <v>3</v>
      </c>
      <c r="F31" s="10"/>
      <c r="G31" s="10"/>
      <c r="H31" s="10">
        <v>0</v>
      </c>
      <c r="I31" s="10"/>
      <c r="J31" s="10"/>
      <c r="K31" s="10">
        <v>0</v>
      </c>
      <c r="L31" s="10"/>
      <c r="M31" s="10"/>
      <c r="N31" s="10">
        <v>0</v>
      </c>
      <c r="O31" s="10"/>
      <c r="P31" s="10"/>
      <c r="Q31" s="10">
        <v>0</v>
      </c>
      <c r="R31" s="10"/>
      <c r="S31" s="10"/>
      <c r="T31" s="10">
        <v>0</v>
      </c>
      <c r="U31" s="10"/>
      <c r="V31" s="12"/>
      <c r="W31" s="12"/>
      <c r="X31" s="12"/>
      <c r="Y31" s="12"/>
      <c r="Z31" s="12"/>
    </row>
    <row r="32" spans="1:26" ht="15.75" customHeight="1" x14ac:dyDescent="0.2">
      <c r="A32" s="12" t="s">
        <v>285</v>
      </c>
      <c r="B32" s="12" t="s">
        <v>188</v>
      </c>
      <c r="C32" s="12">
        <v>31</v>
      </c>
      <c r="D32" s="12"/>
      <c r="E32" s="12">
        <v>0</v>
      </c>
      <c r="F32" s="12"/>
      <c r="G32" s="12"/>
      <c r="H32" s="15">
        <v>2</v>
      </c>
      <c r="I32" s="12"/>
      <c r="J32" s="12"/>
      <c r="K32" s="12">
        <v>0</v>
      </c>
      <c r="L32" s="12"/>
      <c r="M32" s="12"/>
      <c r="N32" s="12">
        <v>0</v>
      </c>
      <c r="O32" s="12"/>
      <c r="P32" s="12"/>
      <c r="Q32" s="12">
        <v>0</v>
      </c>
      <c r="R32" s="12"/>
      <c r="S32" s="12"/>
      <c r="T32" s="12">
        <v>0</v>
      </c>
      <c r="U32" s="12"/>
      <c r="V32" s="12"/>
      <c r="W32" s="12"/>
      <c r="X32" s="12"/>
      <c r="Y32" s="12"/>
      <c r="Z32" s="12"/>
    </row>
    <row r="33" spans="1:26" ht="15.75" customHeight="1" x14ac:dyDescent="0.2">
      <c r="A33" s="10"/>
      <c r="B33" s="10"/>
      <c r="C33" s="10">
        <v>99</v>
      </c>
      <c r="D33" s="10"/>
      <c r="E33" s="10">
        <v>0</v>
      </c>
      <c r="F33" s="10"/>
      <c r="G33" s="10"/>
      <c r="H33" s="10">
        <v>0</v>
      </c>
      <c r="I33" s="10"/>
      <c r="J33" s="10"/>
      <c r="K33" s="10">
        <v>0</v>
      </c>
      <c r="L33" s="10"/>
      <c r="M33" s="10"/>
      <c r="N33" s="10">
        <v>0</v>
      </c>
      <c r="O33" s="10"/>
      <c r="P33" s="10"/>
      <c r="Q33" s="10">
        <v>0</v>
      </c>
      <c r="R33" s="10"/>
      <c r="S33" s="10"/>
      <c r="T33" s="10">
        <v>0</v>
      </c>
      <c r="U33" s="10"/>
      <c r="V33" s="12"/>
      <c r="W33" s="12"/>
      <c r="X33" s="12"/>
      <c r="Y33" s="12"/>
      <c r="Z33" s="12"/>
    </row>
    <row r="34" spans="1:26" ht="15.75" customHeight="1" x14ac:dyDescent="0.2">
      <c r="A34" s="12" t="s">
        <v>286</v>
      </c>
      <c r="B34" s="12" t="s">
        <v>287</v>
      </c>
      <c r="C34" s="15">
        <v>34</v>
      </c>
      <c r="E34" s="15">
        <v>4</v>
      </c>
      <c r="H34" s="15">
        <v>1</v>
      </c>
      <c r="K34" s="15">
        <v>2</v>
      </c>
      <c r="N34" s="12">
        <v>0</v>
      </c>
      <c r="Q34" s="12">
        <v>0</v>
      </c>
      <c r="T34" s="12">
        <v>0</v>
      </c>
      <c r="V34" s="12"/>
      <c r="W34" s="12"/>
      <c r="X34" s="12"/>
      <c r="Y34" s="12"/>
      <c r="Z34" s="12"/>
    </row>
    <row r="35" spans="1:26" ht="15.75" customHeight="1" x14ac:dyDescent="0.2">
      <c r="A35" s="10" t="s">
        <v>248</v>
      </c>
      <c r="B35" s="10" t="s">
        <v>249</v>
      </c>
      <c r="C35" s="11">
        <v>24</v>
      </c>
      <c r="D35" s="10"/>
      <c r="E35" s="11">
        <v>1</v>
      </c>
      <c r="F35" s="10"/>
      <c r="G35" s="10"/>
      <c r="H35" s="11">
        <v>1</v>
      </c>
      <c r="I35" s="10"/>
      <c r="J35" s="10"/>
      <c r="K35" s="11">
        <v>1</v>
      </c>
      <c r="L35" s="10"/>
      <c r="M35" s="10"/>
      <c r="N35" s="10">
        <v>0</v>
      </c>
      <c r="O35" s="10"/>
      <c r="P35" s="10"/>
      <c r="Q35" s="10">
        <v>0</v>
      </c>
      <c r="R35" s="10"/>
      <c r="S35" s="10"/>
      <c r="T35" s="10">
        <v>0</v>
      </c>
      <c r="U35" s="10"/>
      <c r="V35" s="12"/>
      <c r="W35" s="12"/>
      <c r="X35" s="12"/>
      <c r="Y35" s="12"/>
      <c r="Z35" s="12"/>
    </row>
    <row r="36" spans="1:26" ht="15.75" customHeight="1" x14ac:dyDescent="0.2">
      <c r="A36" s="12" t="s">
        <v>283</v>
      </c>
      <c r="B36" s="12" t="s">
        <v>284</v>
      </c>
      <c r="C36" s="15">
        <v>25</v>
      </c>
      <c r="E36" s="12">
        <v>0</v>
      </c>
      <c r="H36" s="12">
        <v>0</v>
      </c>
      <c r="K36" s="15">
        <v>2</v>
      </c>
      <c r="N36" s="12">
        <v>0</v>
      </c>
      <c r="Q36" s="12">
        <v>0</v>
      </c>
      <c r="T36" s="12">
        <v>0</v>
      </c>
      <c r="V36" s="12"/>
      <c r="W36" s="12"/>
      <c r="X36" s="12"/>
      <c r="Y36" s="12"/>
      <c r="Z36" s="12"/>
    </row>
    <row r="37" spans="1:26" ht="15.75" customHeight="1" x14ac:dyDescent="0.2">
      <c r="A37" s="10"/>
      <c r="B37" s="10"/>
      <c r="C37" s="10"/>
      <c r="D37" s="10"/>
      <c r="E37" s="10">
        <v>0</v>
      </c>
      <c r="F37" s="10"/>
      <c r="G37" s="10"/>
      <c r="H37" s="10">
        <v>0</v>
      </c>
      <c r="I37" s="10"/>
      <c r="J37" s="10"/>
      <c r="K37" s="10">
        <v>0</v>
      </c>
      <c r="L37" s="10"/>
      <c r="M37" s="10"/>
      <c r="N37" s="10">
        <v>0</v>
      </c>
      <c r="O37" s="10"/>
      <c r="P37" s="10"/>
      <c r="Q37" s="10">
        <v>0</v>
      </c>
      <c r="R37" s="10"/>
      <c r="S37" s="10"/>
      <c r="T37" s="10">
        <v>0</v>
      </c>
      <c r="U37" s="10"/>
      <c r="V37" s="12"/>
      <c r="W37" s="12"/>
      <c r="X37" s="12"/>
      <c r="Y37" s="12"/>
      <c r="Z37" s="12"/>
    </row>
    <row r="38" spans="1:26" ht="15.75" customHeight="1" x14ac:dyDescent="0.2">
      <c r="E38" s="2">
        <f>SUM(E23:E37)</f>
        <v>26</v>
      </c>
      <c r="H38" s="2">
        <f>SUM(H23:H37)</f>
        <v>13</v>
      </c>
      <c r="K38" s="2">
        <f>SUM(K23:K37)</f>
        <v>7</v>
      </c>
      <c r="N38" s="2">
        <f>SUM(N23:N37)</f>
        <v>0</v>
      </c>
      <c r="Q38" s="2">
        <f>SUM(Q23:Q37)</f>
        <v>0</v>
      </c>
      <c r="T38" s="2">
        <f>SUM(T23:T37)</f>
        <v>0</v>
      </c>
    </row>
    <row r="39" spans="1:26" ht="15.75" customHeight="1" x14ac:dyDescent="0.2"/>
    <row r="40" spans="1:26" ht="15.75" customHeight="1" x14ac:dyDescent="0.2"/>
    <row r="41" spans="1:26" ht="15.75" customHeight="1" x14ac:dyDescent="0.2"/>
    <row r="42" spans="1:26" ht="15.75" customHeight="1" x14ac:dyDescent="0.2"/>
    <row r="43" spans="1:26" ht="15.75" customHeight="1" x14ac:dyDescent="0.2"/>
    <row r="44" spans="1:26" ht="15.75" customHeight="1" x14ac:dyDescent="0.2"/>
    <row r="45" spans="1:26" ht="15.75" customHeight="1" x14ac:dyDescent="0.2"/>
    <row r="46" spans="1:26" ht="15.75" customHeight="1" x14ac:dyDescent="0.2"/>
    <row r="47" spans="1:26" ht="15.75" customHeight="1" x14ac:dyDescent="0.2"/>
    <row r="48" spans="1:26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dataValidations count="1">
    <dataValidation type="list" allowBlank="1" showErrorMessage="1" sqref="B3 B21" xr:uid="{00000000-0002-0000-0100-000000000000}">
      <formula1>$A$1:$M$1</formula1>
    </dataValidation>
  </dataValidations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E1000"/>
  <sheetViews>
    <sheetView workbookViewId="0"/>
  </sheetViews>
  <sheetFormatPr baseColWidth="10" defaultColWidth="11.1640625" defaultRowHeight="15" customHeight="1" x14ac:dyDescent="0.2"/>
  <cols>
    <col min="1" max="1" width="10.5" customWidth="1"/>
    <col min="2" max="2" width="12.33203125" customWidth="1"/>
    <col min="3" max="26" width="10.5" customWidth="1"/>
  </cols>
  <sheetData>
    <row r="1" spans="1:5" ht="15.75" customHeight="1" x14ac:dyDescent="0.2">
      <c r="A1" s="2" t="s">
        <v>30</v>
      </c>
      <c r="B1" s="2" t="s">
        <v>31</v>
      </c>
      <c r="C1" s="2" t="s">
        <v>2</v>
      </c>
      <c r="D1" s="2" t="s">
        <v>3</v>
      </c>
      <c r="E1" s="2" t="s">
        <v>32</v>
      </c>
    </row>
    <row r="2" spans="1:5" ht="15.75" customHeight="1" x14ac:dyDescent="0.2">
      <c r="A2" s="2" t="s">
        <v>19</v>
      </c>
      <c r="B2" s="2" t="str">
        <f t="shared" ref="B2:B144" si="0">A2&amp;COUNTIF($A$2:$A2,A2)</f>
        <v>Drisdom1</v>
      </c>
      <c r="C2" s="2" t="s">
        <v>33</v>
      </c>
      <c r="D2" s="2" t="s">
        <v>19</v>
      </c>
      <c r="E2" s="2">
        <v>0</v>
      </c>
    </row>
    <row r="3" spans="1:5" ht="15.75" customHeight="1" x14ac:dyDescent="0.2">
      <c r="A3" s="2" t="s">
        <v>19</v>
      </c>
      <c r="B3" s="2" t="str">
        <f t="shared" si="0"/>
        <v>Drisdom2</v>
      </c>
      <c r="C3" s="2" t="s">
        <v>34</v>
      </c>
      <c r="D3" s="2" t="s">
        <v>35</v>
      </c>
      <c r="E3" s="2">
        <v>1</v>
      </c>
    </row>
    <row r="4" spans="1:5" ht="15.75" customHeight="1" x14ac:dyDescent="0.2">
      <c r="A4" s="2" t="s">
        <v>19</v>
      </c>
      <c r="B4" s="2" t="str">
        <f t="shared" si="0"/>
        <v>Drisdom3</v>
      </c>
      <c r="C4" s="2" t="s">
        <v>36</v>
      </c>
      <c r="D4" s="2" t="s">
        <v>37</v>
      </c>
      <c r="E4" s="2">
        <v>2</v>
      </c>
    </row>
    <row r="5" spans="1:5" ht="15.75" customHeight="1" x14ac:dyDescent="0.2">
      <c r="A5" s="2" t="s">
        <v>19</v>
      </c>
      <c r="B5" s="2" t="str">
        <f t="shared" si="0"/>
        <v>Drisdom4</v>
      </c>
      <c r="C5" s="2" t="s">
        <v>38</v>
      </c>
      <c r="D5" s="2" t="s">
        <v>39</v>
      </c>
      <c r="E5" s="2">
        <v>3</v>
      </c>
    </row>
    <row r="6" spans="1:5" ht="15.75" customHeight="1" x14ac:dyDescent="0.2">
      <c r="A6" s="2" t="s">
        <v>19</v>
      </c>
      <c r="B6" s="2" t="str">
        <f t="shared" si="0"/>
        <v>Drisdom5</v>
      </c>
      <c r="C6" s="2" t="s">
        <v>40</v>
      </c>
      <c r="D6" s="2" t="s">
        <v>41</v>
      </c>
      <c r="E6" s="2">
        <v>6</v>
      </c>
    </row>
    <row r="7" spans="1:5" ht="15.75" customHeight="1" x14ac:dyDescent="0.2">
      <c r="A7" s="2" t="s">
        <v>19</v>
      </c>
      <c r="B7" s="2" t="str">
        <f t="shared" si="0"/>
        <v>Drisdom6</v>
      </c>
      <c r="C7" s="2" t="s">
        <v>42</v>
      </c>
      <c r="D7" s="2" t="s">
        <v>43</v>
      </c>
      <c r="E7" s="2">
        <v>7</v>
      </c>
    </row>
    <row r="8" spans="1:5" ht="15.75" customHeight="1" x14ac:dyDescent="0.2">
      <c r="A8" s="2" t="s">
        <v>19</v>
      </c>
      <c r="B8" s="2" t="str">
        <f t="shared" si="0"/>
        <v>Drisdom7</v>
      </c>
      <c r="C8" s="2" t="s">
        <v>44</v>
      </c>
      <c r="D8" s="2" t="s">
        <v>45</v>
      </c>
      <c r="E8" s="2">
        <v>8</v>
      </c>
    </row>
    <row r="9" spans="1:5" ht="15.75" customHeight="1" x14ac:dyDescent="0.2">
      <c r="A9" s="2" t="s">
        <v>19</v>
      </c>
      <c r="B9" s="2" t="str">
        <f t="shared" si="0"/>
        <v>Drisdom8</v>
      </c>
      <c r="C9" s="2" t="s">
        <v>46</v>
      </c>
      <c r="D9" s="2" t="s">
        <v>19</v>
      </c>
      <c r="E9" s="2">
        <v>11</v>
      </c>
    </row>
    <row r="10" spans="1:5" ht="15.75" customHeight="1" x14ac:dyDescent="0.2">
      <c r="A10" s="2" t="s">
        <v>19</v>
      </c>
      <c r="B10" s="2" t="str">
        <f t="shared" si="0"/>
        <v>Drisdom9</v>
      </c>
      <c r="C10" s="2" t="s">
        <v>47</v>
      </c>
      <c r="D10" s="2" t="s">
        <v>48</v>
      </c>
      <c r="E10" s="2">
        <v>14</v>
      </c>
    </row>
    <row r="11" spans="1:5" ht="15.75" customHeight="1" x14ac:dyDescent="0.2">
      <c r="A11" s="2" t="s">
        <v>19</v>
      </c>
      <c r="B11" s="2" t="str">
        <f t="shared" si="0"/>
        <v>Drisdom10</v>
      </c>
      <c r="C11" s="2" t="s">
        <v>49</v>
      </c>
      <c r="D11" s="2" t="s">
        <v>50</v>
      </c>
      <c r="E11" s="2">
        <v>15</v>
      </c>
    </row>
    <row r="12" spans="1:5" ht="15.75" customHeight="1" x14ac:dyDescent="0.2">
      <c r="A12" s="2" t="s">
        <v>19</v>
      </c>
      <c r="B12" s="2" t="str">
        <f t="shared" si="0"/>
        <v>Drisdom11</v>
      </c>
      <c r="C12" s="2" t="s">
        <v>51</v>
      </c>
      <c r="D12" s="2" t="s">
        <v>52</v>
      </c>
      <c r="E12" s="2">
        <v>34</v>
      </c>
    </row>
    <row r="13" spans="1:5" ht="15.75" customHeight="1" x14ac:dyDescent="0.2">
      <c r="A13" s="2" t="s">
        <v>19</v>
      </c>
      <c r="B13" s="2" t="str">
        <f t="shared" si="0"/>
        <v>Drisdom12</v>
      </c>
      <c r="C13" s="2" t="s">
        <v>53</v>
      </c>
      <c r="D13" s="2" t="s">
        <v>35</v>
      </c>
      <c r="E13" s="2">
        <v>98</v>
      </c>
    </row>
    <row r="14" spans="1:5" ht="15.75" customHeight="1" x14ac:dyDescent="0.2">
      <c r="A14" s="2" t="s">
        <v>24</v>
      </c>
      <c r="B14" s="2" t="str">
        <f t="shared" si="0"/>
        <v>Roberts1</v>
      </c>
      <c r="C14" s="2" t="s">
        <v>54</v>
      </c>
      <c r="D14" s="2" t="s">
        <v>55</v>
      </c>
      <c r="E14" s="2">
        <v>0</v>
      </c>
    </row>
    <row r="15" spans="1:5" ht="15.75" customHeight="1" x14ac:dyDescent="0.2">
      <c r="A15" s="2" t="s">
        <v>24</v>
      </c>
      <c r="B15" s="2" t="str">
        <f t="shared" si="0"/>
        <v>Roberts2</v>
      </c>
      <c r="C15" s="2" t="s">
        <v>56</v>
      </c>
      <c r="D15" s="2" t="s">
        <v>57</v>
      </c>
      <c r="E15" s="2">
        <v>1</v>
      </c>
    </row>
    <row r="16" spans="1:5" ht="15.75" customHeight="1" x14ac:dyDescent="0.2">
      <c r="A16" s="2" t="s">
        <v>24</v>
      </c>
      <c r="B16" s="2" t="str">
        <f t="shared" si="0"/>
        <v>Roberts3</v>
      </c>
      <c r="C16" s="2" t="s">
        <v>58</v>
      </c>
      <c r="D16" s="2" t="s">
        <v>59</v>
      </c>
      <c r="E16" s="2">
        <v>2</v>
      </c>
    </row>
    <row r="17" spans="1:5" ht="15.75" customHeight="1" x14ac:dyDescent="0.2">
      <c r="A17" s="2" t="s">
        <v>24</v>
      </c>
      <c r="B17" s="2" t="str">
        <f t="shared" si="0"/>
        <v>Roberts4</v>
      </c>
      <c r="C17" s="2" t="s">
        <v>60</v>
      </c>
      <c r="D17" s="2" t="s">
        <v>61</v>
      </c>
      <c r="E17" s="2">
        <v>5</v>
      </c>
    </row>
    <row r="18" spans="1:5" ht="15.75" customHeight="1" x14ac:dyDescent="0.2">
      <c r="A18" s="2" t="s">
        <v>24</v>
      </c>
      <c r="B18" s="2" t="str">
        <f t="shared" si="0"/>
        <v>Roberts5</v>
      </c>
      <c r="C18" s="2" t="s">
        <v>62</v>
      </c>
      <c r="D18" s="2" t="s">
        <v>24</v>
      </c>
      <c r="E18" s="2">
        <v>9</v>
      </c>
    </row>
    <row r="19" spans="1:5" ht="15.75" customHeight="1" x14ac:dyDescent="0.2">
      <c r="A19" s="2" t="s">
        <v>24</v>
      </c>
      <c r="B19" s="2" t="str">
        <f t="shared" si="0"/>
        <v>Roberts6</v>
      </c>
      <c r="C19" s="2" t="s">
        <v>63</v>
      </c>
      <c r="D19" s="2" t="s">
        <v>48</v>
      </c>
      <c r="E19" s="2">
        <v>9</v>
      </c>
    </row>
    <row r="20" spans="1:5" ht="15.75" customHeight="1" x14ac:dyDescent="0.2">
      <c r="A20" s="2" t="s">
        <v>24</v>
      </c>
      <c r="B20" s="2" t="str">
        <f t="shared" si="0"/>
        <v>Roberts7</v>
      </c>
      <c r="C20" s="2" t="s">
        <v>64</v>
      </c>
      <c r="D20" s="2" t="s">
        <v>65</v>
      </c>
      <c r="E20" s="2">
        <v>12</v>
      </c>
    </row>
    <row r="21" spans="1:5" ht="15.75" customHeight="1" x14ac:dyDescent="0.2">
      <c r="A21" s="2" t="s">
        <v>24</v>
      </c>
      <c r="B21" s="2" t="str">
        <f t="shared" si="0"/>
        <v>Roberts8</v>
      </c>
      <c r="C21" s="2" t="s">
        <v>66</v>
      </c>
      <c r="D21" s="2" t="s">
        <v>67</v>
      </c>
      <c r="E21" s="2">
        <v>13</v>
      </c>
    </row>
    <row r="22" spans="1:5" ht="15.75" customHeight="1" x14ac:dyDescent="0.2">
      <c r="A22" s="2" t="s">
        <v>24</v>
      </c>
      <c r="B22" s="2" t="str">
        <f t="shared" si="0"/>
        <v>Roberts9</v>
      </c>
      <c r="C22" s="2" t="s">
        <v>68</v>
      </c>
      <c r="D22" s="2" t="s">
        <v>69</v>
      </c>
      <c r="E22" s="2">
        <v>15</v>
      </c>
    </row>
    <row r="23" spans="1:5" ht="15.75" customHeight="1" x14ac:dyDescent="0.2">
      <c r="A23" s="2" t="s">
        <v>24</v>
      </c>
      <c r="B23" s="2" t="str">
        <f t="shared" si="0"/>
        <v>Roberts10</v>
      </c>
      <c r="C23" s="2" t="s">
        <v>70</v>
      </c>
      <c r="D23" s="2" t="s">
        <v>71</v>
      </c>
      <c r="E23" s="2">
        <v>21</v>
      </c>
    </row>
    <row r="24" spans="1:5" ht="15.75" customHeight="1" x14ac:dyDescent="0.2">
      <c r="A24" s="2" t="s">
        <v>24</v>
      </c>
      <c r="B24" s="2" t="str">
        <f t="shared" si="0"/>
        <v>Roberts11</v>
      </c>
      <c r="C24" s="2" t="s">
        <v>72</v>
      </c>
      <c r="D24" s="2" t="s">
        <v>73</v>
      </c>
      <c r="E24" s="2">
        <v>22</v>
      </c>
    </row>
    <row r="25" spans="1:5" ht="15.75" customHeight="1" x14ac:dyDescent="0.2">
      <c r="A25" s="2" t="s">
        <v>24</v>
      </c>
      <c r="B25" s="2" t="str">
        <f t="shared" si="0"/>
        <v>Roberts12</v>
      </c>
      <c r="C25" s="2" t="s">
        <v>74</v>
      </c>
      <c r="D25" s="2" t="s">
        <v>75</v>
      </c>
      <c r="E25" s="2">
        <v>23</v>
      </c>
    </row>
    <row r="26" spans="1:5" ht="15.75" customHeight="1" x14ac:dyDescent="0.2">
      <c r="A26" s="2" t="s">
        <v>24</v>
      </c>
      <c r="B26" s="2" t="str">
        <f t="shared" si="0"/>
        <v>Roberts13</v>
      </c>
      <c r="C26" s="2" t="s">
        <v>76</v>
      </c>
      <c r="D26" s="2" t="s">
        <v>77</v>
      </c>
      <c r="E26" s="2">
        <v>31</v>
      </c>
    </row>
    <row r="27" spans="1:5" ht="15.75" customHeight="1" x14ac:dyDescent="0.2">
      <c r="A27" s="2" t="s">
        <v>15</v>
      </c>
      <c r="B27" s="2" t="str">
        <f t="shared" si="0"/>
        <v>Clarke1</v>
      </c>
      <c r="C27" s="2" t="s">
        <v>78</v>
      </c>
      <c r="D27" s="2" t="s">
        <v>79</v>
      </c>
      <c r="E27" s="2">
        <v>0</v>
      </c>
    </row>
    <row r="28" spans="1:5" ht="15.75" customHeight="1" x14ac:dyDescent="0.2">
      <c r="A28" s="2" t="s">
        <v>15</v>
      </c>
      <c r="B28" s="2" t="str">
        <f t="shared" si="0"/>
        <v>Clarke2</v>
      </c>
      <c r="C28" s="2" t="s">
        <v>80</v>
      </c>
      <c r="D28" s="2" t="s">
        <v>81</v>
      </c>
      <c r="E28" s="2">
        <v>1</v>
      </c>
    </row>
    <row r="29" spans="1:5" ht="15.75" customHeight="1" x14ac:dyDescent="0.2">
      <c r="A29" s="2" t="s">
        <v>15</v>
      </c>
      <c r="B29" s="2" t="str">
        <f t="shared" si="0"/>
        <v>Clarke3</v>
      </c>
      <c r="C29" s="2" t="s">
        <v>82</v>
      </c>
      <c r="D29" s="2" t="s">
        <v>83</v>
      </c>
      <c r="E29" s="2">
        <v>4</v>
      </c>
    </row>
    <row r="30" spans="1:5" ht="15.75" customHeight="1" x14ac:dyDescent="0.2">
      <c r="A30" s="2" t="s">
        <v>15</v>
      </c>
      <c r="B30" s="2" t="str">
        <f t="shared" si="0"/>
        <v>Clarke4</v>
      </c>
      <c r="C30" s="2" t="s">
        <v>84</v>
      </c>
      <c r="D30" s="2" t="s">
        <v>85</v>
      </c>
      <c r="E30" s="2">
        <v>5</v>
      </c>
    </row>
    <row r="31" spans="1:5" ht="15.75" customHeight="1" x14ac:dyDescent="0.2">
      <c r="A31" s="2" t="s">
        <v>15</v>
      </c>
      <c r="B31" s="2" t="str">
        <f t="shared" si="0"/>
        <v>Clarke5</v>
      </c>
      <c r="C31" s="2" t="s">
        <v>86</v>
      </c>
      <c r="D31" s="2" t="s">
        <v>87</v>
      </c>
      <c r="E31" s="2">
        <v>10</v>
      </c>
    </row>
    <row r="32" spans="1:5" ht="15.75" customHeight="1" x14ac:dyDescent="0.2">
      <c r="A32" s="2" t="s">
        <v>15</v>
      </c>
      <c r="B32" s="2" t="str">
        <f t="shared" si="0"/>
        <v>Clarke6</v>
      </c>
      <c r="C32" s="2" t="s">
        <v>88</v>
      </c>
      <c r="D32" s="2" t="s">
        <v>89</v>
      </c>
      <c r="E32" s="2">
        <v>11</v>
      </c>
    </row>
    <row r="33" spans="1:5" ht="15.75" customHeight="1" x14ac:dyDescent="0.2">
      <c r="A33" s="2" t="s">
        <v>15</v>
      </c>
      <c r="B33" s="2" t="str">
        <f t="shared" si="0"/>
        <v>Clarke7</v>
      </c>
      <c r="C33" s="2" t="s">
        <v>90</v>
      </c>
      <c r="D33" s="2" t="s">
        <v>91</v>
      </c>
      <c r="E33" s="2">
        <v>14</v>
      </c>
    </row>
    <row r="34" spans="1:5" ht="15.75" customHeight="1" x14ac:dyDescent="0.2">
      <c r="A34" s="2" t="s">
        <v>15</v>
      </c>
      <c r="B34" s="2" t="str">
        <f t="shared" si="0"/>
        <v>Clarke8</v>
      </c>
      <c r="C34" s="2" t="s">
        <v>92</v>
      </c>
      <c r="D34" s="2" t="s">
        <v>15</v>
      </c>
      <c r="E34" s="2">
        <v>15</v>
      </c>
    </row>
    <row r="35" spans="1:5" ht="15.75" customHeight="1" x14ac:dyDescent="0.2">
      <c r="A35" s="2" t="s">
        <v>15</v>
      </c>
      <c r="B35" s="2" t="str">
        <f t="shared" si="0"/>
        <v>Clarke9</v>
      </c>
      <c r="C35" s="2" t="s">
        <v>93</v>
      </c>
      <c r="D35" s="2" t="s">
        <v>94</v>
      </c>
      <c r="E35" s="2">
        <v>21</v>
      </c>
    </row>
    <row r="36" spans="1:5" ht="15.75" customHeight="1" x14ac:dyDescent="0.2">
      <c r="A36" s="2" t="s">
        <v>15</v>
      </c>
      <c r="B36" s="2" t="str">
        <f t="shared" si="0"/>
        <v>Clarke10</v>
      </c>
      <c r="C36" s="2" t="s">
        <v>95</v>
      </c>
      <c r="D36" s="2" t="s">
        <v>96</v>
      </c>
      <c r="E36" s="2">
        <v>23</v>
      </c>
    </row>
    <row r="37" spans="1:5" ht="15.75" customHeight="1" x14ac:dyDescent="0.2">
      <c r="A37" s="2" t="s">
        <v>15</v>
      </c>
      <c r="B37" s="2" t="str">
        <f t="shared" si="0"/>
        <v>Clarke11</v>
      </c>
      <c r="C37" s="2" t="s">
        <v>97</v>
      </c>
      <c r="D37" s="2" t="s">
        <v>98</v>
      </c>
      <c r="E37" s="2">
        <v>24</v>
      </c>
    </row>
    <row r="38" spans="1:5" ht="15.75" customHeight="1" x14ac:dyDescent="0.2">
      <c r="A38" s="2" t="s">
        <v>15</v>
      </c>
      <c r="B38" s="2" t="str">
        <f t="shared" si="0"/>
        <v>Clarke12</v>
      </c>
      <c r="C38" s="2" t="s">
        <v>99</v>
      </c>
      <c r="D38" s="2" t="s">
        <v>100</v>
      </c>
      <c r="E38" s="2">
        <v>25</v>
      </c>
    </row>
    <row r="39" spans="1:5" ht="15.75" customHeight="1" x14ac:dyDescent="0.2">
      <c r="A39" s="2" t="s">
        <v>13</v>
      </c>
      <c r="B39" s="2" t="str">
        <f t="shared" si="0"/>
        <v>Arok1</v>
      </c>
      <c r="C39" s="2" t="s">
        <v>101</v>
      </c>
      <c r="D39" s="2" t="s">
        <v>102</v>
      </c>
      <c r="E39" s="2">
        <v>1</v>
      </c>
    </row>
    <row r="40" spans="1:5" ht="15.75" customHeight="1" x14ac:dyDescent="0.2">
      <c r="A40" s="2" t="s">
        <v>13</v>
      </c>
      <c r="B40" s="2" t="str">
        <f t="shared" si="0"/>
        <v>Arok2</v>
      </c>
      <c r="C40" s="2" t="s">
        <v>103</v>
      </c>
      <c r="D40" s="2" t="s">
        <v>104</v>
      </c>
      <c r="E40" s="2">
        <v>3</v>
      </c>
    </row>
    <row r="41" spans="1:5" ht="15.75" customHeight="1" x14ac:dyDescent="0.2">
      <c r="A41" s="2" t="s">
        <v>13</v>
      </c>
      <c r="B41" s="2" t="str">
        <f t="shared" si="0"/>
        <v>Arok3</v>
      </c>
      <c r="C41" s="2" t="s">
        <v>105</v>
      </c>
      <c r="D41" s="2" t="s">
        <v>106</v>
      </c>
      <c r="E41" s="2">
        <v>4</v>
      </c>
    </row>
    <row r="42" spans="1:5" ht="15.75" customHeight="1" x14ac:dyDescent="0.2">
      <c r="A42" s="2" t="s">
        <v>13</v>
      </c>
      <c r="B42" s="2" t="str">
        <f t="shared" si="0"/>
        <v>Arok4</v>
      </c>
      <c r="C42" s="2" t="s">
        <v>107</v>
      </c>
      <c r="D42" s="2" t="s">
        <v>108</v>
      </c>
      <c r="E42" s="2">
        <v>5</v>
      </c>
    </row>
    <row r="43" spans="1:5" ht="15.75" customHeight="1" x14ac:dyDescent="0.2">
      <c r="A43" s="2" t="s">
        <v>13</v>
      </c>
      <c r="B43" s="2" t="str">
        <f t="shared" si="0"/>
        <v>Arok5</v>
      </c>
      <c r="C43" s="2" t="s">
        <v>109</v>
      </c>
      <c r="D43" s="2" t="s">
        <v>110</v>
      </c>
      <c r="E43" s="2">
        <v>6</v>
      </c>
    </row>
    <row r="44" spans="1:5" ht="15.75" customHeight="1" x14ac:dyDescent="0.2">
      <c r="A44" s="2" t="s">
        <v>13</v>
      </c>
      <c r="B44" s="2" t="str">
        <f t="shared" si="0"/>
        <v>Arok6</v>
      </c>
      <c r="C44" s="2" t="s">
        <v>111</v>
      </c>
      <c r="D44" s="2" t="s">
        <v>112</v>
      </c>
      <c r="E44" s="2">
        <v>7</v>
      </c>
    </row>
    <row r="45" spans="1:5" ht="15.75" customHeight="1" x14ac:dyDescent="0.2">
      <c r="A45" s="2" t="s">
        <v>13</v>
      </c>
      <c r="B45" s="2" t="str">
        <f t="shared" si="0"/>
        <v>Arok7</v>
      </c>
      <c r="C45" s="2" t="s">
        <v>113</v>
      </c>
      <c r="D45" s="2" t="s">
        <v>114</v>
      </c>
      <c r="E45" s="2">
        <v>8</v>
      </c>
    </row>
    <row r="46" spans="1:5" ht="15.75" customHeight="1" x14ac:dyDescent="0.2">
      <c r="A46" s="2" t="s">
        <v>13</v>
      </c>
      <c r="B46" s="2" t="str">
        <f t="shared" si="0"/>
        <v>Arok8</v>
      </c>
      <c r="C46" s="2" t="s">
        <v>115</v>
      </c>
      <c r="D46" s="2" t="s">
        <v>116</v>
      </c>
      <c r="E46" s="2">
        <v>14</v>
      </c>
    </row>
    <row r="47" spans="1:5" ht="15.75" customHeight="1" x14ac:dyDescent="0.2">
      <c r="A47" s="2" t="s">
        <v>13</v>
      </c>
      <c r="B47" s="2" t="str">
        <f t="shared" si="0"/>
        <v>Arok9</v>
      </c>
      <c r="C47" s="2" t="s">
        <v>117</v>
      </c>
      <c r="D47" s="2" t="s">
        <v>118</v>
      </c>
      <c r="E47" s="2">
        <v>17</v>
      </c>
    </row>
    <row r="48" spans="1:5" ht="15.75" customHeight="1" x14ac:dyDescent="0.2">
      <c r="A48" s="2" t="s">
        <v>13</v>
      </c>
      <c r="B48" s="2" t="str">
        <f t="shared" si="0"/>
        <v>Arok10</v>
      </c>
      <c r="C48" s="2" t="s">
        <v>119</v>
      </c>
      <c r="D48" s="2" t="s">
        <v>13</v>
      </c>
      <c r="E48" s="2">
        <v>20</v>
      </c>
    </row>
    <row r="49" spans="1:5" ht="15.75" customHeight="1" x14ac:dyDescent="0.2">
      <c r="A49" s="2" t="s">
        <v>13</v>
      </c>
      <c r="B49" s="2" t="str">
        <f t="shared" si="0"/>
        <v>Arok11</v>
      </c>
      <c r="C49" s="2" t="s">
        <v>120</v>
      </c>
      <c r="D49" s="2" t="s">
        <v>121</v>
      </c>
      <c r="E49" s="2">
        <v>24</v>
      </c>
    </row>
    <row r="50" spans="1:5" ht="15.75" customHeight="1" x14ac:dyDescent="0.2">
      <c r="A50" s="2" t="s">
        <v>13</v>
      </c>
      <c r="B50" s="2" t="str">
        <f t="shared" si="0"/>
        <v>Arok12</v>
      </c>
      <c r="C50" s="2" t="s">
        <v>122</v>
      </c>
      <c r="D50" s="2" t="s">
        <v>123</v>
      </c>
      <c r="E50" s="2">
        <v>11</v>
      </c>
    </row>
    <row r="51" spans="1:5" ht="15.75" customHeight="1" x14ac:dyDescent="0.2">
      <c r="A51" s="2" t="s">
        <v>17</v>
      </c>
      <c r="B51" s="2" t="str">
        <f t="shared" si="0"/>
        <v>Dastrop1</v>
      </c>
      <c r="C51" s="2" t="s">
        <v>124</v>
      </c>
      <c r="D51" s="2" t="s">
        <v>125</v>
      </c>
      <c r="E51" s="2">
        <v>0</v>
      </c>
    </row>
    <row r="52" spans="1:5" ht="15.75" customHeight="1" x14ac:dyDescent="0.2">
      <c r="A52" s="2" t="s">
        <v>17</v>
      </c>
      <c r="B52" s="2" t="str">
        <f t="shared" si="0"/>
        <v>Dastrop2</v>
      </c>
      <c r="C52" s="2" t="s">
        <v>126</v>
      </c>
      <c r="D52" s="2" t="s">
        <v>127</v>
      </c>
      <c r="E52" s="2">
        <v>1</v>
      </c>
    </row>
    <row r="53" spans="1:5" ht="15.75" customHeight="1" x14ac:dyDescent="0.2">
      <c r="A53" s="2" t="s">
        <v>17</v>
      </c>
      <c r="B53" s="2" t="str">
        <f t="shared" si="0"/>
        <v>Dastrop3</v>
      </c>
      <c r="C53" s="2" t="s">
        <v>70</v>
      </c>
      <c r="D53" s="2" t="s">
        <v>128</v>
      </c>
      <c r="E53" s="2">
        <v>2</v>
      </c>
    </row>
    <row r="54" spans="1:5" ht="15.75" customHeight="1" x14ac:dyDescent="0.2">
      <c r="A54" s="2" t="s">
        <v>17</v>
      </c>
      <c r="B54" s="2" t="str">
        <f t="shared" si="0"/>
        <v>Dastrop4</v>
      </c>
      <c r="C54" s="2" t="s">
        <v>129</v>
      </c>
      <c r="D54" s="2" t="s">
        <v>130</v>
      </c>
      <c r="E54" s="2">
        <v>3</v>
      </c>
    </row>
    <row r="55" spans="1:5" ht="15.75" customHeight="1" x14ac:dyDescent="0.2">
      <c r="A55" s="2" t="s">
        <v>17</v>
      </c>
      <c r="B55" s="2" t="str">
        <f t="shared" si="0"/>
        <v>Dastrop5</v>
      </c>
      <c r="C55" s="2" t="s">
        <v>131</v>
      </c>
      <c r="D55" s="2" t="s">
        <v>132</v>
      </c>
      <c r="E55" s="2">
        <v>4</v>
      </c>
    </row>
    <row r="56" spans="1:5" ht="15.75" customHeight="1" x14ac:dyDescent="0.2">
      <c r="A56" s="2" t="s">
        <v>17</v>
      </c>
      <c r="B56" s="2" t="str">
        <f t="shared" si="0"/>
        <v>Dastrop6</v>
      </c>
      <c r="C56" s="2" t="s">
        <v>133</v>
      </c>
      <c r="D56" s="2" t="s">
        <v>134</v>
      </c>
      <c r="E56" s="2">
        <v>6</v>
      </c>
    </row>
    <row r="57" spans="1:5" ht="15.75" customHeight="1" x14ac:dyDescent="0.2">
      <c r="A57" s="2" t="s">
        <v>17</v>
      </c>
      <c r="B57" s="2" t="str">
        <f t="shared" si="0"/>
        <v>Dastrop7</v>
      </c>
      <c r="C57" s="2" t="s">
        <v>92</v>
      </c>
      <c r="D57" s="2" t="s">
        <v>135</v>
      </c>
      <c r="E57" s="2">
        <v>10</v>
      </c>
    </row>
    <row r="58" spans="1:5" ht="15.75" customHeight="1" x14ac:dyDescent="0.2">
      <c r="A58" s="2" t="s">
        <v>17</v>
      </c>
      <c r="B58" s="2" t="str">
        <f t="shared" si="0"/>
        <v>Dastrop8</v>
      </c>
      <c r="C58" s="2" t="s">
        <v>136</v>
      </c>
      <c r="D58" s="2" t="s">
        <v>137</v>
      </c>
      <c r="E58" s="2">
        <v>11</v>
      </c>
    </row>
    <row r="59" spans="1:5" ht="15.75" customHeight="1" x14ac:dyDescent="0.2">
      <c r="A59" s="2" t="s">
        <v>17</v>
      </c>
      <c r="B59" s="2" t="str">
        <f t="shared" si="0"/>
        <v>Dastrop9</v>
      </c>
      <c r="C59" s="2" t="s">
        <v>138</v>
      </c>
      <c r="D59" s="2" t="s">
        <v>139</v>
      </c>
      <c r="E59" s="2">
        <v>13</v>
      </c>
    </row>
    <row r="60" spans="1:5" ht="15.75" customHeight="1" x14ac:dyDescent="0.2">
      <c r="A60" s="2" t="s">
        <v>17</v>
      </c>
      <c r="B60" s="2" t="str">
        <f t="shared" si="0"/>
        <v>Dastrop10</v>
      </c>
      <c r="C60" s="2" t="s">
        <v>140</v>
      </c>
      <c r="D60" s="2" t="s">
        <v>141</v>
      </c>
      <c r="E60" s="2">
        <v>14</v>
      </c>
    </row>
    <row r="61" spans="1:5" ht="15.75" customHeight="1" x14ac:dyDescent="0.2">
      <c r="A61" s="2" t="s">
        <v>17</v>
      </c>
      <c r="B61" s="2" t="str">
        <f t="shared" si="0"/>
        <v>Dastrop11</v>
      </c>
      <c r="C61" s="2" t="s">
        <v>142</v>
      </c>
      <c r="D61" s="2" t="s">
        <v>17</v>
      </c>
      <c r="E61" s="2">
        <v>15</v>
      </c>
    </row>
    <row r="62" spans="1:5" ht="15.75" customHeight="1" x14ac:dyDescent="0.2">
      <c r="A62" s="2" t="s">
        <v>17</v>
      </c>
      <c r="B62" s="2" t="str">
        <f t="shared" si="0"/>
        <v>Dastrop12</v>
      </c>
      <c r="C62" s="2" t="s">
        <v>143</v>
      </c>
      <c r="D62" s="2" t="s">
        <v>144</v>
      </c>
      <c r="E62" s="2">
        <v>22</v>
      </c>
    </row>
    <row r="63" spans="1:5" ht="15.75" customHeight="1" x14ac:dyDescent="0.2">
      <c r="A63" s="2" t="s">
        <v>17</v>
      </c>
      <c r="B63" s="2" t="str">
        <f t="shared" si="0"/>
        <v>Dastrop13</v>
      </c>
      <c r="C63" s="2" t="s">
        <v>145</v>
      </c>
      <c r="D63" s="2" t="s">
        <v>146</v>
      </c>
      <c r="E63" s="2">
        <v>33</v>
      </c>
    </row>
    <row r="64" spans="1:5" ht="15.75" customHeight="1" x14ac:dyDescent="0.2">
      <c r="A64" s="2" t="s">
        <v>17</v>
      </c>
      <c r="B64" s="2" t="str">
        <f t="shared" si="0"/>
        <v>Dastrop14</v>
      </c>
      <c r="C64" s="2" t="s">
        <v>147</v>
      </c>
      <c r="D64" s="2" t="s">
        <v>148</v>
      </c>
      <c r="E64" s="2">
        <v>41</v>
      </c>
    </row>
    <row r="65" spans="1:5" ht="15.75" customHeight="1" x14ac:dyDescent="0.2">
      <c r="A65" s="2" t="s">
        <v>16</v>
      </c>
      <c r="B65" s="2" t="str">
        <f t="shared" si="0"/>
        <v>Covington1</v>
      </c>
      <c r="C65" s="2" t="s">
        <v>149</v>
      </c>
      <c r="D65" s="2" t="s">
        <v>150</v>
      </c>
      <c r="E65" s="2">
        <v>0</v>
      </c>
    </row>
    <row r="66" spans="1:5" ht="15.75" customHeight="1" x14ac:dyDescent="0.2">
      <c r="A66" s="2" t="s">
        <v>16</v>
      </c>
      <c r="B66" s="2" t="str">
        <f t="shared" si="0"/>
        <v>Covington2</v>
      </c>
      <c r="C66" s="2" t="s">
        <v>151</v>
      </c>
      <c r="D66" s="2" t="s">
        <v>152</v>
      </c>
      <c r="E66" s="19" t="s">
        <v>153</v>
      </c>
    </row>
    <row r="67" spans="1:5" ht="15.75" customHeight="1" x14ac:dyDescent="0.2">
      <c r="A67" s="2" t="s">
        <v>16</v>
      </c>
      <c r="B67" s="2" t="str">
        <f t="shared" si="0"/>
        <v>Covington3</v>
      </c>
      <c r="C67" s="2" t="s">
        <v>154</v>
      </c>
      <c r="D67" s="2" t="s">
        <v>155</v>
      </c>
      <c r="E67" s="2">
        <v>2</v>
      </c>
    </row>
    <row r="68" spans="1:5" ht="15.75" customHeight="1" x14ac:dyDescent="0.2">
      <c r="A68" s="2" t="s">
        <v>16</v>
      </c>
      <c r="B68" s="2" t="str">
        <f t="shared" si="0"/>
        <v>Covington4</v>
      </c>
      <c r="C68" s="2" t="s">
        <v>156</v>
      </c>
      <c r="D68" s="2" t="s">
        <v>157</v>
      </c>
      <c r="E68" s="2">
        <v>3</v>
      </c>
    </row>
    <row r="69" spans="1:5" ht="15.75" customHeight="1" x14ac:dyDescent="0.2">
      <c r="A69" s="2" t="s">
        <v>16</v>
      </c>
      <c r="B69" s="2" t="str">
        <f t="shared" si="0"/>
        <v>Covington5</v>
      </c>
      <c r="C69" s="2" t="s">
        <v>158</v>
      </c>
      <c r="D69" s="2" t="s">
        <v>159</v>
      </c>
      <c r="E69" s="2">
        <v>4</v>
      </c>
    </row>
    <row r="70" spans="1:5" ht="15.75" customHeight="1" x14ac:dyDescent="0.2">
      <c r="A70" s="2" t="s">
        <v>16</v>
      </c>
      <c r="B70" s="2" t="str">
        <f t="shared" si="0"/>
        <v>Covington6</v>
      </c>
      <c r="C70" s="2" t="s">
        <v>160</v>
      </c>
      <c r="D70" s="2" t="s">
        <v>161</v>
      </c>
      <c r="E70" s="2">
        <v>5</v>
      </c>
    </row>
    <row r="71" spans="1:5" ht="15.75" customHeight="1" x14ac:dyDescent="0.2">
      <c r="A71" s="2" t="s">
        <v>16</v>
      </c>
      <c r="B71" s="2" t="str">
        <f t="shared" si="0"/>
        <v>Covington7</v>
      </c>
      <c r="C71" s="2" t="s">
        <v>162</v>
      </c>
      <c r="D71" s="2" t="s">
        <v>16</v>
      </c>
      <c r="E71" s="2">
        <v>7</v>
      </c>
    </row>
    <row r="72" spans="1:5" ht="15.75" customHeight="1" x14ac:dyDescent="0.2">
      <c r="A72" s="2" t="s">
        <v>16</v>
      </c>
      <c r="B72" s="2" t="str">
        <f t="shared" si="0"/>
        <v>Covington8</v>
      </c>
      <c r="C72" s="2" t="s">
        <v>163</v>
      </c>
      <c r="D72" s="2" t="s">
        <v>164</v>
      </c>
      <c r="E72" s="2">
        <v>10</v>
      </c>
    </row>
    <row r="73" spans="1:5" ht="15.75" customHeight="1" x14ac:dyDescent="0.2">
      <c r="A73" s="2" t="s">
        <v>16</v>
      </c>
      <c r="B73" s="2" t="str">
        <f t="shared" si="0"/>
        <v>Covington9</v>
      </c>
      <c r="C73" s="2" t="s">
        <v>165</v>
      </c>
      <c r="D73" s="2" t="s">
        <v>166</v>
      </c>
      <c r="E73" s="2">
        <v>11</v>
      </c>
    </row>
    <row r="74" spans="1:5" ht="15.75" customHeight="1" x14ac:dyDescent="0.2">
      <c r="A74" s="2" t="s">
        <v>16</v>
      </c>
      <c r="B74" s="2" t="str">
        <f t="shared" si="0"/>
        <v>Covington10</v>
      </c>
      <c r="C74" s="2" t="s">
        <v>167</v>
      </c>
      <c r="D74" s="2" t="s">
        <v>3</v>
      </c>
      <c r="E74" s="2">
        <v>13</v>
      </c>
    </row>
    <row r="75" spans="1:5" ht="15.75" customHeight="1" x14ac:dyDescent="0.2">
      <c r="A75" s="2" t="s">
        <v>16</v>
      </c>
      <c r="B75" s="2" t="str">
        <f t="shared" si="0"/>
        <v>Covington11</v>
      </c>
      <c r="C75" s="2" t="s">
        <v>84</v>
      </c>
      <c r="D75" s="2" t="s">
        <v>168</v>
      </c>
      <c r="E75" s="2">
        <v>15</v>
      </c>
    </row>
    <row r="76" spans="1:5" ht="15.75" customHeight="1" x14ac:dyDescent="0.2">
      <c r="A76" s="2" t="s">
        <v>16</v>
      </c>
      <c r="B76" s="2" t="str">
        <f t="shared" si="0"/>
        <v>Covington12</v>
      </c>
      <c r="C76" s="2" t="s">
        <v>169</v>
      </c>
      <c r="D76" s="2" t="s">
        <v>170</v>
      </c>
      <c r="E76" s="2">
        <v>22</v>
      </c>
    </row>
    <row r="77" spans="1:5" ht="15.75" customHeight="1" x14ac:dyDescent="0.2">
      <c r="A77" s="2" t="s">
        <v>16</v>
      </c>
      <c r="B77" s="2" t="str">
        <f t="shared" si="0"/>
        <v>Covington13</v>
      </c>
      <c r="C77" s="2" t="s">
        <v>70</v>
      </c>
      <c r="D77" s="2" t="s">
        <v>171</v>
      </c>
      <c r="E77" s="2">
        <v>23</v>
      </c>
    </row>
    <row r="78" spans="1:5" ht="15.75" customHeight="1" x14ac:dyDescent="0.2">
      <c r="A78" s="2" t="s">
        <v>23</v>
      </c>
      <c r="B78" s="2" t="str">
        <f t="shared" si="0"/>
        <v>Joyce1</v>
      </c>
      <c r="C78" s="2" t="s">
        <v>172</v>
      </c>
      <c r="D78" s="2" t="s">
        <v>173</v>
      </c>
      <c r="E78" s="2">
        <v>0</v>
      </c>
    </row>
    <row r="79" spans="1:5" ht="15.75" customHeight="1" x14ac:dyDescent="0.2">
      <c r="A79" s="2" t="s">
        <v>23</v>
      </c>
      <c r="B79" s="2" t="str">
        <f t="shared" si="0"/>
        <v>Joyce2</v>
      </c>
      <c r="C79" s="2" t="s">
        <v>174</v>
      </c>
      <c r="D79" s="2" t="s">
        <v>175</v>
      </c>
      <c r="E79" s="2">
        <v>1</v>
      </c>
    </row>
    <row r="80" spans="1:5" ht="15.75" customHeight="1" x14ac:dyDescent="0.2">
      <c r="A80" s="2" t="s">
        <v>23</v>
      </c>
      <c r="B80" s="2" t="str">
        <f t="shared" si="0"/>
        <v>Joyce3</v>
      </c>
      <c r="C80" s="2" t="s">
        <v>176</v>
      </c>
      <c r="D80" s="2" t="s">
        <v>177</v>
      </c>
      <c r="E80" s="2">
        <v>3</v>
      </c>
    </row>
    <row r="81" spans="1:5" ht="15.75" customHeight="1" x14ac:dyDescent="0.2">
      <c r="A81" s="2" t="s">
        <v>23</v>
      </c>
      <c r="B81" s="2" t="str">
        <f t="shared" si="0"/>
        <v>Joyce4</v>
      </c>
      <c r="C81" s="2" t="s">
        <v>178</v>
      </c>
      <c r="D81" s="2" t="s">
        <v>167</v>
      </c>
      <c r="E81" s="2">
        <v>5</v>
      </c>
    </row>
    <row r="82" spans="1:5" ht="15.75" customHeight="1" x14ac:dyDescent="0.2">
      <c r="A82" s="2" t="s">
        <v>23</v>
      </c>
      <c r="B82" s="2" t="str">
        <f t="shared" si="0"/>
        <v>Joyce5</v>
      </c>
      <c r="C82" s="2" t="s">
        <v>179</v>
      </c>
      <c r="D82" s="2" t="s">
        <v>180</v>
      </c>
      <c r="E82" s="2">
        <v>10</v>
      </c>
    </row>
    <row r="83" spans="1:5" ht="15.75" customHeight="1" x14ac:dyDescent="0.2">
      <c r="A83" s="2" t="s">
        <v>23</v>
      </c>
      <c r="B83" s="2" t="str">
        <f t="shared" si="0"/>
        <v>Joyce6</v>
      </c>
      <c r="C83" s="2" t="s">
        <v>181</v>
      </c>
      <c r="D83" s="2" t="s">
        <v>23</v>
      </c>
      <c r="E83" s="2">
        <v>11</v>
      </c>
    </row>
    <row r="84" spans="1:5" ht="15.75" customHeight="1" x14ac:dyDescent="0.2">
      <c r="A84" s="2" t="s">
        <v>23</v>
      </c>
      <c r="B84" s="2" t="str">
        <f t="shared" si="0"/>
        <v>Joyce7</v>
      </c>
      <c r="C84" s="2" t="s">
        <v>182</v>
      </c>
      <c r="D84" s="2" t="s">
        <v>89</v>
      </c>
      <c r="E84" s="2">
        <v>12</v>
      </c>
    </row>
    <row r="85" spans="1:5" ht="15.75" customHeight="1" x14ac:dyDescent="0.2">
      <c r="A85" s="2" t="s">
        <v>23</v>
      </c>
      <c r="B85" s="2" t="str">
        <f t="shared" si="0"/>
        <v>Joyce8</v>
      </c>
      <c r="C85" s="2" t="s">
        <v>183</v>
      </c>
      <c r="D85" s="2" t="s">
        <v>184</v>
      </c>
      <c r="E85" s="2">
        <v>21</v>
      </c>
    </row>
    <row r="86" spans="1:5" ht="15.75" customHeight="1" x14ac:dyDescent="0.2">
      <c r="A86" s="2" t="s">
        <v>23</v>
      </c>
      <c r="B86" s="2" t="str">
        <f t="shared" si="0"/>
        <v>Joyce9</v>
      </c>
      <c r="C86" s="2" t="s">
        <v>185</v>
      </c>
      <c r="D86" s="2" t="s">
        <v>186</v>
      </c>
      <c r="E86" s="2">
        <v>22</v>
      </c>
    </row>
    <row r="87" spans="1:5" ht="15.75" customHeight="1" x14ac:dyDescent="0.2">
      <c r="A87" s="2" t="s">
        <v>23</v>
      </c>
      <c r="B87" s="2" t="str">
        <f t="shared" si="0"/>
        <v>Joyce10</v>
      </c>
      <c r="C87" s="2" t="s">
        <v>187</v>
      </c>
      <c r="D87" s="2" t="s">
        <v>188</v>
      </c>
      <c r="E87" s="2">
        <v>31</v>
      </c>
    </row>
    <row r="88" spans="1:5" ht="15.75" customHeight="1" x14ac:dyDescent="0.2">
      <c r="A88" s="2" t="s">
        <v>23</v>
      </c>
      <c r="B88" s="2" t="str">
        <f t="shared" si="0"/>
        <v>Joyce11</v>
      </c>
      <c r="C88" s="2" t="s">
        <v>189</v>
      </c>
      <c r="D88" s="2" t="s">
        <v>190</v>
      </c>
      <c r="E88" s="2">
        <v>99</v>
      </c>
    </row>
    <row r="89" spans="1:5" ht="15.75" customHeight="1" x14ac:dyDescent="0.2">
      <c r="A89" s="2" t="s">
        <v>22</v>
      </c>
      <c r="B89" s="2" t="str">
        <f t="shared" si="0"/>
        <v>Humphries1</v>
      </c>
      <c r="C89" s="2" t="s">
        <v>191</v>
      </c>
      <c r="D89" s="2" t="s">
        <v>192</v>
      </c>
      <c r="E89" s="2">
        <v>0</v>
      </c>
    </row>
    <row r="90" spans="1:5" ht="15.75" customHeight="1" x14ac:dyDescent="0.2">
      <c r="A90" s="2" t="s">
        <v>22</v>
      </c>
      <c r="B90" s="2" t="str">
        <f t="shared" si="0"/>
        <v>Humphries2</v>
      </c>
      <c r="C90" s="2" t="s">
        <v>58</v>
      </c>
      <c r="D90" s="2" t="s">
        <v>193</v>
      </c>
      <c r="E90" s="2">
        <v>1</v>
      </c>
    </row>
    <row r="91" spans="1:5" ht="15.75" customHeight="1" x14ac:dyDescent="0.2">
      <c r="A91" s="2" t="s">
        <v>22</v>
      </c>
      <c r="B91" s="2" t="str">
        <f t="shared" si="0"/>
        <v>Humphries3</v>
      </c>
      <c r="C91" s="2" t="s">
        <v>194</v>
      </c>
      <c r="D91" s="2" t="s">
        <v>195</v>
      </c>
      <c r="E91" s="2">
        <v>3</v>
      </c>
    </row>
    <row r="92" spans="1:5" ht="15.75" customHeight="1" x14ac:dyDescent="0.2">
      <c r="A92" s="2" t="s">
        <v>22</v>
      </c>
      <c r="B92" s="2" t="str">
        <f t="shared" si="0"/>
        <v>Humphries4</v>
      </c>
      <c r="C92" s="2" t="s">
        <v>109</v>
      </c>
      <c r="D92" s="2" t="s">
        <v>196</v>
      </c>
      <c r="E92" s="2">
        <v>4</v>
      </c>
    </row>
    <row r="93" spans="1:5" ht="15.75" customHeight="1" x14ac:dyDescent="0.2">
      <c r="A93" s="2" t="s">
        <v>22</v>
      </c>
      <c r="B93" s="2" t="str">
        <f t="shared" si="0"/>
        <v>Humphries5</v>
      </c>
      <c r="C93" s="2" t="s">
        <v>179</v>
      </c>
      <c r="D93" s="2" t="s">
        <v>55</v>
      </c>
      <c r="E93" s="2">
        <v>5</v>
      </c>
    </row>
    <row r="94" spans="1:5" ht="15.75" customHeight="1" x14ac:dyDescent="0.2">
      <c r="A94" s="2" t="s">
        <v>22</v>
      </c>
      <c r="B94" s="2" t="str">
        <f t="shared" si="0"/>
        <v>Humphries6</v>
      </c>
      <c r="C94" s="2" t="s">
        <v>197</v>
      </c>
      <c r="D94" s="2" t="s">
        <v>198</v>
      </c>
      <c r="E94" s="2">
        <v>9</v>
      </c>
    </row>
    <row r="95" spans="1:5" ht="15.75" customHeight="1" x14ac:dyDescent="0.2">
      <c r="A95" s="2" t="s">
        <v>22</v>
      </c>
      <c r="B95" s="2" t="str">
        <f t="shared" si="0"/>
        <v>Humphries7</v>
      </c>
      <c r="C95" s="2" t="s">
        <v>199</v>
      </c>
      <c r="D95" s="2" t="s">
        <v>200</v>
      </c>
      <c r="E95" s="2">
        <v>10</v>
      </c>
    </row>
    <row r="96" spans="1:5" ht="15.75" customHeight="1" x14ac:dyDescent="0.2">
      <c r="A96" s="2" t="s">
        <v>22</v>
      </c>
      <c r="B96" s="2" t="str">
        <f t="shared" si="0"/>
        <v>Humphries8</v>
      </c>
      <c r="C96" s="2" t="s">
        <v>92</v>
      </c>
      <c r="D96" s="2" t="s">
        <v>22</v>
      </c>
      <c r="E96" s="2">
        <v>11</v>
      </c>
    </row>
    <row r="97" spans="1:5" ht="15.75" customHeight="1" x14ac:dyDescent="0.2">
      <c r="A97" s="2" t="s">
        <v>22</v>
      </c>
      <c r="B97" s="2" t="str">
        <f t="shared" si="0"/>
        <v>Humphries9</v>
      </c>
      <c r="C97" s="2" t="s">
        <v>201</v>
      </c>
      <c r="D97" s="2" t="s">
        <v>173</v>
      </c>
      <c r="E97" s="2">
        <v>13</v>
      </c>
    </row>
    <row r="98" spans="1:5" ht="15.75" customHeight="1" x14ac:dyDescent="0.2">
      <c r="A98" s="2" t="s">
        <v>22</v>
      </c>
      <c r="B98" s="2" t="str">
        <f t="shared" si="0"/>
        <v>Humphries10</v>
      </c>
      <c r="C98" s="2" t="s">
        <v>202</v>
      </c>
      <c r="D98" s="2" t="s">
        <v>203</v>
      </c>
      <c r="E98" s="2">
        <v>22</v>
      </c>
    </row>
    <row r="99" spans="1:5" ht="15.75" customHeight="1" x14ac:dyDescent="0.2">
      <c r="A99" s="2" t="s">
        <v>22</v>
      </c>
      <c r="B99" s="2" t="str">
        <f t="shared" si="0"/>
        <v>Humphries11</v>
      </c>
      <c r="C99" s="2" t="s">
        <v>58</v>
      </c>
      <c r="D99" s="2" t="s">
        <v>204</v>
      </c>
      <c r="E99" s="2">
        <v>23</v>
      </c>
    </row>
    <row r="100" spans="1:5" ht="15.75" customHeight="1" x14ac:dyDescent="0.2">
      <c r="A100" s="2" t="s">
        <v>22</v>
      </c>
      <c r="B100" s="2" t="str">
        <f t="shared" si="0"/>
        <v>Humphries12</v>
      </c>
      <c r="C100" s="2" t="s">
        <v>205</v>
      </c>
      <c r="D100" s="2" t="s">
        <v>206</v>
      </c>
      <c r="E100" s="2">
        <v>55</v>
      </c>
    </row>
    <row r="101" spans="1:5" ht="15.75" customHeight="1" x14ac:dyDescent="0.2">
      <c r="A101" s="2" t="s">
        <v>18</v>
      </c>
      <c r="B101" s="2" t="str">
        <f t="shared" si="0"/>
        <v>Draney1</v>
      </c>
      <c r="C101" s="2" t="s">
        <v>207</v>
      </c>
      <c r="D101" s="2" t="s">
        <v>81</v>
      </c>
      <c r="E101" s="2">
        <v>0</v>
      </c>
    </row>
    <row r="102" spans="1:5" ht="15.75" customHeight="1" x14ac:dyDescent="0.2">
      <c r="A102" s="2" t="s">
        <v>18</v>
      </c>
      <c r="B102" s="2" t="str">
        <f t="shared" si="0"/>
        <v>Draney2</v>
      </c>
      <c r="C102" s="2" t="s">
        <v>74</v>
      </c>
      <c r="D102" s="2" t="s">
        <v>208</v>
      </c>
      <c r="E102" s="2">
        <v>1</v>
      </c>
    </row>
    <row r="103" spans="1:5" ht="15.75" customHeight="1" x14ac:dyDescent="0.2">
      <c r="A103" s="2" t="s">
        <v>18</v>
      </c>
      <c r="B103" s="2" t="str">
        <f t="shared" si="0"/>
        <v>Draney3</v>
      </c>
      <c r="C103" s="2" t="s">
        <v>78</v>
      </c>
      <c r="D103" s="2" t="s">
        <v>175</v>
      </c>
      <c r="E103" s="2">
        <v>2</v>
      </c>
    </row>
    <row r="104" spans="1:5" ht="15.75" customHeight="1" x14ac:dyDescent="0.2">
      <c r="A104" s="2" t="s">
        <v>18</v>
      </c>
      <c r="B104" s="2" t="str">
        <f t="shared" si="0"/>
        <v>Draney4</v>
      </c>
      <c r="C104" s="2" t="s">
        <v>209</v>
      </c>
      <c r="D104" s="2" t="s">
        <v>18</v>
      </c>
      <c r="E104" s="2">
        <v>4</v>
      </c>
    </row>
    <row r="105" spans="1:5" ht="15.75" customHeight="1" x14ac:dyDescent="0.2">
      <c r="A105" s="2" t="s">
        <v>18</v>
      </c>
      <c r="B105" s="2" t="str">
        <f t="shared" si="0"/>
        <v>Draney5</v>
      </c>
      <c r="C105" s="2" t="s">
        <v>210</v>
      </c>
      <c r="D105" s="2" t="s">
        <v>211</v>
      </c>
      <c r="E105" s="2">
        <v>8</v>
      </c>
    </row>
    <row r="106" spans="1:5" ht="15.75" customHeight="1" x14ac:dyDescent="0.2">
      <c r="A106" s="2" t="s">
        <v>18</v>
      </c>
      <c r="B106" s="2" t="str">
        <f t="shared" si="0"/>
        <v>Draney6</v>
      </c>
      <c r="C106" s="2" t="s">
        <v>212</v>
      </c>
      <c r="D106" s="2" t="s">
        <v>213</v>
      </c>
      <c r="E106" s="2">
        <v>11</v>
      </c>
    </row>
    <row r="107" spans="1:5" ht="15.75" customHeight="1" x14ac:dyDescent="0.2">
      <c r="A107" s="2" t="s">
        <v>18</v>
      </c>
      <c r="B107" s="2" t="str">
        <f t="shared" si="0"/>
        <v>Draney7</v>
      </c>
      <c r="C107" s="2" t="s">
        <v>198</v>
      </c>
      <c r="D107" s="2" t="s">
        <v>214</v>
      </c>
      <c r="E107" s="2">
        <v>22</v>
      </c>
    </row>
    <row r="108" spans="1:5" ht="15.75" customHeight="1" x14ac:dyDescent="0.2">
      <c r="A108" s="2" t="s">
        <v>18</v>
      </c>
      <c r="B108" s="2" t="str">
        <f t="shared" si="0"/>
        <v>Draney8</v>
      </c>
      <c r="C108" s="2" t="s">
        <v>215</v>
      </c>
      <c r="D108" s="2" t="s">
        <v>216</v>
      </c>
      <c r="E108" s="2">
        <v>22</v>
      </c>
    </row>
    <row r="109" spans="1:5" ht="15.75" customHeight="1" x14ac:dyDescent="0.2">
      <c r="A109" s="2" t="s">
        <v>18</v>
      </c>
      <c r="B109" s="2" t="str">
        <f t="shared" si="0"/>
        <v>Draney9</v>
      </c>
      <c r="C109" s="2" t="s">
        <v>217</v>
      </c>
      <c r="D109" s="2" t="s">
        <v>211</v>
      </c>
      <c r="E109" s="2">
        <v>22</v>
      </c>
    </row>
    <row r="110" spans="1:5" ht="15.75" customHeight="1" x14ac:dyDescent="0.2">
      <c r="A110" s="2" t="s">
        <v>18</v>
      </c>
      <c r="B110" s="2" t="str">
        <f t="shared" si="0"/>
        <v>Draney10</v>
      </c>
      <c r="C110" s="2" t="s">
        <v>218</v>
      </c>
      <c r="D110" s="2" t="s">
        <v>104</v>
      </c>
      <c r="E110" s="2">
        <v>24</v>
      </c>
    </row>
    <row r="111" spans="1:5" ht="15.75" customHeight="1" x14ac:dyDescent="0.2">
      <c r="A111" s="2" t="s">
        <v>18</v>
      </c>
      <c r="B111" s="2" t="str">
        <f t="shared" si="0"/>
        <v>Draney11</v>
      </c>
      <c r="C111" s="2" t="s">
        <v>219</v>
      </c>
      <c r="D111" s="2" t="s">
        <v>70</v>
      </c>
      <c r="E111" s="2">
        <v>25</v>
      </c>
    </row>
    <row r="112" spans="1:5" ht="15.75" customHeight="1" x14ac:dyDescent="0.2">
      <c r="A112" s="2" t="s">
        <v>18</v>
      </c>
      <c r="B112" s="2" t="str">
        <f t="shared" si="0"/>
        <v>Draney12</v>
      </c>
      <c r="C112" s="2" t="s">
        <v>220</v>
      </c>
      <c r="D112" s="2" t="s">
        <v>221</v>
      </c>
      <c r="E112" s="2">
        <v>30</v>
      </c>
    </row>
    <row r="113" spans="1:5" ht="15.75" customHeight="1" x14ac:dyDescent="0.2">
      <c r="A113" s="2" t="s">
        <v>14</v>
      </c>
      <c r="B113" s="2" t="str">
        <f t="shared" si="0"/>
        <v>Berger1</v>
      </c>
      <c r="C113" s="2" t="s">
        <v>174</v>
      </c>
      <c r="D113" s="2" t="s">
        <v>222</v>
      </c>
      <c r="E113" s="2">
        <v>3</v>
      </c>
    </row>
    <row r="114" spans="1:5" ht="15.75" customHeight="1" x14ac:dyDescent="0.2">
      <c r="A114" s="2" t="s">
        <v>14</v>
      </c>
      <c r="B114" s="2" t="str">
        <f t="shared" si="0"/>
        <v>Berger2</v>
      </c>
      <c r="C114" s="2" t="s">
        <v>174</v>
      </c>
      <c r="D114" s="2" t="s">
        <v>223</v>
      </c>
      <c r="E114" s="2">
        <v>5</v>
      </c>
    </row>
    <row r="115" spans="1:5" ht="15.75" customHeight="1" x14ac:dyDescent="0.2">
      <c r="A115" s="2" t="s">
        <v>14</v>
      </c>
      <c r="B115" s="2" t="str">
        <f t="shared" si="0"/>
        <v>Berger3</v>
      </c>
      <c r="C115" s="2" t="s">
        <v>224</v>
      </c>
      <c r="D115" s="2" t="s">
        <v>225</v>
      </c>
      <c r="E115" s="2">
        <v>7</v>
      </c>
    </row>
    <row r="116" spans="1:5" ht="15.75" customHeight="1" x14ac:dyDescent="0.2">
      <c r="A116" s="2" t="s">
        <v>14</v>
      </c>
      <c r="B116" s="2" t="str">
        <f t="shared" si="0"/>
        <v>Berger4</v>
      </c>
      <c r="C116" s="2" t="s">
        <v>226</v>
      </c>
      <c r="D116" s="2" t="s">
        <v>227</v>
      </c>
      <c r="E116" s="2">
        <v>11</v>
      </c>
    </row>
    <row r="117" spans="1:5" ht="15.75" customHeight="1" x14ac:dyDescent="0.2">
      <c r="A117" s="2" t="s">
        <v>14</v>
      </c>
      <c r="B117" s="2" t="str">
        <f t="shared" si="0"/>
        <v>Berger5</v>
      </c>
      <c r="C117" s="2" t="s">
        <v>228</v>
      </c>
      <c r="D117" s="2" t="s">
        <v>14</v>
      </c>
      <c r="E117" s="2">
        <v>12</v>
      </c>
    </row>
    <row r="118" spans="1:5" ht="15.75" customHeight="1" x14ac:dyDescent="0.2">
      <c r="A118" s="2" t="s">
        <v>14</v>
      </c>
      <c r="B118" s="2" t="str">
        <f t="shared" si="0"/>
        <v>Berger6</v>
      </c>
      <c r="C118" s="2" t="s">
        <v>229</v>
      </c>
      <c r="D118" s="2" t="s">
        <v>230</v>
      </c>
      <c r="E118" s="2">
        <v>21</v>
      </c>
    </row>
    <row r="119" spans="1:5" ht="15.75" customHeight="1" x14ac:dyDescent="0.2">
      <c r="A119" s="2" t="s">
        <v>14</v>
      </c>
      <c r="B119" s="2" t="str">
        <f t="shared" si="0"/>
        <v>Berger7</v>
      </c>
      <c r="C119" s="2" t="s">
        <v>231</v>
      </c>
      <c r="D119" s="2" t="s">
        <v>37</v>
      </c>
      <c r="E119" s="2">
        <v>21</v>
      </c>
    </row>
    <row r="120" spans="1:5" ht="15.75" customHeight="1" x14ac:dyDescent="0.2">
      <c r="A120" s="2" t="s">
        <v>14</v>
      </c>
      <c r="B120" s="2" t="str">
        <f t="shared" si="0"/>
        <v>Berger8</v>
      </c>
      <c r="C120" s="2" t="s">
        <v>232</v>
      </c>
      <c r="D120" s="2" t="s">
        <v>167</v>
      </c>
      <c r="E120" s="2">
        <v>24</v>
      </c>
    </row>
    <row r="121" spans="1:5" ht="15.75" customHeight="1" x14ac:dyDescent="0.2">
      <c r="A121" s="2" t="s">
        <v>14</v>
      </c>
      <c r="B121" s="2" t="str">
        <f t="shared" si="0"/>
        <v>Berger9</v>
      </c>
      <c r="C121" s="2" t="s">
        <v>233</v>
      </c>
      <c r="D121" s="2" t="s">
        <v>234</v>
      </c>
      <c r="E121" s="2">
        <v>30</v>
      </c>
    </row>
    <row r="122" spans="1:5" ht="15.75" customHeight="1" x14ac:dyDescent="0.2">
      <c r="A122" s="2" t="s">
        <v>21</v>
      </c>
      <c r="B122" s="2" t="str">
        <f t="shared" si="0"/>
        <v>Fulton1</v>
      </c>
      <c r="C122" s="2" t="s">
        <v>235</v>
      </c>
      <c r="D122" s="2" t="s">
        <v>21</v>
      </c>
      <c r="E122" s="2">
        <v>1</v>
      </c>
    </row>
    <row r="123" spans="1:5" ht="15.75" customHeight="1" x14ac:dyDescent="0.2">
      <c r="A123" s="2" t="s">
        <v>21</v>
      </c>
      <c r="B123" s="2" t="str">
        <f t="shared" si="0"/>
        <v>Fulton2</v>
      </c>
      <c r="C123" s="2" t="s">
        <v>165</v>
      </c>
      <c r="D123" s="2" t="s">
        <v>236</v>
      </c>
      <c r="E123" s="2">
        <v>2</v>
      </c>
    </row>
    <row r="124" spans="1:5" ht="15.75" customHeight="1" x14ac:dyDescent="0.2">
      <c r="A124" s="2" t="s">
        <v>21</v>
      </c>
      <c r="B124" s="2" t="str">
        <f t="shared" si="0"/>
        <v>Fulton3</v>
      </c>
      <c r="C124" s="2" t="s">
        <v>237</v>
      </c>
      <c r="D124" s="2" t="s">
        <v>238</v>
      </c>
      <c r="E124" s="2">
        <v>5</v>
      </c>
    </row>
    <row r="125" spans="1:5" ht="15.75" customHeight="1" x14ac:dyDescent="0.2">
      <c r="A125" s="2" t="s">
        <v>21</v>
      </c>
      <c r="B125" s="2" t="str">
        <f t="shared" si="0"/>
        <v>Fulton4</v>
      </c>
      <c r="C125" s="2" t="s">
        <v>239</v>
      </c>
      <c r="D125" s="2" t="s">
        <v>240</v>
      </c>
      <c r="E125" s="2">
        <v>6</v>
      </c>
    </row>
    <row r="126" spans="1:5" ht="15.75" customHeight="1" x14ac:dyDescent="0.2">
      <c r="A126" s="2" t="s">
        <v>21</v>
      </c>
      <c r="B126" s="2" t="str">
        <f t="shared" si="0"/>
        <v>Fulton5</v>
      </c>
      <c r="C126" s="2" t="s">
        <v>235</v>
      </c>
      <c r="D126" s="2" t="s">
        <v>241</v>
      </c>
      <c r="E126" s="2">
        <v>11</v>
      </c>
    </row>
    <row r="127" spans="1:5" ht="15.75" customHeight="1" x14ac:dyDescent="0.2">
      <c r="A127" s="2" t="s">
        <v>21</v>
      </c>
      <c r="B127" s="2" t="str">
        <f t="shared" si="0"/>
        <v>Fulton6</v>
      </c>
      <c r="C127" s="2" t="s">
        <v>242</v>
      </c>
      <c r="D127" s="2" t="s">
        <v>243</v>
      </c>
      <c r="E127" s="2">
        <v>13</v>
      </c>
    </row>
    <row r="128" spans="1:5" ht="15.75" customHeight="1" x14ac:dyDescent="0.2">
      <c r="A128" s="2" t="s">
        <v>21</v>
      </c>
      <c r="B128" s="2" t="str">
        <f t="shared" si="0"/>
        <v>Fulton7</v>
      </c>
      <c r="C128" s="2" t="s">
        <v>244</v>
      </c>
      <c r="D128" s="2" t="s">
        <v>245</v>
      </c>
      <c r="E128" s="2">
        <v>20</v>
      </c>
    </row>
    <row r="129" spans="1:5" ht="15.75" customHeight="1" x14ac:dyDescent="0.2">
      <c r="A129" s="2" t="s">
        <v>21</v>
      </c>
      <c r="B129" s="2" t="str">
        <f t="shared" si="0"/>
        <v>Fulton8</v>
      </c>
      <c r="C129" s="2" t="s">
        <v>246</v>
      </c>
      <c r="D129" s="2" t="s">
        <v>247</v>
      </c>
      <c r="E129" s="2">
        <v>23</v>
      </c>
    </row>
    <row r="130" spans="1:5" ht="15.75" customHeight="1" x14ac:dyDescent="0.2">
      <c r="A130" s="2" t="s">
        <v>21</v>
      </c>
      <c r="B130" s="2" t="str">
        <f t="shared" si="0"/>
        <v>Fulton9</v>
      </c>
      <c r="C130" s="2" t="s">
        <v>248</v>
      </c>
      <c r="D130" s="2" t="s">
        <v>249</v>
      </c>
      <c r="E130" s="2">
        <v>24</v>
      </c>
    </row>
    <row r="131" spans="1:5" ht="15.75" customHeight="1" x14ac:dyDescent="0.2">
      <c r="A131" s="2" t="s">
        <v>20</v>
      </c>
      <c r="B131" s="2" t="str">
        <f t="shared" si="0"/>
        <v>Egan1</v>
      </c>
      <c r="C131" s="2" t="s">
        <v>250</v>
      </c>
      <c r="D131" s="2" t="s">
        <v>251</v>
      </c>
      <c r="E131" s="2">
        <v>0</v>
      </c>
    </row>
    <row r="132" spans="1:5" ht="15.75" customHeight="1" x14ac:dyDescent="0.2">
      <c r="A132" s="2" t="s">
        <v>20</v>
      </c>
      <c r="B132" s="2" t="str">
        <f t="shared" si="0"/>
        <v>Egan2</v>
      </c>
      <c r="C132" s="2" t="s">
        <v>198</v>
      </c>
      <c r="D132" s="2" t="s">
        <v>252</v>
      </c>
      <c r="E132" s="2">
        <v>1</v>
      </c>
    </row>
    <row r="133" spans="1:5" ht="15.75" customHeight="1" x14ac:dyDescent="0.2">
      <c r="A133" s="2" t="s">
        <v>20</v>
      </c>
      <c r="B133" s="2" t="str">
        <f t="shared" si="0"/>
        <v>Egan3</v>
      </c>
      <c r="C133" s="2" t="s">
        <v>253</v>
      </c>
      <c r="D133" s="2" t="s">
        <v>254</v>
      </c>
      <c r="E133" s="2">
        <v>7</v>
      </c>
    </row>
    <row r="134" spans="1:5" ht="15.75" customHeight="1" x14ac:dyDescent="0.2">
      <c r="A134" s="2" t="s">
        <v>20</v>
      </c>
      <c r="B134" s="2" t="str">
        <f t="shared" si="0"/>
        <v>Egan4</v>
      </c>
      <c r="C134" s="2" t="s">
        <v>255</v>
      </c>
      <c r="D134" s="2" t="s">
        <v>256</v>
      </c>
      <c r="E134" s="2">
        <v>8</v>
      </c>
    </row>
    <row r="135" spans="1:5" ht="15.75" customHeight="1" x14ac:dyDescent="0.2">
      <c r="A135" s="2" t="s">
        <v>20</v>
      </c>
      <c r="B135" s="2" t="str">
        <f t="shared" si="0"/>
        <v>Egan5</v>
      </c>
      <c r="C135" s="2" t="s">
        <v>145</v>
      </c>
      <c r="D135" s="2" t="s">
        <v>257</v>
      </c>
      <c r="E135" s="2">
        <v>12</v>
      </c>
    </row>
    <row r="136" spans="1:5" ht="15.75" customHeight="1" x14ac:dyDescent="0.2">
      <c r="A136" s="2" t="s">
        <v>20</v>
      </c>
      <c r="B136" s="2" t="str">
        <f t="shared" si="0"/>
        <v>Egan6</v>
      </c>
      <c r="C136" s="2" t="s">
        <v>164</v>
      </c>
      <c r="D136" s="2" t="s">
        <v>20</v>
      </c>
      <c r="E136" s="2">
        <v>13</v>
      </c>
    </row>
    <row r="137" spans="1:5" ht="15.75" customHeight="1" x14ac:dyDescent="0.2">
      <c r="A137" s="2" t="s">
        <v>20</v>
      </c>
      <c r="B137" s="2" t="str">
        <f t="shared" si="0"/>
        <v>Egan7</v>
      </c>
      <c r="C137" s="2" t="s">
        <v>258</v>
      </c>
      <c r="D137" s="2" t="s">
        <v>259</v>
      </c>
      <c r="E137" s="2">
        <v>15</v>
      </c>
    </row>
    <row r="138" spans="1:5" ht="15.75" customHeight="1" x14ac:dyDescent="0.2">
      <c r="A138" s="2" t="s">
        <v>20</v>
      </c>
      <c r="B138" s="2" t="str">
        <f t="shared" si="0"/>
        <v>Egan8</v>
      </c>
      <c r="C138" s="2" t="s">
        <v>260</v>
      </c>
      <c r="D138" s="2" t="s">
        <v>24</v>
      </c>
      <c r="E138" s="2">
        <v>21</v>
      </c>
    </row>
    <row r="139" spans="1:5" ht="15.75" customHeight="1" x14ac:dyDescent="0.2">
      <c r="A139" s="2" t="s">
        <v>20</v>
      </c>
      <c r="B139" s="2" t="str">
        <f t="shared" si="0"/>
        <v>Egan9</v>
      </c>
      <c r="C139" s="2" t="s">
        <v>261</v>
      </c>
      <c r="D139" s="2" t="s">
        <v>247</v>
      </c>
      <c r="E139" s="2">
        <v>24</v>
      </c>
    </row>
    <row r="140" spans="1:5" ht="15.75" customHeight="1" x14ac:dyDescent="0.2">
      <c r="A140" s="2" t="s">
        <v>20</v>
      </c>
      <c r="B140" s="2" t="str">
        <f t="shared" si="0"/>
        <v>Egan10</v>
      </c>
      <c r="C140" s="2" t="s">
        <v>262</v>
      </c>
      <c r="D140" s="2" t="s">
        <v>102</v>
      </c>
      <c r="E140" s="2">
        <v>30</v>
      </c>
    </row>
    <row r="141" spans="1:5" ht="15.75" customHeight="1" x14ac:dyDescent="0.2">
      <c r="A141" s="2" t="s">
        <v>263</v>
      </c>
      <c r="B141" s="2" t="str">
        <f t="shared" si="0"/>
        <v>Guest1</v>
      </c>
      <c r="C141" s="2" t="s">
        <v>264</v>
      </c>
      <c r="D141" s="2" t="s">
        <v>265</v>
      </c>
      <c r="E141" s="2">
        <v>2</v>
      </c>
    </row>
    <row r="142" spans="1:5" ht="15.75" customHeight="1" x14ac:dyDescent="0.2">
      <c r="A142" s="2" t="s">
        <v>263</v>
      </c>
      <c r="B142" s="2" t="str">
        <f t="shared" si="0"/>
        <v>Guest2</v>
      </c>
      <c r="C142" s="2" t="s">
        <v>84</v>
      </c>
      <c r="D142" s="2" t="s">
        <v>266</v>
      </c>
      <c r="E142" s="2">
        <v>10</v>
      </c>
    </row>
    <row r="143" spans="1:5" ht="15.75" customHeight="1" x14ac:dyDescent="0.2">
      <c r="A143" s="2" t="s">
        <v>263</v>
      </c>
      <c r="B143" s="2" t="str">
        <f t="shared" si="0"/>
        <v>Guest3</v>
      </c>
      <c r="C143" s="2" t="s">
        <v>267</v>
      </c>
      <c r="D143" s="2" t="s">
        <v>268</v>
      </c>
      <c r="E143" s="2">
        <v>19</v>
      </c>
    </row>
    <row r="144" spans="1:5" ht="15.75" customHeight="1" x14ac:dyDescent="0.2">
      <c r="A144" s="2" t="s">
        <v>263</v>
      </c>
      <c r="B144" s="2" t="str">
        <f t="shared" si="0"/>
        <v>Guest4</v>
      </c>
      <c r="C144" s="2" t="s">
        <v>269</v>
      </c>
      <c r="D144" s="2" t="s">
        <v>270</v>
      </c>
      <c r="E144" s="2">
        <v>23</v>
      </c>
    </row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G2 Box Score</vt:lpstr>
      <vt:lpstr>Stats G2</vt:lpstr>
      <vt:lpstr>Rosters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2022-06-23T05:00:01Z</dcterms:modified>
</cp:coreProperties>
</file>