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2/"/>
    </mc:Choice>
  </mc:AlternateContent>
  <xr:revisionPtr revIDLastSave="0" documentId="13_ncr:1_{54504BBF-0314-154F-8E67-B022C98291FF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 s="1"/>
  <c r="L23" i="2"/>
  <c r="M23" i="2"/>
  <c r="I24" i="2"/>
  <c r="J24" i="2"/>
  <c r="K24" i="2"/>
  <c r="L24" i="2"/>
  <c r="M24" i="2"/>
  <c r="I25" i="2"/>
  <c r="J25" i="2"/>
  <c r="L25" i="2"/>
  <c r="M25" i="2"/>
  <c r="I26" i="2"/>
  <c r="K26" i="2" s="1"/>
  <c r="J26" i="2"/>
  <c r="L26" i="2"/>
  <c r="M26" i="2"/>
  <c r="I27" i="2"/>
  <c r="J27" i="2"/>
  <c r="K27" i="2" s="1"/>
  <c r="L27" i="2"/>
  <c r="M27" i="2"/>
  <c r="I28" i="2"/>
  <c r="J28" i="2"/>
  <c r="K28" i="2" s="1"/>
  <c r="L28" i="2"/>
  <c r="M28" i="2"/>
  <c r="I29" i="2"/>
  <c r="J29" i="2"/>
  <c r="K29" i="2" s="1"/>
  <c r="L29" i="2"/>
  <c r="M29" i="2"/>
  <c r="I30" i="2"/>
  <c r="J30" i="2"/>
  <c r="K30" i="2" s="1"/>
  <c r="L30" i="2"/>
  <c r="M30" i="2"/>
  <c r="M37" i="2" s="1"/>
  <c r="I31" i="2"/>
  <c r="J31" i="2"/>
  <c r="K31" i="2" s="1"/>
  <c r="L31" i="2"/>
  <c r="M31" i="2"/>
  <c r="I32" i="2"/>
  <c r="J32" i="2"/>
  <c r="K32" i="2"/>
  <c r="L32" i="2"/>
  <c r="M32" i="2"/>
  <c r="I33" i="2"/>
  <c r="J33" i="2"/>
  <c r="K33" i="2" s="1"/>
  <c r="L33" i="2"/>
  <c r="M33" i="2"/>
  <c r="I34" i="2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J22" i="2"/>
  <c r="K22" i="2" s="1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4" i="2"/>
  <c r="K5" i="2"/>
  <c r="K6" i="2"/>
  <c r="K7" i="2"/>
  <c r="K8" i="2"/>
  <c r="K9" i="2"/>
  <c r="K12" i="2"/>
  <c r="K16" i="2"/>
  <c r="K17" i="2"/>
  <c r="I4" i="2"/>
  <c r="J4" i="2"/>
  <c r="L4" i="2"/>
  <c r="I5" i="2"/>
  <c r="J5" i="2"/>
  <c r="L5" i="2"/>
  <c r="I6" i="2"/>
  <c r="J6" i="2"/>
  <c r="L6" i="2"/>
  <c r="I7" i="2"/>
  <c r="J7" i="2"/>
  <c r="L7" i="2"/>
  <c r="I8" i="2"/>
  <c r="J8" i="2"/>
  <c r="L8" i="2"/>
  <c r="I9" i="2"/>
  <c r="J9" i="2"/>
  <c r="L9" i="2"/>
  <c r="I10" i="2"/>
  <c r="J10" i="2"/>
  <c r="L10" i="2"/>
  <c r="I11" i="2"/>
  <c r="J11" i="2"/>
  <c r="K11" i="2" s="1"/>
  <c r="L11" i="2"/>
  <c r="I12" i="2"/>
  <c r="J12" i="2"/>
  <c r="L12" i="2"/>
  <c r="I13" i="2"/>
  <c r="J13" i="2"/>
  <c r="L13" i="2"/>
  <c r="I14" i="2"/>
  <c r="J14" i="2"/>
  <c r="L14" i="2"/>
  <c r="I15" i="2"/>
  <c r="J15" i="2"/>
  <c r="K15" i="2" s="1"/>
  <c r="L15" i="2"/>
  <c r="I16" i="2"/>
  <c r="J16" i="2"/>
  <c r="L16" i="2"/>
  <c r="I17" i="2"/>
  <c r="J17" i="2"/>
  <c r="L17" i="2"/>
  <c r="L3" i="2"/>
  <c r="J3" i="2"/>
  <c r="K3" i="2" s="1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14" i="2" l="1"/>
  <c r="L37" i="2"/>
  <c r="I37" i="2"/>
  <c r="K13" i="2"/>
  <c r="K34" i="2"/>
  <c r="K10" i="2"/>
  <c r="M18" i="2"/>
  <c r="K18" i="2"/>
  <c r="K25" i="2"/>
  <c r="K37" i="2" s="1"/>
  <c r="H24" i="2"/>
  <c r="H31" i="2"/>
  <c r="H28" i="2"/>
  <c r="G32" i="2"/>
  <c r="G4" i="2"/>
  <c r="I18" i="2"/>
  <c r="B3" i="2" s="1"/>
  <c r="J18" i="2"/>
  <c r="H11" i="2"/>
  <c r="G24" i="2"/>
  <c r="F12" i="2"/>
  <c r="F4" i="2"/>
  <c r="G11" i="2"/>
  <c r="H3" i="2"/>
  <c r="H10" i="2"/>
  <c r="G23" i="2"/>
  <c r="H34" i="2"/>
  <c r="F32" i="2"/>
  <c r="G29" i="2"/>
  <c r="H26" i="2"/>
  <c r="F24" i="2"/>
  <c r="F5" i="2"/>
  <c r="F35" i="2"/>
  <c r="H29" i="2"/>
  <c r="G10" i="2"/>
  <c r="H23" i="2"/>
  <c r="F29" i="2"/>
  <c r="B19" i="1"/>
  <c r="G17" i="2" s="1"/>
  <c r="H8" i="2"/>
  <c r="F34" i="2"/>
  <c r="B18" i="1"/>
  <c r="G16" i="2" s="1"/>
  <c r="H7" i="2"/>
  <c r="G28" i="2"/>
  <c r="A18" i="1"/>
  <c r="F16" i="2" s="1"/>
  <c r="G7" i="2"/>
  <c r="H14" i="2"/>
  <c r="H6" i="2"/>
  <c r="F22" i="2"/>
  <c r="A37" i="1"/>
  <c r="F36" i="2" s="1"/>
  <c r="G33" i="2"/>
  <c r="H30" i="2"/>
  <c r="F28" i="2"/>
  <c r="G25" i="2"/>
  <c r="G12" i="2"/>
  <c r="F23" i="2"/>
  <c r="F27" i="2"/>
  <c r="G3" i="2"/>
  <c r="C19" i="1"/>
  <c r="H17" i="2" s="1"/>
  <c r="G34" i="2"/>
  <c r="G26" i="2"/>
  <c r="F10" i="2"/>
  <c r="C18" i="1"/>
  <c r="H16" i="2" s="1"/>
  <c r="G31" i="2"/>
  <c r="F26" i="2"/>
  <c r="F9" i="2"/>
  <c r="H15" i="2"/>
  <c r="F31" i="2"/>
  <c r="G15" i="2"/>
  <c r="F15" i="2"/>
  <c r="F7" i="2"/>
  <c r="G14" i="2"/>
  <c r="G6" i="2"/>
  <c r="H13" i="2"/>
  <c r="H5" i="2"/>
  <c r="G22" i="2"/>
  <c r="F33" i="2"/>
  <c r="G30" i="2"/>
  <c r="H27" i="2"/>
  <c r="F25" i="2"/>
  <c r="F13" i="2"/>
  <c r="F11" i="2"/>
  <c r="H9" i="2"/>
  <c r="F3" i="2"/>
  <c r="G9" i="2"/>
  <c r="C37" i="1"/>
  <c r="H36" i="2" s="1"/>
  <c r="A19" i="1"/>
  <c r="F17" i="2" s="1"/>
  <c r="G8" i="2"/>
  <c r="B37" i="1"/>
  <c r="G36" i="2" s="1"/>
  <c r="H25" i="2"/>
  <c r="F8" i="2"/>
  <c r="F14" i="2"/>
  <c r="F6" i="2"/>
  <c r="G13" i="2"/>
  <c r="G5" i="2"/>
  <c r="H12" i="2"/>
  <c r="H4" i="2"/>
  <c r="H22" i="2"/>
  <c r="G35" i="2"/>
  <c r="H32" i="2"/>
  <c r="F30" i="2"/>
  <c r="G27" i="2"/>
  <c r="J37" i="2"/>
  <c r="L18" i="2"/>
  <c r="D3" i="2"/>
</calcChain>
</file>

<file path=xl/sharedStrings.xml><?xml version="1.0" encoding="utf-8"?>
<sst xmlns="http://schemas.openxmlformats.org/spreadsheetml/2006/main" count="542" uniqueCount="287">
  <si>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</si>
  <si>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</si>
  <si>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</si>
  <si>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</si>
  <si>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</si>
  <si>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</si>
  <si>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</si>
  <si>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</si>
  <si>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</si>
  <si>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</si>
  <si>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</si>
  <si>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</si>
  <si>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</si>
  <si>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</si>
  <si>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</si>
  <si>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</si>
  <si>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</si>
  <si>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</si>
  <si>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</si>
  <si>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</si>
  <si>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</si>
  <si>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</si>
  <si>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</si>
  <si>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</si>
  <si>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</si>
  <si>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</si>
  <si>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</si>
  <si>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</si>
  <si>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</si>
  <si>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</si>
  <si>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</si>
  <si>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</si>
  <si>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</si>
  <si>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</si>
  <si>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</si>
  <si>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</si>
  <si>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</si>
  <si>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</si>
  <si>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</si>
  <si>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</si>
  <si>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</si>
  <si>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</si>
  <si>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</si>
  <si>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</si>
  <si>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</si>
  <si>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</si>
  <si>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</si>
  <si>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</si>
  <si>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</si>
  <si>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</si>
  <si>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</si>
  <si>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</si>
  <si>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</si>
  <si>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</si>
  <si>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</si>
  <si>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</si>
  <si>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</si>
  <si>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</si>
  <si>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</si>
  <si>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</si>
  <si>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</si>
  <si>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</si>
  <si>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</si>
  <si>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</si>
  <si>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</si>
  <si>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</si>
  <si>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</si>
  <si>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</si>
  <si>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</si>
  <si>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</si>
  <si>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</si>
  <si>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</si>
  <si>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</si>
  <si>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</si>
  <si>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</si>
  <si>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</si>
  <si>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</si>
  <si>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</si>
  <si>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</si>
  <si>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</si>
  <si>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</si>
  <si>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</si>
  <si>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</si>
  <si>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</si>
  <si>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</si>
  <si>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</si>
  <si>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</si>
  <si>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</si>
  <si>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</si>
  <si>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</si>
  <si>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</si>
  <si>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</si>
  <si>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</si>
  <si>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</si>
  <si>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</si>
  <si>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</si>
  <si>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</si>
  <si>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</si>
  <si>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</si>
  <si>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</si>
  <si>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</si>
  <si>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</si>
  <si>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</si>
  <si>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</si>
  <si>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</si>
  <si>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</si>
  <si>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</si>
  <si>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</si>
  <si>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</si>
  <si>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</si>
  <si>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</si>
  <si>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</si>
  <si>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</si>
  <si>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</si>
  <si>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</si>
  <si>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</si>
  <si>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</si>
  <si>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</si>
  <si>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</si>
  <si>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</si>
  <si>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</si>
  <si>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</si>
  <si>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</si>
  <si>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</si>
  <si>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</si>
  <si>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</si>
  <si>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</si>
  <si>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</si>
  <si>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</si>
  <si>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</si>
  <si>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</si>
  <si>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</si>
  <si>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</si>
  <si>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</si>
  <si>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</si>
  <si>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</si>
  <si>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</si>
  <si>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</si>
  <si>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</si>
  <si>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</si>
  <si>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</si>
  <si>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</si>
  <si>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</si>
  <si>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</si>
  <si>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</si>
  <si>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</si>
  <si>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</si>
  <si>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</si>
  <si>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</si>
  <si>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</si>
  <si>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</si>
  <si>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</si>
  <si>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</si>
  <si>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</si>
  <si>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</si>
  <si>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</si>
  <si>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</si>
  <si>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</si>
  <si>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</si>
  <si>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</si>
  <si>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</si>
  <si>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</si>
  <si>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</si>
  <si>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</si>
  <si>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</si>
  <si>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</si>
  <si>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</si>
  <si>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</si>
  <si>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</si>
  <si>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</si>
  <si>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</si>
  <si>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</si>
  <si>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</si>
  <si>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</si>
  <si>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</si>
  <si>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</si>
  <si>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</si>
  <si>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</si>
  <si>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</si>
  <si>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</si>
  <si>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</si>
  <si>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</si>
  <si>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</si>
  <si>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</si>
  <si>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</si>
  <si>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</si>
  <si>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</si>
  <si>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</si>
  <si>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</si>
  <si>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</si>
  <si>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</si>
  <si>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</si>
  <si>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</si>
  <si>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</si>
  <si>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</si>
  <si>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</si>
  <si>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</si>
  <si>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</si>
  <si>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</si>
  <si>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</si>
  <si>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</si>
  <si>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</si>
  <si>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</si>
  <si>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</si>
  <si>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</si>
  <si>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</si>
  <si>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</si>
  <si>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</si>
  <si>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</si>
  <si>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</si>
  <si>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</si>
  <si>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</si>
  <si>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</si>
  <si>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</si>
  <si>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</si>
  <si>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</si>
  <si>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</si>
  <si>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</si>
  <si>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</si>
  <si>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</si>
  <si>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</si>
  <si>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</si>
  <si>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</si>
  <si>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</si>
  <si>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</si>
  <si>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</si>
  <si>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</si>
  <si>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</si>
  <si>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</si>
  <si>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</si>
  <si>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</si>
  <si>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</si>
  <si>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</si>
  <si>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</si>
  <si>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</si>
  <si>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</si>
  <si>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</si>
  <si>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</si>
  <si>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</si>
  <si>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</si>
  <si>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</si>
  <si>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</si>
  <si>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</si>
  <si>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</si>
  <si>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PF</t>
  </si>
  <si>
    <t>OREB</t>
  </si>
  <si>
    <t>DREB</t>
  </si>
  <si>
    <t>TREB</t>
  </si>
  <si>
    <t>GAME 2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</si>
  <si>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</si>
  <si>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</si>
  <si>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</si>
  <si>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</si>
  <si>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</si>
  <si>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</si>
  <si>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</si>
  <si>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</si>
  <si>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</si>
  <si>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</si>
  <si>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</si>
  <si>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</si>
  <si>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</si>
  <si>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</si>
  <si>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</si>
  <si>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</si>
  <si>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</si>
  <si>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</si>
  <si>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Brekkott</t>
  </si>
  <si>
    <t>Dwayne</t>
  </si>
  <si>
    <t>Kur</t>
  </si>
  <si>
    <t>Kuath</t>
  </si>
  <si>
    <t>Blaze</t>
  </si>
  <si>
    <t>Nield</t>
  </si>
  <si>
    <t>Nic</t>
  </si>
  <si>
    <t>Farrer</t>
  </si>
  <si>
    <t>Davis</t>
  </si>
  <si>
    <t>?</t>
  </si>
  <si>
    <t>Aubrey</t>
  </si>
  <si>
    <t>Jared</t>
  </si>
  <si>
    <t>Butler</t>
  </si>
  <si>
    <t>Zeus</t>
  </si>
  <si>
    <t>Vai</t>
  </si>
  <si>
    <t>Brekott</t>
  </si>
  <si>
    <t>Bryant</t>
  </si>
  <si>
    <t>Markson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</si>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</sst>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H33" sqref="H3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248</v>
      </c>
      <c r="F1" t="s">
        <v>3</v>
      </c>
      <c r="G1" t="str">
        <f>'Stats G2'!B3</f>
        <v>Select Team Name</v>
      </c>
    </row>
    <row r="2" spans="2:13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245</v>
      </c>
      <c r="J2" t="s">
        <v>246</v>
      </c>
      <c r="K2" t="s">
        <v>247</v>
      </c>
      <c r="L2" t="s">
        <v>243</v>
      </c>
      <c r="M2" t="s">
        <v>244</v>
      </c>
    </row>
    <row r="3" spans="2:13" x14ac:dyDescent="0.2">
      <c r="B3">
        <f>I18</f>
        <v>6</v>
      </c>
      <c r="C3" s="3" t="s">
        <v>6</v>
      </c>
      <c r="D3" s="4">
        <f>I37</f>
        <v>8</v>
      </c>
      <c r="F3" t="str">
        <f>'Stats G2'!A5</f>
        <v>Corbin</v>
      </c>
      <c r="G3" t="str">
        <f>'Stats G2'!B5</f>
        <v>Green</v>
      </c>
      <c r="H3">
        <f>'Stats G2'!C5</f>
        <v>7</v>
      </c>
      <c r="I3">
        <f>'Stats G2'!E5</f>
        <v>0</v>
      </c>
      <c r="J3">
        <f>'Stats G2'!H5</f>
        <v>5</v>
      </c>
      <c r="K3">
        <f>J3+I3</f>
        <v>5</v>
      </c>
      <c r="L3">
        <f>'Stats G2'!K5</f>
        <v>1</v>
      </c>
      <c r="M3">
        <f>'Stats G2'!N5</f>
        <v>3</v>
      </c>
    </row>
    <row r="4" spans="2:13" x14ac:dyDescent="0.2">
      <c r="F4" t="str">
        <f>'Stats G2'!A6</f>
        <v>Aubrey</v>
      </c>
      <c r="G4" t="str">
        <f>'Stats G2'!B6</f>
        <v>Hodges</v>
      </c>
      <c r="H4">
        <f>'Stats G2'!C6</f>
        <v>5</v>
      </c>
      <c r="I4">
        <f>'Stats G2'!E6</f>
        <v>0</v>
      </c>
      <c r="J4">
        <f>'Stats G2'!H6</f>
        <v>0</v>
      </c>
      <c r="K4">
        <f t="shared" ref="K4:K17" si="0">J4+I4</f>
        <v>0</v>
      </c>
      <c r="L4">
        <f>'Stats G2'!K6</f>
        <v>0</v>
      </c>
      <c r="M4">
        <f>'Stats G2'!N6</f>
        <v>1</v>
      </c>
    </row>
    <row r="5" spans="2:13" x14ac:dyDescent="0.2">
      <c r="F5" t="str">
        <f>'Stats G2'!A7</f>
        <v>Tre</v>
      </c>
      <c r="G5" t="str">
        <f>'Stats G2'!B7</f>
        <v>Smith</v>
      </c>
      <c r="H5">
        <f>'Stats G2'!C7</f>
        <v>10</v>
      </c>
      <c r="I5">
        <f>'Stats G2'!E7</f>
        <v>0</v>
      </c>
      <c r="J5">
        <f>'Stats G2'!H7</f>
        <v>0</v>
      </c>
      <c r="K5">
        <f t="shared" si="0"/>
        <v>0</v>
      </c>
      <c r="L5">
        <f>'Stats G2'!K7</f>
        <v>0</v>
      </c>
      <c r="M5">
        <f>'Stats G2'!N7</f>
        <v>0</v>
      </c>
    </row>
    <row r="6" spans="2:13" x14ac:dyDescent="0.2">
      <c r="F6" t="str">
        <f>'Stats G2'!A8</f>
        <v>Tim</v>
      </c>
      <c r="G6" t="str">
        <f>'Stats G2'!B8</f>
        <v>Drisdom</v>
      </c>
      <c r="H6">
        <f>'Stats G2'!C8</f>
        <v>11</v>
      </c>
      <c r="I6">
        <f>'Stats G2'!E8</f>
        <v>1</v>
      </c>
      <c r="J6">
        <f>'Stats G2'!H8</f>
        <v>1</v>
      </c>
      <c r="K6">
        <f t="shared" si="0"/>
        <v>2</v>
      </c>
      <c r="L6">
        <f>'Stats G2'!K8</f>
        <v>0</v>
      </c>
      <c r="M6">
        <f>'Stats G2'!N8</f>
        <v>3</v>
      </c>
    </row>
    <row r="7" spans="2:13" x14ac:dyDescent="0.2">
      <c r="F7" t="str">
        <f>'Stats G2'!A9</f>
        <v>Terrence</v>
      </c>
      <c r="G7" t="str">
        <f>'Stats G2'!B9</f>
        <v>Drisdom</v>
      </c>
      <c r="H7">
        <f>'Stats G2'!C9</f>
        <v>2</v>
      </c>
      <c r="I7">
        <f>'Stats G2'!E9</f>
        <v>0</v>
      </c>
      <c r="J7">
        <f>'Stats G2'!H9</f>
        <v>0</v>
      </c>
      <c r="K7">
        <f t="shared" si="0"/>
        <v>0</v>
      </c>
      <c r="L7">
        <f>'Stats G2'!K9</f>
        <v>0</v>
      </c>
      <c r="M7">
        <f>'Stats G2'!N9</f>
        <v>0</v>
      </c>
    </row>
    <row r="8" spans="2:13" x14ac:dyDescent="0.2">
      <c r="F8" t="str">
        <f>'Stats G2'!A10</f>
        <v>Jared</v>
      </c>
      <c r="G8" t="str">
        <f>'Stats G2'!B10</f>
        <v>Butler</v>
      </c>
      <c r="H8">
        <f>'Stats G2'!C10</f>
        <v>0</v>
      </c>
      <c r="I8">
        <f>'Stats G2'!E10</f>
        <v>0</v>
      </c>
      <c r="J8">
        <f>'Stats G2'!H10</f>
        <v>0</v>
      </c>
      <c r="K8">
        <f t="shared" si="0"/>
        <v>0</v>
      </c>
      <c r="L8">
        <f>'Stats G2'!K10</f>
        <v>0</v>
      </c>
      <c r="M8">
        <f>'Stats G2'!N10</f>
        <v>0</v>
      </c>
    </row>
    <row r="9" spans="2:13" x14ac:dyDescent="0.2">
      <c r="F9" t="str">
        <f>'Stats G2'!A11</f>
        <v>Shaun</v>
      </c>
      <c r="G9" t="str">
        <f>'Stats G2'!B11</f>
        <v>Green</v>
      </c>
      <c r="H9">
        <f>'Stats G2'!C11</f>
        <v>13</v>
      </c>
      <c r="I9">
        <f>'Stats G2'!E11</f>
        <v>0</v>
      </c>
      <c r="J9">
        <f>'Stats G2'!H11</f>
        <v>0</v>
      </c>
      <c r="K9">
        <f t="shared" si="0"/>
        <v>0</v>
      </c>
      <c r="L9">
        <f>'Stats G2'!K11</f>
        <v>0</v>
      </c>
      <c r="M9">
        <f>'Stats G2'!N11</f>
        <v>0</v>
      </c>
    </row>
    <row r="10" spans="2:13" x14ac:dyDescent="0.2">
      <c r="F10" t="str">
        <f>'Stats G2'!A12</f>
        <v>Zeus</v>
      </c>
      <c r="G10" t="str">
        <f>'Stats G2'!B12</f>
        <v>Martinez</v>
      </c>
      <c r="H10">
        <f>'Stats G2'!C12</f>
        <v>1</v>
      </c>
      <c r="I10">
        <f>'Stats G2'!E12</f>
        <v>1</v>
      </c>
      <c r="J10">
        <f>'Stats G2'!H12</f>
        <v>6</v>
      </c>
      <c r="K10">
        <f t="shared" si="0"/>
        <v>7</v>
      </c>
      <c r="L10">
        <f>'Stats G2'!K12</f>
        <v>0</v>
      </c>
      <c r="M10">
        <f>'Stats G2'!N12</f>
        <v>1</v>
      </c>
    </row>
    <row r="11" spans="2:13" x14ac:dyDescent="0.2">
      <c r="F11" t="str">
        <f>'Stats G2'!A13</f>
        <v>Vai</v>
      </c>
      <c r="G11" t="str">
        <f>'Stats G2'!B13</f>
        <v>Harris</v>
      </c>
      <c r="H11">
        <f>'Stats G2'!C13</f>
        <v>4</v>
      </c>
      <c r="I11">
        <f>'Stats G2'!E13</f>
        <v>0</v>
      </c>
      <c r="J11">
        <f>'Stats G2'!H13</f>
        <v>4</v>
      </c>
      <c r="K11">
        <f t="shared" si="0"/>
        <v>4</v>
      </c>
      <c r="L11">
        <f>'Stats G2'!K13</f>
        <v>0</v>
      </c>
      <c r="M11">
        <f>'Stats G2'!N13</f>
        <v>3</v>
      </c>
    </row>
    <row r="12" spans="2:13" x14ac:dyDescent="0.2">
      <c r="F12" t="str">
        <f>'Stats G2'!A14</f>
        <v>Brekott</v>
      </c>
      <c r="G12" t="str">
        <f>'Stats G2'!B14</f>
        <v>Chapman</v>
      </c>
      <c r="H12">
        <f>'Stats G2'!C14</f>
        <v>6</v>
      </c>
      <c r="I12">
        <f>'Stats G2'!E14</f>
        <v>0</v>
      </c>
      <c r="J12">
        <f>'Stats G2'!H14</f>
        <v>0</v>
      </c>
      <c r="K12">
        <f t="shared" si="0"/>
        <v>0</v>
      </c>
      <c r="L12">
        <f>'Stats G2'!K14</f>
        <v>0</v>
      </c>
      <c r="M12">
        <f>'Stats G2'!N14</f>
        <v>0</v>
      </c>
    </row>
    <row r="13" spans="2:13" x14ac:dyDescent="0.2">
      <c r="F13" t="str">
        <f>'Stats G2'!A15</f>
        <v>Bryant</v>
      </c>
      <c r="G13" t="str">
        <f>'Stats G2'!B15</f>
        <v>Markson</v>
      </c>
      <c r="H13">
        <f>'Stats G2'!C15</f>
        <v>20</v>
      </c>
      <c r="I13">
        <f>'Stats G2'!E15</f>
        <v>3</v>
      </c>
      <c r="J13">
        <f>'Stats G2'!H15</f>
        <v>2</v>
      </c>
      <c r="K13">
        <f t="shared" si="0"/>
        <v>5</v>
      </c>
      <c r="L13">
        <f>'Stats G2'!K15</f>
        <v>2</v>
      </c>
      <c r="M13">
        <f>'Stats G2'!N15</f>
        <v>2</v>
      </c>
    </row>
    <row r="14" spans="2:13" x14ac:dyDescent="0.2">
      <c r="F14" t="str">
        <f>'Stats G2'!A16</f>
        <v>Dwayne</v>
      </c>
      <c r="G14" t="str">
        <f>'Stats G2'!B16</f>
        <v>Brown</v>
      </c>
      <c r="H14">
        <f>'Stats G2'!C16</f>
        <v>8</v>
      </c>
      <c r="I14">
        <f>'Stats G2'!E16</f>
        <v>1</v>
      </c>
      <c r="J14">
        <f>'Stats G2'!H16</f>
        <v>5</v>
      </c>
      <c r="K14">
        <f t="shared" si="0"/>
        <v>6</v>
      </c>
      <c r="L14">
        <f>'Stats G2'!K16</f>
        <v>1</v>
      </c>
      <c r="M14">
        <f>'Stats G2'!N16</f>
        <v>1</v>
      </c>
    </row>
    <row r="15" spans="2:13" x14ac:dyDescent="0.2">
      <c r="F15" t="str">
        <f>'Stats G2'!A17</f>
        <v>Tre</v>
      </c>
      <c r="G15" t="str">
        <f>'Stats G2'!B17</f>
        <v>Smith</v>
      </c>
      <c r="H15">
        <f>'Stats G2'!C17</f>
        <v>3</v>
      </c>
      <c r="I15">
        <f>'Stats G2'!E17</f>
        <v>0</v>
      </c>
      <c r="J15">
        <f>'Stats G2'!H17</f>
        <v>3</v>
      </c>
      <c r="K15">
        <f t="shared" si="0"/>
        <v>3</v>
      </c>
      <c r="L15">
        <f>'Stats G2'!K17</f>
        <v>0</v>
      </c>
      <c r="M15">
        <f>'Stats G2'!N17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</row>
    <row r="18" spans="6:13" x14ac:dyDescent="0.2">
      <c r="H18" s="2" t="s">
        <v>5</v>
      </c>
      <c r="I18">
        <f>SUM(I3:I17)</f>
        <v>6</v>
      </c>
      <c r="J18">
        <f>SUM(J3:J17)</f>
        <v>26</v>
      </c>
      <c r="K18">
        <f>SUM(K3:K17)</f>
        <v>32</v>
      </c>
      <c r="L18">
        <f>SUM(L3:L17)</f>
        <v>4</v>
      </c>
      <c r="M18">
        <f>SUM(M3:M17)</f>
        <v>14</v>
      </c>
    </row>
    <row r="20" spans="6:13" x14ac:dyDescent="0.2">
      <c r="F20" t="s">
        <v>4</v>
      </c>
      <c r="G20" t="str">
        <f>'Stats G2'!B21</f>
        <v>Select Team Name</v>
      </c>
    </row>
    <row r="21" spans="6:13" x14ac:dyDescent="0.2">
      <c r="F21" t="s">
        <v>1</v>
      </c>
      <c r="G21" t="s">
        <v>2</v>
      </c>
      <c r="H21" t="s">
        <v>0</v>
      </c>
      <c r="I21" t="s">
        <v>245</v>
      </c>
      <c r="J21" t="s">
        <v>246</v>
      </c>
      <c r="K21" t="s">
        <v>247</v>
      </c>
      <c r="L21" t="s">
        <v>243</v>
      </c>
      <c r="M21" t="s">
        <v>244</v>
      </c>
    </row>
    <row r="22" spans="6:13" x14ac:dyDescent="0.2">
      <c r="F22" t="str">
        <f>'Stats G2'!A23</f>
        <v>Kur</v>
      </c>
      <c r="G22" t="str">
        <f>'Stats G2'!B23</f>
        <v>Kuath</v>
      </c>
      <c r="H22">
        <f>'Stats G2'!C23</f>
        <v>34</v>
      </c>
      <c r="I22">
        <f>'Stats G2'!E23</f>
        <v>0</v>
      </c>
      <c r="J22">
        <f>'Stats G2'!H23</f>
        <v>6</v>
      </c>
      <c r="K22">
        <f>J22+I22</f>
        <v>6</v>
      </c>
      <c r="L22">
        <f>'Stats G2'!K23</f>
        <v>0</v>
      </c>
      <c r="M22">
        <f>'Stats G2'!N23</f>
        <v>1</v>
      </c>
    </row>
    <row r="23" spans="6:13" x14ac:dyDescent="0.2">
      <c r="F23" t="str">
        <f>'Stats G2'!A24</f>
        <v>Neema</v>
      </c>
      <c r="G23" t="str">
        <f>'Stats G2'!B24</f>
        <v>Namdar</v>
      </c>
      <c r="H23">
        <f>'Stats G2'!C24</f>
        <v>0</v>
      </c>
      <c r="I23">
        <f>'Stats G2'!E24</f>
        <v>0</v>
      </c>
      <c r="J23">
        <f>'Stats G2'!H24</f>
        <v>2</v>
      </c>
      <c r="K23">
        <f t="shared" ref="K23:K36" si="1">J23+I23</f>
        <v>2</v>
      </c>
      <c r="L23">
        <f>'Stats G2'!K24</f>
        <v>1</v>
      </c>
      <c r="M23">
        <f>'Stats G2'!N24</f>
        <v>0</v>
      </c>
    </row>
    <row r="24" spans="6:13" x14ac:dyDescent="0.2">
      <c r="F24" t="str">
        <f>'Stats G2'!A25</f>
        <v>Yoeli</v>
      </c>
      <c r="G24" t="str">
        <f>'Stats G2'!B25</f>
        <v>Childs</v>
      </c>
      <c r="H24">
        <f>'Stats G2'!C25</f>
        <v>23</v>
      </c>
      <c r="I24">
        <f>'Stats G2'!E25</f>
        <v>3</v>
      </c>
      <c r="J24">
        <f>'Stats G2'!H25</f>
        <v>2</v>
      </c>
      <c r="K24">
        <f t="shared" si="1"/>
        <v>5</v>
      </c>
      <c r="L24">
        <f>'Stats G2'!K25</f>
        <v>0</v>
      </c>
      <c r="M24">
        <f>'Stats G2'!N25</f>
        <v>0</v>
      </c>
    </row>
    <row r="25" spans="6:13" x14ac:dyDescent="0.2">
      <c r="F25" t="str">
        <f>'Stats G2'!A26</f>
        <v>Blaze</v>
      </c>
      <c r="G25" t="str">
        <f>'Stats G2'!B26</f>
        <v>Nield</v>
      </c>
      <c r="H25">
        <f>'Stats G2'!C26</f>
        <v>3</v>
      </c>
      <c r="I25">
        <f>'Stats G2'!E26</f>
        <v>2</v>
      </c>
      <c r="J25">
        <f>'Stats G2'!H26</f>
        <v>8</v>
      </c>
      <c r="K25">
        <f t="shared" si="1"/>
        <v>10</v>
      </c>
      <c r="L25">
        <f>'Stats G2'!K26</f>
        <v>2</v>
      </c>
      <c r="M25">
        <f>'Stats G2'!N26</f>
        <v>1</v>
      </c>
    </row>
    <row r="26" spans="6:13" x14ac:dyDescent="0.2">
      <c r="F26" t="str">
        <f>'Stats G2'!A27</f>
        <v>Kylor</v>
      </c>
      <c r="G26" t="str">
        <f>'Stats G2'!B27</f>
        <v>Kelley</v>
      </c>
      <c r="H26">
        <f>'Stats G2'!C27</f>
        <v>35</v>
      </c>
      <c r="I26">
        <f>'Stats G2'!E27</f>
        <v>0</v>
      </c>
      <c r="J26">
        <f>'Stats G2'!H27</f>
        <v>0</v>
      </c>
      <c r="K26">
        <f t="shared" si="1"/>
        <v>0</v>
      </c>
      <c r="L26">
        <f>'Stats G2'!K27</f>
        <v>0</v>
      </c>
      <c r="M26">
        <f>'Stats G2'!N27</f>
        <v>0</v>
      </c>
    </row>
    <row r="27" spans="6:13" x14ac:dyDescent="0.2">
      <c r="F27" t="str">
        <f>'Stats G2'!A28</f>
        <v>Nic</v>
      </c>
      <c r="G27" t="str">
        <f>'Stats G2'!B28</f>
        <v>Paulos</v>
      </c>
      <c r="H27">
        <f>'Stats G2'!C28</f>
        <v>31</v>
      </c>
      <c r="I27">
        <f>'Stats G2'!E28</f>
        <v>0</v>
      </c>
      <c r="J27">
        <f>'Stats G2'!H28</f>
        <v>1</v>
      </c>
      <c r="K27">
        <f t="shared" si="1"/>
        <v>1</v>
      </c>
      <c r="L27">
        <f>'Stats G2'!K28</f>
        <v>2</v>
      </c>
      <c r="M27">
        <f>'Stats G2'!N28</f>
        <v>1</v>
      </c>
    </row>
    <row r="28" spans="6:13" x14ac:dyDescent="0.2">
      <c r="F28" t="str">
        <f>'Stats G2'!A29</f>
        <v>Trey</v>
      </c>
      <c r="G28" t="str">
        <f>'Stats G2'!B29</f>
        <v>Farrer</v>
      </c>
      <c r="H28">
        <f>'Stats G2'!C29</f>
        <v>21</v>
      </c>
      <c r="I28">
        <f>'Stats G2'!E29</f>
        <v>1</v>
      </c>
      <c r="J28">
        <f>'Stats G2'!H29</f>
        <v>4</v>
      </c>
      <c r="K28">
        <f t="shared" si="1"/>
        <v>5</v>
      </c>
      <c r="L28">
        <f>'Stats G2'!K29</f>
        <v>1</v>
      </c>
      <c r="M28">
        <f>'Stats G2'!N29</f>
        <v>0</v>
      </c>
    </row>
    <row r="29" spans="6:13" x14ac:dyDescent="0.2">
      <c r="F29" t="str">
        <f>'Stats G2'!A30</f>
        <v>Connor</v>
      </c>
      <c r="G29" t="str">
        <f>'Stats G2'!B30</f>
        <v>Harding</v>
      </c>
      <c r="H29">
        <f>'Stats G2'!C30</f>
        <v>11</v>
      </c>
      <c r="I29">
        <f>'Stats G2'!E30</f>
        <v>1</v>
      </c>
      <c r="J29">
        <f>'Stats G2'!H30</f>
        <v>5</v>
      </c>
      <c r="K29">
        <f t="shared" si="1"/>
        <v>6</v>
      </c>
      <c r="L29">
        <f>'Stats G2'!K30</f>
        <v>1</v>
      </c>
      <c r="M29">
        <f>'Stats G2'!N30</f>
        <v>1</v>
      </c>
    </row>
    <row r="30" spans="6:13" x14ac:dyDescent="0.2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G2'!E31</f>
        <v>0</v>
      </c>
      <c r="J30">
        <f>'Stats G2'!H31</f>
        <v>6</v>
      </c>
      <c r="K30">
        <f t="shared" si="1"/>
        <v>6</v>
      </c>
      <c r="L30">
        <f>'Stats G2'!K31</f>
        <v>0</v>
      </c>
      <c r="M30">
        <f>'Stats G2'!N31</f>
        <v>1</v>
      </c>
    </row>
    <row r="31" spans="6:13" x14ac:dyDescent="0.2">
      <c r="F31" t="str">
        <f>'Stats G2'!A32</f>
        <v>Sam</v>
      </c>
      <c r="G31" t="str">
        <f>'Stats G2'!B32</f>
        <v>Velez</v>
      </c>
      <c r="H31">
        <f>'Stats G2'!C32</f>
        <v>1</v>
      </c>
      <c r="I31">
        <f>'Stats G2'!E32</f>
        <v>1</v>
      </c>
      <c r="J31">
        <f>'Stats G2'!H32</f>
        <v>1</v>
      </c>
      <c r="K31">
        <f t="shared" si="1"/>
        <v>2</v>
      </c>
      <c r="L31">
        <f>'Stats G2'!K32</f>
        <v>0</v>
      </c>
      <c r="M31">
        <f>'Stats G2'!N32</f>
        <v>3</v>
      </c>
    </row>
    <row r="32" spans="6:13" x14ac:dyDescent="0.2">
      <c r="F32" t="str">
        <f>'Stats G2'!A33</f>
        <v>Gerad</v>
      </c>
      <c r="G32" t="str">
        <f>'Stats G2'!B33</f>
        <v>Davis</v>
      </c>
      <c r="H32">
        <f>'Stats G2'!C33</f>
        <v>10</v>
      </c>
      <c r="I32">
        <f>'Stats G2'!E33</f>
        <v>0</v>
      </c>
      <c r="J32">
        <f>'Stats G2'!H33</f>
        <v>0</v>
      </c>
      <c r="K32">
        <f t="shared" si="1"/>
        <v>0</v>
      </c>
      <c r="L32">
        <f>'Stats G2'!K33</f>
        <v>0</v>
      </c>
      <c r="M32">
        <f>'Stats G2'!N33</f>
        <v>0</v>
      </c>
    </row>
    <row r="33" spans="6:13" x14ac:dyDescent="0.2">
      <c r="F33" t="str">
        <f>'Stats G2'!A34</f>
        <v>?</v>
      </c>
      <c r="G33" t="str">
        <f>'Stats G2'!B34</f>
        <v>?</v>
      </c>
      <c r="I33">
        <f>'Stats G2'!E34</f>
        <v>0</v>
      </c>
      <c r="J33">
        <f>'Stats G2'!H34</f>
        <v>0</v>
      </c>
      <c r="K33">
        <f t="shared" si="1"/>
        <v>0</v>
      </c>
      <c r="L33">
        <f>'Stats G2'!K34</f>
        <v>0</v>
      </c>
      <c r="M33">
        <f>'Stats G2'!N34</f>
        <v>0</v>
      </c>
    </row>
    <row r="34" spans="6:13" x14ac:dyDescent="0.2">
      <c r="F34" t="str">
        <f>'Stats G2'!A35</f>
        <v>Barzin</v>
      </c>
      <c r="G34" t="str">
        <f>'Stats G2'!B35</f>
        <v>Boban</v>
      </c>
      <c r="H34">
        <f>'Stats G2'!C35</f>
        <v>25</v>
      </c>
      <c r="I34">
        <f>'Stats G2'!E35</f>
        <v>0</v>
      </c>
      <c r="J34">
        <f>'Stats G2'!H35</f>
        <v>4</v>
      </c>
      <c r="K34">
        <f t="shared" si="1"/>
        <v>4</v>
      </c>
      <c r="L34">
        <f>'Stats G2'!K35</f>
        <v>0</v>
      </c>
      <c r="M34">
        <f>'Stats G2'!N35</f>
        <v>0</v>
      </c>
    </row>
    <row r="35" spans="6:13" x14ac:dyDescent="0.2">
      <c r="F35" t="str">
        <f>'Stats G2'!A36</f>
        <v>?</v>
      </c>
      <c r="G35" t="str">
        <f>'Stats G2'!B36</f>
        <v>?</v>
      </c>
      <c r="I35">
        <f>'Stats G2'!E36</f>
        <v>0</v>
      </c>
      <c r="J35">
        <f>'Stats G2'!H36</f>
        <v>0</v>
      </c>
      <c r="K35">
        <f t="shared" si="1"/>
        <v>0</v>
      </c>
      <c r="L35">
        <f>'Stats G2'!K36</f>
        <v>0</v>
      </c>
      <c r="M35">
        <f>'Stats G2'!N36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1"/>
        <v>0</v>
      </c>
      <c r="L36">
        <f>'Stats G2'!K37</f>
        <v>0</v>
      </c>
      <c r="M36">
        <f>'Stats G2'!N37</f>
        <v>0</v>
      </c>
    </row>
    <row r="37" spans="6:13" x14ac:dyDescent="0.2">
      <c r="H37" s="2" t="s">
        <v>5</v>
      </c>
      <c r="I37">
        <f>SUM(I22:I36)</f>
        <v>8</v>
      </c>
      <c r="J37">
        <f>SUM(J22:J36)</f>
        <v>39</v>
      </c>
      <c r="K37">
        <f>SUM(K22:K36)</f>
        <v>47</v>
      </c>
      <c r="L37">
        <f>SUM(L22:L36)</f>
        <v>7</v>
      </c>
      <c r="M37">
        <f>SUM(M22:M36)</f>
        <v>8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1" workbookViewId="0">
      <selection activeCell="B35" sqref="B35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9</v>
      </c>
    </row>
    <row r="4" spans="1:21" x14ac:dyDescent="0.2">
      <c r="A4" t="s">
        <v>1</v>
      </c>
      <c r="B4" t="s">
        <v>2</v>
      </c>
      <c r="C4" t="s">
        <v>0</v>
      </c>
      <c r="E4" t="s">
        <v>245</v>
      </c>
      <c r="H4" t="s">
        <v>246</v>
      </c>
      <c r="K4" t="s">
        <v>243</v>
      </c>
      <c r="N4" t="s">
        <v>244</v>
      </c>
    </row>
    <row r="5" spans="1:21" s="6" customFormat="1" x14ac:dyDescent="0.2">
      <c r="A5" t="s">
        <v>38</v>
      </c>
      <c r="B5" t="s">
        <v>27</v>
      </c>
      <c r="C5">
        <v>7</v>
      </c>
      <c r="D5" s="5"/>
      <c r="E5" s="5">
        <v>0</v>
      </c>
      <c r="F5" s="5"/>
      <c r="G5" s="5"/>
      <c r="H5" s="5">
        <v>5</v>
      </c>
      <c r="I5" s="5"/>
      <c r="J5" s="5"/>
      <c r="K5" s="5">
        <v>1</v>
      </c>
      <c r="L5" s="5"/>
      <c r="M5" s="5"/>
      <c r="N5" s="5">
        <v>3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t="s">
        <v>277</v>
      </c>
      <c r="B6" t="s">
        <v>29</v>
      </c>
      <c r="C6">
        <v>5</v>
      </c>
      <c r="E6" s="6">
        <v>0</v>
      </c>
      <c r="H6" s="6">
        <v>0</v>
      </c>
      <c r="K6" s="6">
        <v>0</v>
      </c>
      <c r="N6" s="6">
        <v>1</v>
      </c>
      <c r="Q6" s="6">
        <v>0</v>
      </c>
      <c r="T6" s="6">
        <v>0</v>
      </c>
    </row>
    <row r="7" spans="1:21" s="6" customFormat="1" x14ac:dyDescent="0.2">
      <c r="A7" t="s">
        <v>251</v>
      </c>
      <c r="B7" t="s">
        <v>34</v>
      </c>
      <c r="C7">
        <v>10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t="s">
        <v>24</v>
      </c>
      <c r="B8" t="s">
        <v>17</v>
      </c>
      <c r="C8">
        <v>11</v>
      </c>
      <c r="E8" s="6">
        <v>1</v>
      </c>
      <c r="H8" s="6">
        <v>1</v>
      </c>
      <c r="K8" s="6">
        <v>0</v>
      </c>
      <c r="N8" s="6">
        <v>3</v>
      </c>
      <c r="Q8" s="6">
        <v>0</v>
      </c>
      <c r="T8" s="6">
        <v>0</v>
      </c>
    </row>
    <row r="9" spans="1:21" s="6" customFormat="1" x14ac:dyDescent="0.2">
      <c r="A9" t="s">
        <v>25</v>
      </c>
      <c r="B9" t="s">
        <v>17</v>
      </c>
      <c r="C9">
        <v>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t="s">
        <v>278</v>
      </c>
      <c r="B10" t="s">
        <v>279</v>
      </c>
      <c r="C10">
        <v>0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t="s">
        <v>26</v>
      </c>
      <c r="B11" t="s">
        <v>27</v>
      </c>
      <c r="C11">
        <v>13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t="s">
        <v>280</v>
      </c>
      <c r="B12" t="s">
        <v>101</v>
      </c>
      <c r="C12">
        <v>1</v>
      </c>
      <c r="E12" s="6">
        <v>1</v>
      </c>
      <c r="H12" s="6">
        <v>6</v>
      </c>
      <c r="K12" s="6">
        <v>0</v>
      </c>
      <c r="N12" s="6">
        <v>1</v>
      </c>
      <c r="Q12" s="6">
        <v>0</v>
      </c>
      <c r="T12" s="6">
        <v>0</v>
      </c>
    </row>
    <row r="13" spans="1:21" s="6" customFormat="1" x14ac:dyDescent="0.2">
      <c r="A13" t="s">
        <v>281</v>
      </c>
      <c r="B13" t="s">
        <v>204</v>
      </c>
      <c r="C13">
        <v>4</v>
      </c>
      <c r="D13" s="5"/>
      <c r="E13" s="5">
        <v>0</v>
      </c>
      <c r="F13" s="5"/>
      <c r="G13" s="5"/>
      <c r="H13" s="5">
        <v>4</v>
      </c>
      <c r="I13" s="5"/>
      <c r="J13" s="5"/>
      <c r="K13" s="5">
        <v>0</v>
      </c>
      <c r="L13" s="5"/>
      <c r="M13" s="5"/>
      <c r="N13" s="5">
        <v>3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t="s">
        <v>282</v>
      </c>
      <c r="B14" t="s">
        <v>35</v>
      </c>
      <c r="C14">
        <v>6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t="s">
        <v>283</v>
      </c>
      <c r="B15" t="s">
        <v>284</v>
      </c>
      <c r="C15">
        <v>20</v>
      </c>
      <c r="D15" s="5"/>
      <c r="E15" s="5">
        <v>3</v>
      </c>
      <c r="F15" s="5"/>
      <c r="G15" s="5"/>
      <c r="H15" s="5">
        <v>2</v>
      </c>
      <c r="I15" s="5"/>
      <c r="J15" s="5"/>
      <c r="K15" s="5">
        <v>2</v>
      </c>
      <c r="L15" s="5"/>
      <c r="M15" s="5"/>
      <c r="N15" s="5">
        <v>2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t="s">
        <v>268</v>
      </c>
      <c r="B16" t="s">
        <v>32</v>
      </c>
      <c r="C16">
        <v>8</v>
      </c>
      <c r="E16" s="6">
        <v>1</v>
      </c>
      <c r="H16" s="6">
        <v>5</v>
      </c>
      <c r="K16" s="6">
        <v>1</v>
      </c>
      <c r="N16" s="6">
        <v>1</v>
      </c>
      <c r="Q16" s="6">
        <v>0</v>
      </c>
      <c r="T16" s="6">
        <v>0</v>
      </c>
    </row>
    <row r="17" spans="1:21" s="6" customFormat="1" x14ac:dyDescent="0.2">
      <c r="A17" t="s">
        <v>251</v>
      </c>
      <c r="B17" t="s">
        <v>34</v>
      </c>
      <c r="C17">
        <v>3</v>
      </c>
      <c r="D17" s="5"/>
      <c r="E17" s="5">
        <v>0</v>
      </c>
      <c r="F17" s="5"/>
      <c r="G17" s="5"/>
      <c r="H17" s="5">
        <v>3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6</v>
      </c>
      <c r="H20">
        <f>SUM(H5:H19)</f>
        <v>26</v>
      </c>
      <c r="K20">
        <f>SUM(K5:K19)</f>
        <v>4</v>
      </c>
      <c r="N20">
        <f>SUM(N5:N19)</f>
        <v>14</v>
      </c>
      <c r="Q20">
        <f>SUM(Q5:Q19)</f>
        <v>0</v>
      </c>
      <c r="T20">
        <f>SUM(T5:T19)</f>
        <v>0</v>
      </c>
    </row>
    <row r="21" spans="1:21" x14ac:dyDescent="0.2">
      <c r="A21" s="2" t="s">
        <v>8</v>
      </c>
      <c r="B21" s="1" t="s">
        <v>9</v>
      </c>
    </row>
    <row r="22" spans="1:21" x14ac:dyDescent="0.2">
      <c r="A22" t="s">
        <v>1</v>
      </c>
      <c r="B22" t="s">
        <v>2</v>
      </c>
      <c r="C22" t="s">
        <v>0</v>
      </c>
      <c r="E22" t="s">
        <v>245</v>
      </c>
      <c r="H22" t="s">
        <v>246</v>
      </c>
      <c r="K22" t="s">
        <v>243</v>
      </c>
      <c r="N22" t="s">
        <v>244</v>
      </c>
    </row>
    <row r="23" spans="1:21" s="6" customFormat="1" x14ac:dyDescent="0.2">
      <c r="A23" t="s">
        <v>269</v>
      </c>
      <c r="B23" t="s">
        <v>270</v>
      </c>
      <c r="C23">
        <v>34</v>
      </c>
      <c r="D23" s="5"/>
      <c r="E23" s="5">
        <v>0</v>
      </c>
      <c r="F23" s="5"/>
      <c r="G23" s="5"/>
      <c r="H23" s="5">
        <v>6</v>
      </c>
      <c r="I23" s="5"/>
      <c r="J23" s="5"/>
      <c r="K23" s="5">
        <v>0</v>
      </c>
      <c r="L23" s="5"/>
      <c r="M23" s="5"/>
      <c r="N23" s="5">
        <v>1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t="s">
        <v>153</v>
      </c>
      <c r="B24" t="s">
        <v>154</v>
      </c>
      <c r="C24">
        <v>0</v>
      </c>
      <c r="E24" s="6">
        <v>0</v>
      </c>
      <c r="H24" s="6">
        <v>2</v>
      </c>
      <c r="K24" s="6">
        <v>1</v>
      </c>
      <c r="N24" s="6">
        <v>0</v>
      </c>
      <c r="Q24" s="6">
        <v>0</v>
      </c>
      <c r="T24" s="6">
        <v>0</v>
      </c>
    </row>
    <row r="25" spans="1:21" s="6" customFormat="1" x14ac:dyDescent="0.2">
      <c r="A25" t="s">
        <v>261</v>
      </c>
      <c r="B25" t="s">
        <v>149</v>
      </c>
      <c r="C25">
        <v>23</v>
      </c>
      <c r="D25" s="5"/>
      <c r="E25" s="5">
        <v>3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t="s">
        <v>271</v>
      </c>
      <c r="B26" t="s">
        <v>272</v>
      </c>
      <c r="C26">
        <v>3</v>
      </c>
      <c r="E26" s="6">
        <v>2</v>
      </c>
      <c r="H26" s="6">
        <v>8</v>
      </c>
      <c r="K26" s="6">
        <v>2</v>
      </c>
      <c r="N26" s="6">
        <v>1</v>
      </c>
      <c r="Q26" s="6">
        <v>0</v>
      </c>
      <c r="T26" s="6">
        <v>0</v>
      </c>
    </row>
    <row r="27" spans="1:21" s="6" customFormat="1" x14ac:dyDescent="0.2">
      <c r="A27" t="s">
        <v>108</v>
      </c>
      <c r="B27" t="s">
        <v>109</v>
      </c>
      <c r="C27">
        <v>35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t="s">
        <v>273</v>
      </c>
      <c r="B28" t="s">
        <v>158</v>
      </c>
      <c r="C28">
        <v>31</v>
      </c>
      <c r="E28" s="6">
        <v>0</v>
      </c>
      <c r="H28" s="6">
        <v>1</v>
      </c>
      <c r="K28" s="6">
        <v>2</v>
      </c>
      <c r="N28" s="6">
        <v>1</v>
      </c>
      <c r="Q28" s="6">
        <v>0</v>
      </c>
      <c r="T28" s="6">
        <v>0</v>
      </c>
    </row>
    <row r="29" spans="1:21" s="6" customFormat="1" x14ac:dyDescent="0.2">
      <c r="A29" t="s">
        <v>155</v>
      </c>
      <c r="B29" t="s">
        <v>274</v>
      </c>
      <c r="C29">
        <v>21</v>
      </c>
      <c r="D29" s="5"/>
      <c r="E29" s="5">
        <v>1</v>
      </c>
      <c r="F29" s="5"/>
      <c r="G29" s="5"/>
      <c r="H29" s="5">
        <v>4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t="s">
        <v>213</v>
      </c>
      <c r="B30" t="s">
        <v>218</v>
      </c>
      <c r="C30">
        <v>11</v>
      </c>
      <c r="E30" s="6">
        <v>1</v>
      </c>
      <c r="H30" s="6">
        <v>5</v>
      </c>
      <c r="K30" s="6">
        <v>1</v>
      </c>
      <c r="N30" s="6">
        <v>1</v>
      </c>
      <c r="Q30" s="6">
        <v>0</v>
      </c>
      <c r="T30" s="6">
        <v>0</v>
      </c>
    </row>
    <row r="31" spans="1:21" s="6" customFormat="1" x14ac:dyDescent="0.2">
      <c r="A31" t="s">
        <v>211</v>
      </c>
      <c r="B31" t="s">
        <v>212</v>
      </c>
      <c r="C31">
        <v>24</v>
      </c>
      <c r="D31" s="5"/>
      <c r="E31" s="5">
        <v>0</v>
      </c>
      <c r="F31" s="5"/>
      <c r="G31" s="5"/>
      <c r="H31" s="5">
        <v>6</v>
      </c>
      <c r="I31" s="5"/>
      <c r="J31" s="5"/>
      <c r="K31" s="5">
        <v>0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t="s">
        <v>161</v>
      </c>
      <c r="B32" t="s">
        <v>162</v>
      </c>
      <c r="C32">
        <v>1</v>
      </c>
      <c r="E32" s="6">
        <v>1</v>
      </c>
      <c r="H32" s="6">
        <v>1</v>
      </c>
      <c r="K32" s="6">
        <v>0</v>
      </c>
      <c r="N32" s="6">
        <v>3</v>
      </c>
      <c r="Q32" s="6">
        <v>0</v>
      </c>
      <c r="T32" s="6">
        <v>0</v>
      </c>
    </row>
    <row r="33" spans="1:21" s="6" customFormat="1" x14ac:dyDescent="0.2">
      <c r="A33" t="s">
        <v>95</v>
      </c>
      <c r="B33" t="s">
        <v>275</v>
      </c>
      <c r="C33">
        <v>10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276</v>
      </c>
      <c r="B34" t="s">
        <v>276</v>
      </c>
      <c r="C34"/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t="s">
        <v>285</v>
      </c>
      <c r="B35" t="s">
        <v>286</v>
      </c>
      <c r="C35">
        <v>25</v>
      </c>
      <c r="D35" s="5"/>
      <c r="E35" s="5">
        <v>0</v>
      </c>
      <c r="F35" s="5"/>
      <c r="G35" s="5"/>
      <c r="H35" s="5">
        <v>4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t="s">
        <v>276</v>
      </c>
      <c r="B36" t="s">
        <v>276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8</v>
      </c>
      <c r="H38">
        <f>SUM(H23:H37)</f>
        <v>39</v>
      </c>
      <c r="K38">
        <f>SUM(K23:K37)</f>
        <v>7</v>
      </c>
      <c r="N38">
        <f>SUM(N23:N37)</f>
        <v>8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268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251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267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252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253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250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254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255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256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257</v>
      </c>
      <c r="D50" t="s">
        <v>258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259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242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260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261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249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262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263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264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264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264</v>
      </c>
      <c r="B143" t="str">
        <f>A143&amp;COUNTIF($A$2:$A143,A143)</f>
        <v>Guest3</v>
      </c>
      <c r="C143" t="s">
        <v>265</v>
      </c>
      <c r="D143" t="s">
        <v>239</v>
      </c>
      <c r="E143">
        <v>19</v>
      </c>
    </row>
    <row r="144" spans="1:5" x14ac:dyDescent="0.2">
      <c r="A144" t="s">
        <v>264</v>
      </c>
      <c r="B144" t="str">
        <f>A144&amp;COUNTIF($A$2:$A144,A144)</f>
        <v>Guest4</v>
      </c>
      <c r="C144" t="s">
        <v>241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2022-06-27T16:09:17Z</dcterms:modified>
</cp:coreProperties>
</file>