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2/"/>
    </mc:Choice>
  </mc:AlternateContent>
  <xr:revisionPtr revIDLastSave="0" documentId="13_ncr:1_{DF101852-7978-BA41-A7E1-8B4FD45060A2}" xr6:coauthVersionLast="47" xr6:coauthVersionMax="47" xr10:uidLastSave="{00000000-0000-0000-0000-000000000000}"/>
  <bookViews>
    <workbookView xWindow="10660" yWindow="500" windowWidth="17680" windowHeight="153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37" i="2" l="1"/>
  <c r="K37" i="2"/>
  <c r="J37" i="2"/>
  <c r="K18" i="2"/>
  <c r="J18" i="2"/>
  <c r="L18" i="2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H12" i="2"/>
  <c r="A12" i="1"/>
  <c r="F10" i="2" s="1"/>
  <c r="B9" i="1"/>
  <c r="G7" i="2" s="1"/>
  <c r="G12" i="2"/>
  <c r="C11" i="1"/>
  <c r="H9" i="2" s="1"/>
  <c r="A9" i="1"/>
  <c r="F7" i="2" s="1"/>
  <c r="F12" i="2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<sst xmlns="http://schemas.openxmlformats.org/spreadsheetml/2006/main" count="355" uniqueCount="223">
  <si>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</si>
  <si>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</si>
  <si>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</si>
  <si>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</si>
  <si>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</si>
  <si>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</si>
  <si>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</si>
  <si>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</si>
  <si>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</si>
  <si>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</si>
  <si>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</si>
  <si>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</si>
  <si>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</si>
  <si>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</si>
  <si>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</si>
  <si>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</si>
  <si>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</si>
  <si>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</si>
  <si>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</si>
  <si>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</si>
  <si>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</si>
  <si>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</si>
  <si>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</si>
  <si>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</si>
  <si>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</si>
  <si>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</si>
  <si>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</si>
  <si>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</si>
  <si>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</si>
  <si>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</si>
  <si>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</si>
  <si>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</si>
  <si>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</si>
  <si>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</si>
  <si>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</si>
  <si>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</si>
  <si>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</si>
  <si>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</si>
  <si>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</si>
  <si>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</si>
  <si>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</si>
  <si>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</si>
  <si>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</si>
  <si>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</si>
  <si>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</si>
  <si>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</si>
  <si>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</si>
  <si>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</si>
  <si>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</si>
  <si>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</si>
  <si>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</si>
  <si>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</si>
  <si>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</si>
  <si>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</si>
  <si>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</si>
  <si>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</si>
  <si>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</si>
  <si>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</si>
  <si>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</si>
  <si>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</si>
  <si>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</si>
  <si>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</si>
  <si>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</si>
  <si>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</si>
  <si>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</si>
  <si>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</si>
  <si>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</si>
  <si>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</si>
  <si>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</si>
  <si>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</si>
  <si>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</si>
  <si>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</si>
  <si>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</si>
  <si>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</si>
  <si>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</si>
  <si>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</si>
  <si>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</si>
  <si>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</si>
  <si>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</si>
  <si>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</si>
  <si>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</si>
  <si>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</si>
  <si>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</si>
  <si>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</si>
  <si>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</si>
  <si>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</si>
  <si>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</si>
  <si>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</si>
  <si>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</si>
  <si>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</si>
  <si>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</si>
  <si>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</si>
  <si>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</si>
  <si>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</si>
  <si>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</si>
  <si>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</si>
  <si>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</si>
  <si>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</si>
  <si>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</si>
  <si>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</si>
  <si>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</si>
  <si>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</si>
  <si>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</si>
  <si>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</si>
  <si>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</si>
  <si>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</si>
  <si>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</si>
  <si>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</si>
  <si>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</si>
  <si>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</si>
  <si>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</si>
  <si>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</si>
  <si>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</si>
  <si>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</si>
  <si>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</si>
  <si>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</si>
  <si>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</si>
  <si>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</si>
  <si>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</si>
  <si>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</si>
  <si>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</si>
  <si>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</si>
  <si>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</si>
  <si>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</si>
  <si>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</si>
  <si>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</si>
  <si>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</si>
  <si>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</si>
  <si>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</si>
  <si>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</si>
  <si>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</si>
  <si>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</si>
  <si>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</si>
  <si>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</si>
  <si>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</si>
  <si>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</si>
  <si>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</si>
  <si>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</si>
  <si>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</si>
  <si>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</si>
  <si>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</si>
  <si>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</si>
  <si>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</si>
  <si>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</si>
  <si>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</si>
  <si>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</si>
  <si>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</si>
  <si>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</si>
  <si>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</si>
  <si>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</si>
  <si>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</si>
  <si>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</si>
  <si>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</si>
  <si>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</si>
  <si>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</si>
  <si>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</si>
  <si>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</si>
  <si>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</si>
  <si>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</si>
  <si>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</si>
  <si>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</si>
  <si>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</si>
  <si>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</si>
  <si>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</si>
  <si>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</si>
  <si>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</si>
  <si>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</si>
  <si>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</si>
  <si>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</si>
  <si>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</si>
  <si>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</si>
  <si>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</si>
  <si>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</si>
  <si>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</si>
  <si>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</si>
  <si>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</si>
  <si>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</si>
  <si>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</si>
  <si>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</si>
  <si>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</si>
  <si>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</si>
  <si>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</si>
  <si>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</si>
  <si>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</si>
  <si>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</si>
  <si>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</si>
  <si>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</si>
  <si>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</si>
  <si>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</si>
  <si>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</si>
  <si>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</si>
  <si>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</si>
  <si>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</si>
  <si>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</si>
  <si>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</si>
  <si>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</si>
  <si>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</si>
  <si>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</si>
  <si>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Caleb</t>
  </si>
  <si>
    <t>Leonhardt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</si>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</sst>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7" workbookViewId="0">
      <selection activeCell="I30" sqref="I3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Team Egan</v>
      </c>
    </row>
    <row r="2" spans="2:12" x14ac:dyDescent="0.2">
      <c r="B2" t="str">
        <f>G1</f>
        <v>Team Egan</v>
      </c>
      <c r="D2" t="str">
        <f>G20</f>
        <v>Team Humpherys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94</v>
      </c>
      <c r="C3" s="3" t="s">
        <v>13</v>
      </c>
      <c r="D3" s="4">
        <f>I37</f>
        <v>93</v>
      </c>
      <c r="F3" t="str">
        <f>'Stats G1'!A5</f>
        <v>Casdon</v>
      </c>
      <c r="G3" t="str">
        <f>'Stats G1'!B5</f>
        <v>Jardine</v>
      </c>
      <c r="H3">
        <f>'Stats G1'!C5</f>
        <v>22</v>
      </c>
      <c r="I3">
        <f>'Stats G1'!H5*2+'Stats G1'!N5*3+'Stats G1'!T5</f>
        <v>18</v>
      </c>
      <c r="J3" t="str">
        <f>SUM('Stats G1'!H5+'Stats G1'!N5)&amp;"-"&amp;SUM('Stats G1'!E5+'Stats G1'!K5)</f>
        <v>6-19</v>
      </c>
      <c r="K3" t="str">
        <f>SUM('Stats G1'!N5)&amp;"-"&amp;SUM('Stats G1'!K5)</f>
        <v>5-14</v>
      </c>
      <c r="L3" t="str">
        <f>SUM('Stats G1'!T5)&amp;"-"&amp;SUM('Stats G1'!Q5)</f>
        <v>1-2</v>
      </c>
    </row>
    <row r="4" spans="2:12" x14ac:dyDescent="0.2">
      <c r="F4" t="str">
        <f>'Stats G1'!A6</f>
        <v>Rex</v>
      </c>
      <c r="G4" t="str">
        <f>'Stats G1'!B6</f>
        <v>Sunderland</v>
      </c>
      <c r="H4">
        <f>'Stats G1'!C6</f>
        <v>13</v>
      </c>
      <c r="I4">
        <f>'Stats G1'!H6*2+'Stats G1'!N6*3+'Stats G1'!T6</f>
        <v>5</v>
      </c>
      <c r="J4" t="str">
        <f>SUM('Stats G1'!H6+'Stats G1'!N6)&amp;"-"&amp;SUM('Stats G1'!E6+'Stats G1'!K6)</f>
        <v>2-6</v>
      </c>
      <c r="K4" t="str">
        <f>SUM('Stats G1'!N6)&amp;"-"&amp;SUM('Stats G1'!K6)</f>
        <v>1-2</v>
      </c>
      <c r="L4" t="str">
        <f>SUM('Stats G1'!T6)&amp;"-"&amp;SUM('Stats G1'!Q6)</f>
        <v>0-0</v>
      </c>
    </row>
    <row r="5" spans="2:12" x14ac:dyDescent="0.2">
      <c r="F5" t="str">
        <f>'Stats G1'!A7</f>
        <v>Steve</v>
      </c>
      <c r="G5" t="str">
        <f>'Stats G1'!B7</f>
        <v>Panos</v>
      </c>
      <c r="H5">
        <f>'Stats G1'!C7</f>
        <v>0</v>
      </c>
      <c r="I5">
        <f>'Stats G1'!H7*2+'Stats G1'!N7*3+'Stats G1'!T7</f>
        <v>10</v>
      </c>
      <c r="J5" t="str">
        <f>SUM('Stats G1'!H7+'Stats G1'!N7)&amp;"-"&amp;SUM('Stats G1'!E7+'Stats G1'!K7)</f>
        <v>4-7</v>
      </c>
      <c r="K5" t="str">
        <f>SUM('Stats G1'!N7)&amp;"-"&amp;SUM('Stats G1'!K7)</f>
        <v>0-1</v>
      </c>
      <c r="L5" t="str">
        <f>SUM('Stats G1'!T7)&amp;"-"&amp;SUM('Stats G1'!Q7)</f>
        <v>2-8</v>
      </c>
    </row>
    <row r="6" spans="2:12" x14ac:dyDescent="0.2">
      <c r="F6" t="str">
        <f>'Stats G1'!A8</f>
        <v>James</v>
      </c>
      <c r="G6" t="str">
        <f>'Stats G1'!B8</f>
        <v>Walljasper</v>
      </c>
      <c r="H6">
        <f>'Stats G1'!C8</f>
        <v>1</v>
      </c>
      <c r="I6">
        <f>'Stats G1'!H8*2+'Stats G1'!N8*3+'Stats G1'!T8</f>
        <v>8</v>
      </c>
      <c r="J6" t="str">
        <f>SUM('Stats G1'!H8+'Stats G1'!N8)&amp;"-"&amp;SUM('Stats G1'!E8+'Stats G1'!K8)</f>
        <v>4-11</v>
      </c>
      <c r="K6" t="str">
        <f>SUM('Stats G1'!N8)&amp;"-"&amp;SUM('Stats G1'!K8)</f>
        <v>0-1</v>
      </c>
      <c r="L6" t="str">
        <f>SUM('Stats G1'!T8)&amp;"-"&amp;SUM('Stats G1'!Q8)</f>
        <v>0-2</v>
      </c>
    </row>
    <row r="7" spans="2:12" x14ac:dyDescent="0.2">
      <c r="F7" t="str">
        <f>'Stats G1'!A9</f>
        <v>Wil</v>
      </c>
      <c r="G7" t="str">
        <f>'Stats G1'!B9</f>
        <v>Carter</v>
      </c>
      <c r="H7">
        <f>'Stats G1'!C9</f>
        <v>15</v>
      </c>
      <c r="I7">
        <f>'Stats G1'!H9*2+'Stats G1'!N9*3+'Stats G1'!T9</f>
        <v>30</v>
      </c>
      <c r="J7" t="str">
        <f>SUM('Stats G1'!H9+'Stats G1'!N9)&amp;"-"&amp;SUM('Stats G1'!E9+'Stats G1'!K9)</f>
        <v>12-23</v>
      </c>
      <c r="K7" t="str">
        <f>SUM('Stats G1'!N9)&amp;"-"&amp;SUM('Stats G1'!K9)</f>
        <v>2-4</v>
      </c>
      <c r="L7" t="str">
        <f>SUM('Stats G1'!T9)&amp;"-"&amp;SUM('Stats G1'!Q9)</f>
        <v>4-5</v>
      </c>
    </row>
    <row r="8" spans="2:12" x14ac:dyDescent="0.2">
      <c r="F8" t="str">
        <f>'Stats G1'!A10</f>
        <v>Drew</v>
      </c>
      <c r="G8" t="str">
        <f>'Stats G1'!B10</f>
        <v>Lokeni</v>
      </c>
      <c r="H8">
        <f>'Stats G1'!C10</f>
        <v>7</v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>Mason</v>
      </c>
      <c r="G9" t="str">
        <f>'Stats G1'!B11</f>
        <v>Sawyer</v>
      </c>
      <c r="H9">
        <f>'Stats G1'!C11</f>
        <v>4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Adam</v>
      </c>
      <c r="G10" t="str">
        <f>'Stats G1'!B12</f>
        <v>Egan</v>
      </c>
      <c r="H10">
        <f>'Stats G1'!C12</f>
        <v>13</v>
      </c>
      <c r="I10">
        <f>'Stats G1'!H12*2+'Stats G1'!N12*3+'Stats G1'!T12</f>
        <v>0</v>
      </c>
      <c r="J10" t="str">
        <f>SUM('Stats G1'!H12+'Stats G1'!N12)&amp;"-"&amp;SUM('Stats G1'!E12+'Stats G1'!K12)</f>
        <v>0-3</v>
      </c>
      <c r="K10" t="str">
        <f>SUM('Stats G1'!N12)&amp;"-"&amp;SUM('Stats G1'!K12)</f>
        <v>0-2</v>
      </c>
      <c r="L10" t="str">
        <f>SUM('Stats G1'!T12)&amp;"-"&amp;SUM('Stats G1'!Q12)</f>
        <v>0-0</v>
      </c>
    </row>
    <row r="11" spans="2:12" x14ac:dyDescent="0.2">
      <c r="F11" t="str">
        <f>'Stats G1'!A13</f>
        <v>Tony</v>
      </c>
      <c r="G11" t="str">
        <f>'Stats G1'!B13</f>
        <v>Roberts</v>
      </c>
      <c r="H11">
        <f>'Stats G1'!C13</f>
        <v>21</v>
      </c>
      <c r="I11">
        <f>'Stats G1'!H13*2+'Stats G1'!N13*3+'Stats G1'!T13</f>
        <v>14</v>
      </c>
      <c r="J11" t="str">
        <f>SUM('Stats G1'!H13+'Stats G1'!N13)&amp;"-"&amp;SUM('Stats G1'!E13+'Stats G1'!K13)</f>
        <v>7-20</v>
      </c>
      <c r="K11" t="str">
        <f>SUM('Stats G1'!N13)&amp;"-"&amp;SUM('Stats G1'!K13)</f>
        <v>0-6</v>
      </c>
      <c r="L11" t="str">
        <f>SUM('Stats G1'!T13)&amp;"-"&amp;SUM('Stats G1'!Q13)</f>
        <v>0-0</v>
      </c>
    </row>
    <row r="12" spans="2:12" x14ac:dyDescent="0.2">
      <c r="F12" t="str">
        <f>'Stats G1'!A14</f>
        <v>Caleb</v>
      </c>
      <c r="G12" t="str">
        <f>'Stats G1'!B14</f>
        <v>Leonhardt</v>
      </c>
      <c r="H12">
        <f>'Stats G1'!C14</f>
        <v>6</v>
      </c>
      <c r="I12">
        <f>'Stats G1'!H14*2+'Stats G1'!N14*3+'Stats G1'!T14</f>
        <v>9</v>
      </c>
      <c r="J12" t="str">
        <f>SUM('Stats G1'!H14+'Stats G1'!N14)&amp;"-"&amp;SUM('Stats G1'!E14+'Stats G1'!K14)</f>
        <v>3-6</v>
      </c>
      <c r="K12" t="str">
        <f>SUM('Stats G1'!N14)&amp;"-"&amp;SUM('Stats G1'!K14)</f>
        <v>3-6</v>
      </c>
      <c r="L12" t="str">
        <f>SUM('Stats G1'!T14)&amp;"-"&amp;SUM('Stats G1'!Q14)</f>
        <v>0-0</v>
      </c>
    </row>
    <row r="13" spans="2:12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G1'!H15*2+'Stats G1'!N15*3+'Stats G1'!T15</f>
        <v>0</v>
      </c>
      <c r="J13" t="str">
        <f>SUM('Stats G1'!H15+'Stats G1'!N15)&amp;"-"&amp;SUM('Stats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12</v>
      </c>
      <c r="I18">
        <f>SUM(I3:I17)</f>
        <v>94</v>
      </c>
      <c r="J18" t="str">
        <f>SUM('Stats G1'!H20+'Stats G1'!N20)&amp;"-"&amp;SUM('Stats G1'!E20+'Stats G1'!K20)</f>
        <v>38-95</v>
      </c>
      <c r="K18" t="str">
        <f>SUM('Stats G1'!N20)&amp;"-"&amp;SUM('Stats G1'!K20)</f>
        <v>11-36</v>
      </c>
      <c r="L18" t="str">
        <f>SUM('Stats G1'!T20)&amp;"-"&amp;SUM('Stats G1'!Q20)</f>
        <v>7-17</v>
      </c>
    </row>
    <row r="20" spans="6:12" x14ac:dyDescent="0.2">
      <c r="F20" t="s">
        <v>11</v>
      </c>
      <c r="G20" t="str">
        <f>'Stats G1'!B21</f>
        <v>Team Humpherys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John</v>
      </c>
      <c r="G22" t="str">
        <f>'Stats G1'!B23</f>
        <v>Knight III</v>
      </c>
      <c r="H22">
        <f>'Stats G1'!C23</f>
        <v>23</v>
      </c>
      <c r="I22">
        <f>'Stats G1'!H23*2+'Stats G1'!N23*3+'Stats G1'!T23</f>
        <v>14</v>
      </c>
      <c r="J22" t="str">
        <f>SUM('Stats G1'!H23+'Stats G1'!N23)&amp;"-"&amp;SUM('Stats G1'!E23+'Stats G1'!K23)</f>
        <v>7-11</v>
      </c>
      <c r="K22" t="str">
        <f>SUM('Stats G1'!N23)&amp;"-"&amp;SUM('Stats G1'!K23)</f>
        <v>0-1</v>
      </c>
      <c r="L22" t="str">
        <f>SUM('Stats G1'!T23)&amp;"-"&amp;SUM('Stats G1'!Q23)</f>
        <v>0-0</v>
      </c>
    </row>
    <row r="23" spans="6:12" x14ac:dyDescent="0.2">
      <c r="F23" t="str">
        <f>'Stats G1'!A24</f>
        <v>Isaac</v>
      </c>
      <c r="G23" t="str">
        <f>'Stats G1'!B24</f>
        <v>Johnson</v>
      </c>
      <c r="H23">
        <f>'Stats G1'!C24</f>
        <v>20</v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>Seena</v>
      </c>
      <c r="G24" t="str">
        <f>'Stats G1'!B25</f>
        <v>Namdar</v>
      </c>
      <c r="H24">
        <f>'Stats G1'!C25</f>
        <v>13</v>
      </c>
      <c r="I24">
        <f>'Stats G1'!H25*2+'Stats G1'!N25*3+'Stats G1'!T25</f>
        <v>0</v>
      </c>
      <c r="J24" t="str">
        <f>SUM('Stats G1'!H25+'Stats G1'!N25)&amp;"-"&amp;SUM('Stats G1'!E25+'Stats G1'!K25)</f>
        <v>0-2</v>
      </c>
      <c r="K24" t="str">
        <f>SUM('Stats G1'!N25)&amp;"-"&amp;SUM('Stats G1'!K25)</f>
        <v>0-1</v>
      </c>
      <c r="L24" t="str">
        <f>SUM('Stats G1'!T25)&amp;"-"&amp;SUM('Stats G1'!Q25)</f>
        <v>0-0</v>
      </c>
    </row>
    <row r="25" spans="6:12" x14ac:dyDescent="0.2">
      <c r="F25" t="str">
        <f>'Stats G1'!A26</f>
        <v>Hunter</v>
      </c>
      <c r="G25" t="str">
        <f>'Stats G1'!B26</f>
        <v>Humpherys</v>
      </c>
      <c r="H25">
        <f>'Stats G1'!C26</f>
        <v>11</v>
      </c>
      <c r="I25">
        <f>'Stats G1'!H26*2+'Stats G1'!N26*3+'Stats G1'!T26</f>
        <v>6</v>
      </c>
      <c r="J25" t="str">
        <f>SUM('Stats G1'!H26+'Stats G1'!N26)&amp;"-"&amp;SUM('Stats G1'!E26+'Stats G1'!K26)</f>
        <v>2-3</v>
      </c>
      <c r="K25" t="str">
        <f>SUM('Stats G1'!N26)&amp;"-"&amp;SUM('Stats G1'!K26)</f>
        <v>0-1</v>
      </c>
      <c r="L25" t="str">
        <f>SUM('Stats G1'!T26)&amp;"-"&amp;SUM('Stats G1'!Q26)</f>
        <v>2-2</v>
      </c>
    </row>
    <row r="26" spans="6:12" x14ac:dyDescent="0.2">
      <c r="F26" t="str">
        <f>'Stats G1'!A27</f>
        <v>Mark</v>
      </c>
      <c r="G26" t="str">
        <f>'Stats G1'!B27</f>
        <v>Burton</v>
      </c>
      <c r="H26">
        <f>'Stats G1'!C27</f>
        <v>3</v>
      </c>
      <c r="I26">
        <f>'Stats G1'!H27*2+'Stats G1'!N27*3+'Stats G1'!T27</f>
        <v>6</v>
      </c>
      <c r="J26" t="str">
        <f>SUM('Stats G1'!H27+'Stats G1'!N27)&amp;"-"&amp;SUM('Stats G1'!E27+'Stats G1'!K27)</f>
        <v>3-6</v>
      </c>
      <c r="K26" t="str">
        <f>SUM('Stats G1'!N27)&amp;"-"&amp;SUM('Stats G1'!K27)</f>
        <v>0-3</v>
      </c>
      <c r="L26" t="str">
        <f>SUM('Stats G1'!T27)&amp;"-"&amp;SUM('Stats G1'!Q27)</f>
        <v>0-0</v>
      </c>
    </row>
    <row r="27" spans="6:12" x14ac:dyDescent="0.2">
      <c r="F27" t="str">
        <f>'Stats G1'!A28</f>
        <v>Gabe</v>
      </c>
      <c r="G27" t="str">
        <f>'Stats G1'!B28</f>
        <v>Madsen</v>
      </c>
      <c r="H27">
        <f>'Stats G1'!C28</f>
        <v>55</v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Marco</v>
      </c>
      <c r="G28" t="str">
        <f>'Stats G1'!B29</f>
        <v>Anthony</v>
      </c>
      <c r="H28">
        <f>'Stats G1'!C29</f>
        <v>99</v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">
      <c r="F29" t="str">
        <f>'Stats G1'!A30</f>
        <v>Dee</v>
      </c>
      <c r="G29" t="str">
        <f>'Stats G1'!B30</f>
        <v>Barnes</v>
      </c>
      <c r="H29">
        <f>'Stats G1'!C30</f>
        <v>22</v>
      </c>
      <c r="I29">
        <f>'Stats G1'!H30*2+'Stats G1'!N30*3+'Stats G1'!T30</f>
        <v>16</v>
      </c>
      <c r="J29" t="str">
        <f>SUM('Stats G1'!H30+'Stats G1'!N30)&amp;"-"&amp;SUM('Stats G1'!E30+'Stats G1'!K30)</f>
        <v>5-15</v>
      </c>
      <c r="K29" t="str">
        <f>SUM('Stats G1'!N30)&amp;"-"&amp;SUM('Stats G1'!K30)</f>
        <v>4-9</v>
      </c>
      <c r="L29" t="str">
        <f>SUM('Stats G1'!T30)&amp;"-"&amp;SUM('Stats G1'!Q30)</f>
        <v>2-4</v>
      </c>
    </row>
    <row r="30" spans="6:12" x14ac:dyDescent="0.2">
      <c r="F30" t="str">
        <f>'Stats G1'!A31</f>
        <v>Zack</v>
      </c>
      <c r="G30" t="str">
        <f>'Stats G1'!B31</f>
        <v>Visentin</v>
      </c>
      <c r="H30">
        <f>'Stats G1'!C31</f>
        <v>32</v>
      </c>
      <c r="I30">
        <f>'Stats G1'!H31*2+'Stats G1'!N31*3+'Stats G1'!T31</f>
        <v>12</v>
      </c>
      <c r="J30" t="str">
        <f>SUM('Stats G1'!H31+'Stats G1'!N31)&amp;"-"&amp;SUM('Stats G1'!E31+'Stats G1'!K31)</f>
        <v>6-10</v>
      </c>
      <c r="K30" t="str">
        <f>SUM('Stats G1'!N31)&amp;"-"&amp;SUM('Stats G1'!K31)</f>
        <v>0-2</v>
      </c>
      <c r="L30" t="str">
        <f>SUM('Stats G1'!T31)&amp;"-"&amp;SUM('Stats G1'!Q31)</f>
        <v>0-2</v>
      </c>
    </row>
    <row r="31" spans="6:12" x14ac:dyDescent="0.2">
      <c r="F31" t="str">
        <f>'Stats G1'!A32</f>
        <v>Demarcus</v>
      </c>
      <c r="G31" t="str">
        <f>'Stats G1'!B32</f>
        <v>Harrison</v>
      </c>
      <c r="H31">
        <f>'Stats G1'!C32</f>
        <v>31</v>
      </c>
      <c r="I31">
        <f>'Stats G1'!H32*2+'Stats G1'!N32*3+'Stats G1'!T32</f>
        <v>0</v>
      </c>
      <c r="J31" t="str">
        <f>SUM('Stats G1'!H32+'Stats G1'!N32)&amp;"-"&amp;SUM('Stats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Trey</v>
      </c>
      <c r="G32" t="str">
        <f>'Stats G1'!B33</f>
        <v>Anderson</v>
      </c>
      <c r="H32">
        <f>'Stats G1'!C33</f>
        <v>5</v>
      </c>
      <c r="I32">
        <f>'Stats G1'!H33*2+'Stats G1'!N33*3+'Stats G1'!T33</f>
        <v>12</v>
      </c>
      <c r="J32" t="str">
        <f>SUM('Stats G1'!H33+'Stats G1'!N33)&amp;"-"&amp;SUM('Stats G1'!E33+'Stats G1'!K33)</f>
        <v>5-8</v>
      </c>
      <c r="K32" t="str">
        <f>SUM('Stats G1'!N33)&amp;"-"&amp;SUM('Stats G1'!K33)</f>
        <v>1-3</v>
      </c>
      <c r="L32" t="str">
        <f>SUM('Stats G1'!T33)&amp;"-"&amp;SUM('Stats G1'!Q33)</f>
        <v>1-1</v>
      </c>
    </row>
    <row r="33" spans="6:12" x14ac:dyDescent="0.2">
      <c r="F33" t="str">
        <f>'Stats G1'!A34</f>
        <v>Lual</v>
      </c>
      <c r="G33" t="str">
        <f>'Stats G1'!B34</f>
        <v>Arok</v>
      </c>
      <c r="H33">
        <f>'Stats G1'!C34</f>
        <v>9</v>
      </c>
      <c r="I33">
        <f>'Stats G1'!H34*2+'Stats G1'!N34*3+'Stats G1'!T34</f>
        <v>7</v>
      </c>
      <c r="J33" t="str">
        <f>SUM('Stats G1'!H34+'Stats G1'!N34)&amp;"-"&amp;SUM('Stats G1'!E34+'Stats G1'!K34)</f>
        <v>3-4</v>
      </c>
      <c r="K33" t="str">
        <f>SUM('Stats G1'!N34)&amp;"-"&amp;SUM('Stats G1'!K34)</f>
        <v>1-1</v>
      </c>
      <c r="L33" t="str">
        <f>SUM('Stats G1'!T34)&amp;"-"&amp;SUM('Stats G1'!Q34)</f>
        <v>0-1</v>
      </c>
    </row>
    <row r="34" spans="6:12" x14ac:dyDescent="0.2">
      <c r="F34" t="str">
        <f>'Stats G1'!A35</f>
        <v>Zach</v>
      </c>
      <c r="G34" t="str">
        <f>'Stats G1'!B35</f>
        <v>Mogbo</v>
      </c>
      <c r="H34">
        <f>'Stats G1'!C35</f>
        <v>4</v>
      </c>
      <c r="I34">
        <f>'Stats G1'!H35*2+'Stats G1'!N35*3+'Stats G1'!T35</f>
        <v>20</v>
      </c>
      <c r="J34" t="str">
        <f>SUM('Stats G1'!H35+'Stats G1'!N35)&amp;"-"&amp;SUM('Stats G1'!E35+'Stats G1'!K35)</f>
        <v>7-12</v>
      </c>
      <c r="K34" t="str">
        <f>SUM('Stats G1'!N35)&amp;"-"&amp;SUM('Stats G1'!K35)</f>
        <v>1-3</v>
      </c>
      <c r="L34" t="str">
        <f>SUM('Stats G1'!T35)&amp;"-"&amp;SUM('Stats G1'!Q35)</f>
        <v>5-8</v>
      </c>
    </row>
    <row r="35" spans="6:12" x14ac:dyDescent="0.2">
      <c r="F35" t="str">
        <f>'Stats G1'!A36</f>
        <v>Kyle</v>
      </c>
      <c r="G35" t="str">
        <f>'Stats G1'!B36</f>
        <v>Nielsen</v>
      </c>
      <c r="H35">
        <f>'Stats G1'!C36</f>
        <v>1</v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93</v>
      </c>
      <c r="J37" t="str">
        <f>SUM('Stats G1'!H38+'Stats G1'!N38)&amp;"-"&amp;SUM('Stats G1'!E38+'Stats G1'!K38)</f>
        <v>38-71</v>
      </c>
      <c r="K37" t="str">
        <f>SUM('Stats G1'!N38)&amp;"-"&amp;SUM('Stats G1'!K38)</f>
        <v>7-24</v>
      </c>
      <c r="L37" t="str">
        <f>SUM('Stats G1'!T38)&amp;"-"&amp;SUM('Stats G1'!Q38)</f>
        <v>10-18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5" zoomScale="90" zoomScaleNormal="90" workbookViewId="0">
      <selection activeCell="U30" sqref="U3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27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</row>
    <row r="5" spans="1:24" s="6" customFormat="1" x14ac:dyDescent="0.2">
      <c r="A5" s="5" t="str">
        <f>_xlfn.IFNA(VLOOKUP($B$3&amp;ROWS($A$5:A5),Rosters!$B$2:$C$163,2,0),"?")</f>
        <v>Casdon</v>
      </c>
      <c r="B5" s="5" t="str">
        <f>_xlfn.IFNA(VLOOKUP($B$3&amp;ROWS($B$5:B5),Rosters!$B$2:$D$163,3,0),"?")</f>
        <v>Jardine</v>
      </c>
      <c r="C5" s="5">
        <f>_xlfn.IFNA(VLOOKUP($B$3&amp;ROWS($C$5:C5),Rosters!$B$2:$E$163,4,0),"")</f>
        <v>22</v>
      </c>
      <c r="D5" s="5"/>
      <c r="E5" s="5">
        <v>5</v>
      </c>
      <c r="F5" s="5"/>
      <c r="G5" s="5"/>
      <c r="H5" s="5">
        <v>1</v>
      </c>
      <c r="I5" s="5"/>
      <c r="J5" s="5"/>
      <c r="K5" s="5">
        <v>14</v>
      </c>
      <c r="L5" s="5"/>
      <c r="M5" s="5"/>
      <c r="N5" s="5">
        <v>5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Rex</v>
      </c>
      <c r="B6" s="6" t="str">
        <f>_xlfn.IFNA(VLOOKUP($B$3&amp;ROWS($B$5:B6),Rosters!$B$2:$D$163,3,0),"?")</f>
        <v>Sunderland</v>
      </c>
      <c r="C6" s="6">
        <f>_xlfn.IFNA(VLOOKUP($B$3&amp;ROWS($C$5:C6),Rosters!$B$2:$E$163,4,0),"")</f>
        <v>13</v>
      </c>
      <c r="E6" s="6">
        <v>4</v>
      </c>
      <c r="H6" s="6">
        <v>1</v>
      </c>
      <c r="K6" s="6">
        <v>2</v>
      </c>
      <c r="N6" s="6">
        <v>1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Steve</v>
      </c>
      <c r="B7" s="5" t="str">
        <f>_xlfn.IFNA(VLOOKUP($B$3&amp;ROWS($B$5:B7),Rosters!$B$2:$D$163,3,0),"?")</f>
        <v>Panos</v>
      </c>
      <c r="C7" s="5">
        <f>_xlfn.IFNA(VLOOKUP($B$3&amp;ROWS($C$5:C7),Rosters!$B$2:$E$163,4,0),"")</f>
        <v>0</v>
      </c>
      <c r="D7" s="5"/>
      <c r="E7" s="5">
        <v>6</v>
      </c>
      <c r="F7" s="5"/>
      <c r="G7" s="5"/>
      <c r="H7" s="5">
        <v>4</v>
      </c>
      <c r="I7" s="5"/>
      <c r="J7" s="5"/>
      <c r="K7" s="5">
        <v>1</v>
      </c>
      <c r="L7" s="5"/>
      <c r="M7" s="5"/>
      <c r="N7" s="5">
        <v>0</v>
      </c>
      <c r="O7" s="5"/>
      <c r="P7" s="5"/>
      <c r="Q7" s="5">
        <v>8</v>
      </c>
      <c r="R7" s="5"/>
      <c r="S7" s="5"/>
      <c r="T7" s="5">
        <v>2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James</v>
      </c>
      <c r="B8" s="6" t="str">
        <f>_xlfn.IFNA(VLOOKUP($B$3&amp;ROWS($B$5:B8),Rosters!$B$2:$D$163,3,0),"?")</f>
        <v>Walljasper</v>
      </c>
      <c r="C8" s="6">
        <f>_xlfn.IFNA(VLOOKUP($B$3&amp;ROWS($C$5:C8),Rosters!$B$2:$E$163,4,0),"")</f>
        <v>1</v>
      </c>
      <c r="E8" s="6">
        <v>10</v>
      </c>
      <c r="H8" s="6">
        <v>4</v>
      </c>
      <c r="K8" s="6">
        <v>1</v>
      </c>
      <c r="N8" s="6">
        <v>0</v>
      </c>
      <c r="Q8" s="6">
        <v>2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Wil</v>
      </c>
      <c r="B9" s="5" t="str">
        <f>_xlfn.IFNA(VLOOKUP($B$3&amp;ROWS($B$5:B9),Rosters!$B$2:$D$163,3,0),"?")</f>
        <v>Carter</v>
      </c>
      <c r="C9" s="5">
        <f>_xlfn.IFNA(VLOOKUP($B$3&amp;ROWS($C$5:C9),Rosters!$B$2:$E$163,4,0),"")</f>
        <v>15</v>
      </c>
      <c r="D9" s="5"/>
      <c r="E9" s="5">
        <v>19</v>
      </c>
      <c r="F9" s="5"/>
      <c r="G9" s="5"/>
      <c r="H9" s="5">
        <v>10</v>
      </c>
      <c r="I9" s="5"/>
      <c r="J9" s="5"/>
      <c r="K9" s="5">
        <v>4</v>
      </c>
      <c r="L9" s="5"/>
      <c r="M9" s="5"/>
      <c r="N9" s="5">
        <v>2</v>
      </c>
      <c r="O9" s="5"/>
      <c r="P9" s="5"/>
      <c r="Q9" s="5">
        <v>5</v>
      </c>
      <c r="R9" s="5"/>
      <c r="S9" s="5"/>
      <c r="T9" s="5">
        <v>4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Drew</v>
      </c>
      <c r="B10" s="6" t="str">
        <f>_xlfn.IFNA(VLOOKUP($B$3&amp;ROWS($B$5:B10),Rosters!$B$2:$D$163,3,0),"?")</f>
        <v>Lokeni</v>
      </c>
      <c r="C10" s="6">
        <f>_xlfn.IFNA(VLOOKUP($B$3&amp;ROWS($C$5:C10),Rosters!$B$2:$E$163,4,0),"")</f>
        <v>7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Mason</v>
      </c>
      <c r="B11" s="5" t="str">
        <f>_xlfn.IFNA(VLOOKUP($B$3&amp;ROWS($B$5:B11),Rosters!$B$2:$D$163,3,0),"?")</f>
        <v>Sawyer</v>
      </c>
      <c r="C11" s="5">
        <f>_xlfn.IFNA(VLOOKUP($B$3&amp;ROWS($C$5:C11),Rosters!$B$2:$E$163,4,0),"")</f>
        <v>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Adam</v>
      </c>
      <c r="B12" s="6" t="str">
        <f>_xlfn.IFNA(VLOOKUP($B$3&amp;ROWS($B$5:B12),Rosters!$B$2:$D$163,3,0),"?")</f>
        <v>Egan</v>
      </c>
      <c r="C12" s="6">
        <f>_xlfn.IFNA(VLOOKUP($B$3&amp;ROWS($C$5:C12),Rosters!$B$2:$E$163,4,0),"")</f>
        <v>13</v>
      </c>
      <c r="E12" s="6">
        <v>1</v>
      </c>
      <c r="H12" s="6">
        <v>0</v>
      </c>
      <c r="K12" s="6">
        <v>2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Tony</v>
      </c>
      <c r="B13" s="5" t="str">
        <f>_xlfn.IFNA(VLOOKUP($B$3&amp;ROWS($B$5:B13),Rosters!$B$2:$D$163,3,0),"?")</f>
        <v>Roberts</v>
      </c>
      <c r="C13" s="5">
        <f>_xlfn.IFNA(VLOOKUP($B$3&amp;ROWS($C$5:C13),Rosters!$B$2:$E$163,4,0),"")</f>
        <v>21</v>
      </c>
      <c r="D13" s="5"/>
      <c r="E13" s="5">
        <v>14</v>
      </c>
      <c r="F13" s="5"/>
      <c r="G13" s="5"/>
      <c r="H13" s="5">
        <v>7</v>
      </c>
      <c r="I13" s="5"/>
      <c r="J13" s="5"/>
      <c r="K13" s="5">
        <v>6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">
        <v>198</v>
      </c>
      <c r="B14" s="6" t="s">
        <v>199</v>
      </c>
      <c r="C14" s="6">
        <v>6</v>
      </c>
      <c r="E14" s="6">
        <v>0</v>
      </c>
      <c r="H14" s="6">
        <v>0</v>
      </c>
      <c r="K14" s="6">
        <v>6</v>
      </c>
      <c r="N14" s="6">
        <v>3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59</v>
      </c>
      <c r="H20" s="6">
        <f>SUM(H5:H19)</f>
        <v>27</v>
      </c>
      <c r="K20" s="6">
        <f>SUM(K5:K19)</f>
        <v>36</v>
      </c>
      <c r="N20" s="6">
        <f>SUM(N5:N19)</f>
        <v>11</v>
      </c>
      <c r="Q20" s="6">
        <f>SUM(Q5:Q19)</f>
        <v>17</v>
      </c>
      <c r="T20" s="6">
        <f>SUM(T5:T19)</f>
        <v>7</v>
      </c>
      <c r="W20" s="6">
        <f>SUM(W5:W19)</f>
        <v>0</v>
      </c>
    </row>
    <row r="21" spans="1:24" x14ac:dyDescent="0.2">
      <c r="A21" s="2" t="s">
        <v>16</v>
      </c>
      <c r="B21" s="1" t="s">
        <v>200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</row>
    <row r="23" spans="1:24" s="6" customFormat="1" x14ac:dyDescent="0.2">
      <c r="A23" s="5" t="str">
        <f>_xlfn.IFNA(VLOOKUP($B$21&amp;ROWS($A$23:A23),Rosters!$B$2:$C$163,2,0),"?")</f>
        <v>John</v>
      </c>
      <c r="B23" s="5" t="str">
        <f>_xlfn.IFNA(VLOOKUP($B$21&amp;ROWS($B$23:B23),Rosters!$B$2:$D$163,3,0),"?")</f>
        <v>Knight III</v>
      </c>
      <c r="C23" s="5">
        <f>_xlfn.IFNA(VLOOKUP($B$21&amp;ROWS($C$23:C23),Rosters!$B$2:$E$163,4,0),"")</f>
        <v>23</v>
      </c>
      <c r="D23" s="5"/>
      <c r="E23" s="5">
        <v>10</v>
      </c>
      <c r="F23" s="5"/>
      <c r="G23" s="5"/>
      <c r="H23" s="5">
        <v>7</v>
      </c>
      <c r="I23" s="5"/>
      <c r="J23" s="5"/>
      <c r="K23" s="5">
        <v>1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Isaac</v>
      </c>
      <c r="B24" t="str">
        <f>_xlfn.IFNA(VLOOKUP($B$21&amp;ROWS($B$23:B24),Rosters!$B$2:$D$163,3,0),"?")</f>
        <v>Johnson</v>
      </c>
      <c r="C24">
        <f>_xlfn.IFNA(VLOOKUP($B$21&amp;ROWS($C$23:C24),Rosters!$B$2:$E$163,4,0),"")</f>
        <v>20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Seena</v>
      </c>
      <c r="B25" s="5" t="str">
        <f>_xlfn.IFNA(VLOOKUP($B$21&amp;ROWS($B$23:B25),Rosters!$B$2:$D$163,3,0),"?")</f>
        <v>Namdar</v>
      </c>
      <c r="C25" s="5">
        <f>_xlfn.IFNA(VLOOKUP($B$21&amp;ROWS($C$23:C25),Rosters!$B$2:$E$163,4,0),"")</f>
        <v>13</v>
      </c>
      <c r="D25" s="5"/>
      <c r="E25" s="5">
        <v>1</v>
      </c>
      <c r="F25" s="5"/>
      <c r="G25" s="5"/>
      <c r="H25" s="5">
        <v>0</v>
      </c>
      <c r="I25" s="5"/>
      <c r="J25" s="5"/>
      <c r="K25" s="5">
        <v>1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Hunter</v>
      </c>
      <c r="B26" t="str">
        <f>_xlfn.IFNA(VLOOKUP($B$21&amp;ROWS($B$23:B26),Rosters!$B$2:$D$163,3,0),"?")</f>
        <v>Humpherys</v>
      </c>
      <c r="C26">
        <f>_xlfn.IFNA(VLOOKUP($B$21&amp;ROWS($C$23:C26),Rosters!$B$2:$E$163,4,0),"")</f>
        <v>11</v>
      </c>
      <c r="D26" s="6"/>
      <c r="E26" s="6">
        <v>2</v>
      </c>
      <c r="F26" s="6"/>
      <c r="G26" s="6"/>
      <c r="H26" s="6">
        <v>2</v>
      </c>
      <c r="I26" s="6"/>
      <c r="J26" s="6"/>
      <c r="K26" s="6">
        <v>1</v>
      </c>
      <c r="L26" s="6"/>
      <c r="M26" s="6"/>
      <c r="N26" s="6">
        <v>0</v>
      </c>
      <c r="O26" s="6"/>
      <c r="P26" s="6"/>
      <c r="Q26" s="6">
        <v>2</v>
      </c>
      <c r="R26" s="6"/>
      <c r="S26" s="6"/>
      <c r="T26" s="6">
        <v>2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Mark</v>
      </c>
      <c r="B27" s="5" t="str">
        <f>_xlfn.IFNA(VLOOKUP($B$21&amp;ROWS($B$23:B27),Rosters!$B$2:$D$163,3,0),"?")</f>
        <v>Burton</v>
      </c>
      <c r="C27" s="5">
        <f>_xlfn.IFNA(VLOOKUP($B$21&amp;ROWS($C$23:C27),Rosters!$B$2:$E$163,4,0),"")</f>
        <v>3</v>
      </c>
      <c r="D27" s="5"/>
      <c r="E27" s="5">
        <v>3</v>
      </c>
      <c r="F27" s="5"/>
      <c r="G27" s="5"/>
      <c r="H27" s="5">
        <v>3</v>
      </c>
      <c r="I27" s="5"/>
      <c r="J27" s="5"/>
      <c r="K27" s="5">
        <v>3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Gabe</v>
      </c>
      <c r="B28" t="str">
        <f>_xlfn.IFNA(VLOOKUP($B$21&amp;ROWS($B$23:B28),Rosters!$B$2:$D$163,3,0),"?")</f>
        <v>Madsen</v>
      </c>
      <c r="C28">
        <f>_xlfn.IFNA(VLOOKUP($B$21&amp;ROWS($C$23:C28),Rosters!$B$2:$E$163,4,0),"")</f>
        <v>55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Marco</v>
      </c>
      <c r="B29" s="5" t="str">
        <f>_xlfn.IFNA(VLOOKUP($B$21&amp;ROWS($B$23:B29),Rosters!$B$2:$D$163,3,0),"?")</f>
        <v>Anthony</v>
      </c>
      <c r="C29" s="5">
        <f>_xlfn.IFNA(VLOOKUP($B$21&amp;ROWS($C$23:C29),Rosters!$B$2:$E$163,4,0),"")</f>
        <v>99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Dee</v>
      </c>
      <c r="B30" t="str">
        <f>_xlfn.IFNA(VLOOKUP($B$21&amp;ROWS($B$23:B30),Rosters!$B$2:$D$163,3,0),"?")</f>
        <v>Barnes</v>
      </c>
      <c r="C30">
        <f>_xlfn.IFNA(VLOOKUP($B$21&amp;ROWS($C$23:C30),Rosters!$B$2:$E$163,4,0),"")</f>
        <v>22</v>
      </c>
      <c r="D30" s="6"/>
      <c r="E30" s="6">
        <v>6</v>
      </c>
      <c r="F30" s="6"/>
      <c r="G30" s="6"/>
      <c r="H30" s="6">
        <v>1</v>
      </c>
      <c r="I30" s="6"/>
      <c r="J30" s="6"/>
      <c r="K30" s="6">
        <v>9</v>
      </c>
      <c r="L30" s="6"/>
      <c r="M30" s="6"/>
      <c r="N30" s="6">
        <v>4</v>
      </c>
      <c r="O30" s="6"/>
      <c r="P30" s="6"/>
      <c r="Q30" s="6">
        <v>4</v>
      </c>
      <c r="R30" s="6"/>
      <c r="S30" s="6"/>
      <c r="T30" s="6">
        <v>2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Zack</v>
      </c>
      <c r="B31" s="5" t="str">
        <f>_xlfn.IFNA(VLOOKUP($B$21&amp;ROWS($B$23:B31),Rosters!$B$2:$D$163,3,0),"?")</f>
        <v>Visentin</v>
      </c>
      <c r="C31" s="5">
        <f>_xlfn.IFNA(VLOOKUP($B$21&amp;ROWS($C$23:C31),Rosters!$B$2:$E$163,4,0),"")</f>
        <v>32</v>
      </c>
      <c r="D31" s="5"/>
      <c r="E31" s="5">
        <v>8</v>
      </c>
      <c r="F31" s="5"/>
      <c r="G31" s="5"/>
      <c r="H31" s="5">
        <v>6</v>
      </c>
      <c r="I31" s="5"/>
      <c r="J31" s="5"/>
      <c r="K31" s="5">
        <v>2</v>
      </c>
      <c r="L31" s="5"/>
      <c r="M31" s="5"/>
      <c r="N31" s="5">
        <v>0</v>
      </c>
      <c r="O31" s="5"/>
      <c r="P31" s="5"/>
      <c r="Q31" s="5">
        <v>2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Demarcus</v>
      </c>
      <c r="B32" t="str">
        <f>_xlfn.IFNA(VLOOKUP($B$21&amp;ROWS($B$23:B32),Rosters!$B$2:$D$163,3,0),"?")</f>
        <v>Harrison</v>
      </c>
      <c r="C32">
        <f>_xlfn.IFNA(VLOOKUP($B$21&amp;ROWS($C$23:C32),Rosters!$B$2:$E$163,4,0),"")</f>
        <v>31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Trey</v>
      </c>
      <c r="B33" s="5" t="str">
        <f>_xlfn.IFNA(VLOOKUP($B$21&amp;ROWS($B$23:B33),Rosters!$B$2:$D$163,3,0),"?")</f>
        <v>Anderson</v>
      </c>
      <c r="C33" s="5">
        <f>_xlfn.IFNA(VLOOKUP($B$21&amp;ROWS($C$23:C33),Rosters!$B$2:$E$163,4,0),"")</f>
        <v>5</v>
      </c>
      <c r="D33" s="5"/>
      <c r="E33" s="5">
        <v>5</v>
      </c>
      <c r="F33" s="5"/>
      <c r="G33" s="5"/>
      <c r="H33" s="5">
        <v>4</v>
      </c>
      <c r="I33" s="5"/>
      <c r="J33" s="5"/>
      <c r="K33" s="5">
        <v>3</v>
      </c>
      <c r="L33" s="5"/>
      <c r="M33" s="5"/>
      <c r="N33" s="5">
        <v>1</v>
      </c>
      <c r="O33" s="5"/>
      <c r="P33" s="5"/>
      <c r="Q33" s="5">
        <v>1</v>
      </c>
      <c r="R33" s="5"/>
      <c r="S33" s="5"/>
      <c r="T33" s="5">
        <v>1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Lual</v>
      </c>
      <c r="B34" t="str">
        <f>_xlfn.IFNA(VLOOKUP($B$21&amp;ROWS($B$23:B34),Rosters!$B$2:$D$163,3,0),"?")</f>
        <v>Arok</v>
      </c>
      <c r="C34">
        <f>_xlfn.IFNA(VLOOKUP($B$21&amp;ROWS($C$23:C34),Rosters!$B$2:$E$163,4,0),"")</f>
        <v>9</v>
      </c>
      <c r="D34" s="6"/>
      <c r="E34" s="6">
        <v>3</v>
      </c>
      <c r="F34" s="6"/>
      <c r="G34" s="6"/>
      <c r="H34" s="6">
        <v>2</v>
      </c>
      <c r="I34" s="6"/>
      <c r="J34" s="6"/>
      <c r="K34" s="6">
        <v>1</v>
      </c>
      <c r="L34" s="6"/>
      <c r="M34" s="6"/>
      <c r="N34" s="6">
        <v>1</v>
      </c>
      <c r="O34" s="6"/>
      <c r="P34" s="6"/>
      <c r="Q34" s="6">
        <v>1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Zach</v>
      </c>
      <c r="B35" s="5" t="str">
        <f>_xlfn.IFNA(VLOOKUP($B$21&amp;ROWS($B$23:B35),Rosters!$B$2:$D$163,3,0),"?")</f>
        <v>Mogbo</v>
      </c>
      <c r="C35" s="5">
        <f>_xlfn.IFNA(VLOOKUP($B$21&amp;ROWS($C$23:C35),Rosters!$B$2:$E$163,4,0),"")</f>
        <v>4</v>
      </c>
      <c r="D35" s="5"/>
      <c r="E35" s="5">
        <v>9</v>
      </c>
      <c r="F35" s="5"/>
      <c r="G35" s="5"/>
      <c r="H35" s="5">
        <v>6</v>
      </c>
      <c r="I35" s="5"/>
      <c r="J35" s="5"/>
      <c r="K35" s="5">
        <v>3</v>
      </c>
      <c r="L35" s="5"/>
      <c r="M35" s="5"/>
      <c r="N35" s="5">
        <v>1</v>
      </c>
      <c r="O35" s="5"/>
      <c r="P35" s="5"/>
      <c r="Q35" s="5">
        <v>8</v>
      </c>
      <c r="R35" s="5"/>
      <c r="S35" s="5"/>
      <c r="T35" s="5">
        <v>5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Kyle</v>
      </c>
      <c r="B36" t="str">
        <f>_xlfn.IFNA(VLOOKUP($B$21&amp;ROWS($B$23:B36),Rosters!$B$2:$D$163,3,0),"?")</f>
        <v>Nielsen</v>
      </c>
      <c r="C36">
        <f>_xlfn.IFNA(VLOOKUP($B$21&amp;ROWS($C$23:C36),Rosters!$B$2:$E$163,4,0),"")</f>
        <v>1</v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47</v>
      </c>
      <c r="H38">
        <f>SUM(H23:H37)</f>
        <v>31</v>
      </c>
      <c r="K38">
        <f>SUM(K23:K37)</f>
        <v>24</v>
      </c>
      <c r="N38">
        <f>SUM(N23:N37)</f>
        <v>7</v>
      </c>
      <c r="Q38">
        <f>SUM(Q23:Q37)</f>
        <v>18</v>
      </c>
      <c r="T38">
        <f>SUM(T23:T37)</f>
        <v>10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C103" sqref="C103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200</v>
      </c>
      <c r="B89" s="8" t="str">
        <f>A89&amp;COUNTIF($A$2:$A89,A89)</f>
        <v>Team Humpherys1</v>
      </c>
      <c r="C89" t="s">
        <v>201</v>
      </c>
      <c r="D89" t="s">
        <v>202</v>
      </c>
      <c r="E89">
        <v>23</v>
      </c>
    </row>
    <row r="90" spans="1:5" x14ac:dyDescent="0.2">
      <c r="A90" t="s">
        <v>200</v>
      </c>
      <c r="B90" s="8" t="str">
        <f>A90&amp;COUNTIF($A$2:$A90,A90)</f>
        <v>Team Humpherys2</v>
      </c>
      <c r="C90" t="s">
        <v>203</v>
      </c>
      <c r="D90" t="s">
        <v>204</v>
      </c>
      <c r="E90">
        <v>20</v>
      </c>
    </row>
    <row r="91" spans="1:5" x14ac:dyDescent="0.2">
      <c r="A91" t="s">
        <v>200</v>
      </c>
      <c r="B91" s="8" t="str">
        <f>A91&amp;COUNTIF($A$2:$A91,A91)</f>
        <v>Team Humpherys3</v>
      </c>
      <c r="C91" t="s">
        <v>205</v>
      </c>
      <c r="D91" t="s">
        <v>133</v>
      </c>
      <c r="E91">
        <v>13</v>
      </c>
    </row>
    <row r="92" spans="1:5" x14ac:dyDescent="0.2">
      <c r="A92" t="s">
        <v>200</v>
      </c>
      <c r="B92" s="8" t="str">
        <f>A92&amp;COUNTIF($A$2:$A92,A92)</f>
        <v>Team Humpherys4</v>
      </c>
      <c r="C92" t="s">
        <v>125</v>
      </c>
      <c r="D92" t="s">
        <v>206</v>
      </c>
      <c r="E92">
        <v>11</v>
      </c>
    </row>
    <row r="93" spans="1:5" x14ac:dyDescent="0.2">
      <c r="A93" t="s">
        <v>200</v>
      </c>
      <c r="B93" s="8" t="str">
        <f>A93&amp;COUNTIF($A$2:$A93,A93)</f>
        <v>Team Humpherys5</v>
      </c>
      <c r="C93" t="s">
        <v>207</v>
      </c>
      <c r="D93" t="s">
        <v>208</v>
      </c>
      <c r="E93">
        <v>3</v>
      </c>
    </row>
    <row r="94" spans="1:5" x14ac:dyDescent="0.2">
      <c r="A94" t="s">
        <v>200</v>
      </c>
      <c r="B94" s="8" t="str">
        <f>A94&amp;COUNTIF($A$2:$A94,A94)</f>
        <v>Team Humpherys6</v>
      </c>
      <c r="C94" t="s">
        <v>209</v>
      </c>
      <c r="D94" t="s">
        <v>210</v>
      </c>
      <c r="E94">
        <v>55</v>
      </c>
    </row>
    <row r="95" spans="1:5" x14ac:dyDescent="0.2">
      <c r="A95" t="s">
        <v>200</v>
      </c>
      <c r="B95" s="8" t="str">
        <f>A95&amp;COUNTIF($A$2:$A95,A95)</f>
        <v>Team Humpherys7</v>
      </c>
      <c r="C95" t="s">
        <v>211</v>
      </c>
      <c r="D95" t="s">
        <v>182</v>
      </c>
      <c r="E95">
        <v>99</v>
      </c>
    </row>
    <row r="96" spans="1:5" x14ac:dyDescent="0.2">
      <c r="A96" t="s">
        <v>200</v>
      </c>
      <c r="B96" s="8" t="str">
        <f>A96&amp;COUNTIF($A$2:$A96,A96)</f>
        <v>Team Humpherys8</v>
      </c>
      <c r="C96" t="s">
        <v>212</v>
      </c>
      <c r="D96" t="s">
        <v>213</v>
      </c>
      <c r="E96">
        <v>22</v>
      </c>
    </row>
    <row r="97" spans="1:5" x14ac:dyDescent="0.2">
      <c r="A97" t="s">
        <v>200</v>
      </c>
      <c r="B97" s="8" t="str">
        <f>A97&amp;COUNTIF($A$2:$A97,A97)</f>
        <v>Team Humpherys9</v>
      </c>
      <c r="C97" t="s">
        <v>214</v>
      </c>
      <c r="D97" t="s">
        <v>215</v>
      </c>
      <c r="E97">
        <v>32</v>
      </c>
    </row>
    <row r="98" spans="1:5" x14ac:dyDescent="0.2">
      <c r="A98" t="s">
        <v>200</v>
      </c>
      <c r="B98" s="8" t="str">
        <f>A98&amp;COUNTIF($A$2:$A98,A98)</f>
        <v>Team Humpherys10</v>
      </c>
      <c r="C98" t="s">
        <v>216</v>
      </c>
      <c r="D98" t="s">
        <v>217</v>
      </c>
      <c r="E98">
        <v>31</v>
      </c>
    </row>
    <row r="99" spans="1:5" x14ac:dyDescent="0.2">
      <c r="A99" t="s">
        <v>200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200</v>
      </c>
      <c r="B100" s="8" t="str">
        <f>A100&amp;COUNTIF($A$2:$A100,A100)</f>
        <v>Team Humpherys12</v>
      </c>
      <c r="C100" t="s">
        <v>218</v>
      </c>
      <c r="D100" t="s">
        <v>19</v>
      </c>
      <c r="E100">
        <v>9</v>
      </c>
    </row>
    <row r="101" spans="1:5" x14ac:dyDescent="0.2">
      <c r="A101" t="s">
        <v>200</v>
      </c>
      <c r="B101" s="8" t="str">
        <f>A101&amp;COUNTIF($A$2:$A101,A101)</f>
        <v>Team Humpherys13</v>
      </c>
      <c r="C101" t="s">
        <v>219</v>
      </c>
      <c r="D101" t="s">
        <v>220</v>
      </c>
      <c r="E101">
        <v>4</v>
      </c>
    </row>
    <row r="102" spans="1:5" x14ac:dyDescent="0.2">
      <c r="A102" t="s">
        <v>200</v>
      </c>
      <c r="B102" s="8" t="str">
        <f>A102&amp;COUNTIF($A$2:$A102,A102)</f>
        <v>Team Humpherys14</v>
      </c>
      <c r="C102" t="s">
        <v>221</v>
      </c>
      <c r="D102" t="s">
        <v>222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2022-06-28T02:47:10Z</dcterms:modified>
</cp:coreProperties>
</file>