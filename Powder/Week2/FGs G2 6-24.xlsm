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ink/ink1.xml" ContentType="application/inkml+xml"/>
  <Override PartName="/xl/ink/ink2.xml" ContentType="application/inkml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ownloads/"/>
    </mc:Choice>
  </mc:AlternateContent>
  <xr:revisionPtr revIDLastSave="0" documentId="13_ncr:1_{0156BC43-E8A7-8E4C-BFA8-4E980662D77E}" xr6:coauthVersionLast="47" xr6:coauthVersionMax="47" xr10:uidLastSave="{00000000-0000-0000-0000-000000000000}"/>
  <bookViews>
    <workbookView xWindow="0" yWindow="500" windowWidth="15900" windowHeight="15920" xr2:uid="{EE0D2CFE-D8D2-0843-8E19-49493B39F60E}"/>
  </bookViews>
  <sheets>
    <sheet name="G1 Box Score" sheetId="2" r:id="rId1"/>
    <sheet name="Stats G1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2" i="2" l="1"/>
  <c r="G22" i="2"/>
  <c r="H22" i="2"/>
  <c r="F23" i="2"/>
  <c r="G23" i="2"/>
  <c r="H23" i="2"/>
  <c r="F24" i="2"/>
  <c r="G24" i="2"/>
  <c r="H24" i="2"/>
  <c r="F25" i="2"/>
  <c r="G25" i="2"/>
  <c r="H25" i="2"/>
  <c r="F26" i="2"/>
  <c r="G26" i="2"/>
  <c r="H26" i="2"/>
  <c r="F27" i="2"/>
  <c r="G27" i="2"/>
  <c r="H27" i="2"/>
  <c r="F28" i="2"/>
  <c r="G28" i="2"/>
  <c r="H28" i="2"/>
  <c r="F29" i="2"/>
  <c r="G29" i="2"/>
  <c r="H29" i="2"/>
  <c r="F30" i="2"/>
  <c r="G30" i="2"/>
  <c r="H30" i="2"/>
  <c r="F31" i="2"/>
  <c r="G31" i="2"/>
  <c r="H31" i="2"/>
  <c r="F32" i="2"/>
  <c r="G32" i="2"/>
  <c r="H32" i="2"/>
  <c r="F33" i="2"/>
  <c r="G33" i="2"/>
  <c r="H33" i="2"/>
  <c r="F34" i="2"/>
  <c r="G34" i="2"/>
  <c r="F35" i="2"/>
  <c r="G35" i="2"/>
  <c r="H35" i="2"/>
  <c r="F3" i="2"/>
  <c r="G3" i="2"/>
  <c r="H3" i="2"/>
  <c r="F4" i="2"/>
  <c r="G4" i="2"/>
  <c r="H4" i="2"/>
  <c r="F5" i="2"/>
  <c r="G5" i="2"/>
  <c r="H5" i="2"/>
  <c r="F6" i="2"/>
  <c r="G6" i="2"/>
  <c r="H6" i="2"/>
  <c r="F7" i="2"/>
  <c r="G7" i="2"/>
  <c r="H7" i="2"/>
  <c r="F8" i="2"/>
  <c r="G8" i="2"/>
  <c r="H8" i="2"/>
  <c r="F9" i="2"/>
  <c r="G9" i="2"/>
  <c r="H9" i="2"/>
  <c r="F10" i="2"/>
  <c r="G10" i="2"/>
  <c r="H10" i="2"/>
  <c r="F11" i="2"/>
  <c r="G11" i="2"/>
  <c r="H11" i="2"/>
  <c r="F12" i="2"/>
  <c r="G12" i="2"/>
  <c r="H12" i="2"/>
  <c r="F13" i="2"/>
  <c r="G13" i="2"/>
  <c r="H13" i="2"/>
  <c r="F14" i="2"/>
  <c r="G14" i="2"/>
  <c r="H14" i="2"/>
  <c r="F15" i="2"/>
  <c r="G15" i="2"/>
  <c r="H15" i="2"/>
  <c r="F16" i="2"/>
  <c r="G16" i="2"/>
  <c r="H16" i="2"/>
  <c r="B2" i="3"/>
  <c r="G2" i="3" a="1"/>
  <c r="G2" i="3" s="1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101" i="3" l="1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I3" i="2"/>
  <c r="J3" i="2"/>
  <c r="L3" i="2"/>
  <c r="M3" i="2"/>
  <c r="K3" i="2"/>
  <c r="I4" i="2"/>
  <c r="J4" i="2"/>
  <c r="K4" i="2"/>
  <c r="L4" i="2"/>
  <c r="M4" i="2"/>
  <c r="I5" i="2"/>
  <c r="J5" i="2"/>
  <c r="K5" i="2"/>
  <c r="L5" i="2"/>
  <c r="M5" i="2"/>
  <c r="I6" i="2"/>
  <c r="J6" i="2"/>
  <c r="K6" i="2"/>
  <c r="L6" i="2"/>
  <c r="M6" i="2"/>
  <c r="I7" i="2"/>
  <c r="J7" i="2"/>
  <c r="K7" i="2"/>
  <c r="L7" i="2"/>
  <c r="M7" i="2"/>
  <c r="I8" i="2"/>
  <c r="J8" i="2"/>
  <c r="K8" i="2"/>
  <c r="L8" i="2"/>
  <c r="M8" i="2"/>
  <c r="I9" i="2"/>
  <c r="J9" i="2"/>
  <c r="K9" i="2"/>
  <c r="L9" i="2"/>
  <c r="M9" i="2"/>
  <c r="I10" i="2"/>
  <c r="J10" i="2"/>
  <c r="K10" i="2"/>
  <c r="L10" i="2"/>
  <c r="M10" i="2"/>
  <c r="I11" i="2"/>
  <c r="J11" i="2"/>
  <c r="K11" i="2"/>
  <c r="L11" i="2"/>
  <c r="M11" i="2"/>
  <c r="I12" i="2"/>
  <c r="J12" i="2"/>
  <c r="K12" i="2"/>
  <c r="L12" i="2"/>
  <c r="M12" i="2"/>
  <c r="I13" i="2"/>
  <c r="J13" i="2"/>
  <c r="K13" i="2"/>
  <c r="L13" i="2"/>
  <c r="M13" i="2"/>
  <c r="I14" i="2"/>
  <c r="J14" i="2"/>
  <c r="K14" i="2"/>
  <c r="L14" i="2"/>
  <c r="M14" i="2"/>
  <c r="I15" i="2"/>
  <c r="J15" i="2"/>
  <c r="K15" i="2"/>
  <c r="L15" i="2"/>
  <c r="M15" i="2"/>
  <c r="I16" i="2"/>
  <c r="J16" i="2"/>
  <c r="K16" i="2"/>
  <c r="L16" i="2"/>
  <c r="M16" i="2"/>
  <c r="I17" i="2"/>
  <c r="J17" i="2"/>
  <c r="K17" i="2"/>
  <c r="L17" i="2"/>
  <c r="M17" i="2"/>
  <c r="I22" i="2"/>
  <c r="J22" i="2"/>
  <c r="K22" i="2"/>
  <c r="L22" i="2"/>
  <c r="M22" i="2"/>
  <c r="I23" i="2"/>
  <c r="J23" i="2"/>
  <c r="K23" i="2"/>
  <c r="L23" i="2"/>
  <c r="M23" i="2"/>
  <c r="I24" i="2"/>
  <c r="J24" i="2"/>
  <c r="K24" i="2"/>
  <c r="L24" i="2"/>
  <c r="M24" i="2"/>
  <c r="I25" i="2"/>
  <c r="J25" i="2"/>
  <c r="K25" i="2"/>
  <c r="L25" i="2"/>
  <c r="M25" i="2"/>
  <c r="I26" i="2"/>
  <c r="J26" i="2"/>
  <c r="K26" i="2"/>
  <c r="L26" i="2"/>
  <c r="M26" i="2"/>
  <c r="I27" i="2"/>
  <c r="J27" i="2"/>
  <c r="K27" i="2"/>
  <c r="L27" i="2"/>
  <c r="M27" i="2"/>
  <c r="I28" i="2"/>
  <c r="J28" i="2"/>
  <c r="K28" i="2"/>
  <c r="L28" i="2"/>
  <c r="M28" i="2"/>
  <c r="I29" i="2"/>
  <c r="J29" i="2"/>
  <c r="K29" i="2"/>
  <c r="L29" i="2"/>
  <c r="M29" i="2"/>
  <c r="I30" i="2"/>
  <c r="J30" i="2"/>
  <c r="K30" i="2"/>
  <c r="L30" i="2"/>
  <c r="M30" i="2"/>
  <c r="I31" i="2"/>
  <c r="J31" i="2"/>
  <c r="K31" i="2"/>
  <c r="L31" i="2"/>
  <c r="M31" i="2"/>
  <c r="I32" i="2"/>
  <c r="J32" i="2"/>
  <c r="K32" i="2"/>
  <c r="L32" i="2"/>
  <c r="M32" i="2"/>
  <c r="I33" i="2"/>
  <c r="J33" i="2"/>
  <c r="K33" i="2"/>
  <c r="L33" i="2"/>
  <c r="M33" i="2"/>
  <c r="I34" i="2"/>
  <c r="J34" i="2"/>
  <c r="K34" i="2"/>
  <c r="L34" i="2"/>
  <c r="M34" i="2"/>
  <c r="I35" i="2"/>
  <c r="J35" i="2"/>
  <c r="K35" i="2"/>
  <c r="L35" i="2"/>
  <c r="M35" i="2"/>
  <c r="I36" i="2"/>
  <c r="J36" i="2"/>
  <c r="K36" i="2"/>
  <c r="L36" i="2"/>
  <c r="M36" i="2"/>
  <c r="M37" i="2" l="1"/>
  <c r="I37" i="2"/>
  <c r="I18" i="2"/>
  <c r="M18" i="2"/>
  <c r="W38" i="1"/>
  <c r="W20" i="1"/>
  <c r="T38" i="1"/>
  <c r="T20" i="1"/>
  <c r="Q38" i="1"/>
  <c r="Q20" i="1"/>
  <c r="N38" i="1"/>
  <c r="N20" i="1"/>
  <c r="K38" i="1"/>
  <c r="K20" i="1"/>
  <c r="H38" i="1"/>
  <c r="H20" i="1"/>
  <c r="E38" i="1"/>
  <c r="E20" i="1"/>
  <c r="K37" i="2" l="1"/>
  <c r="L37" i="2"/>
  <c r="L18" i="2"/>
  <c r="J37" i="2"/>
  <c r="K18" i="2"/>
  <c r="J18" i="2"/>
  <c r="B89" i="3"/>
  <c r="B90" i="3"/>
  <c r="B91" i="3"/>
  <c r="B92" i="3"/>
  <c r="B93" i="3"/>
  <c r="B94" i="3"/>
  <c r="B95" i="3"/>
  <c r="B96" i="3"/>
  <c r="B97" i="3"/>
  <c r="B98" i="3"/>
  <c r="B99" i="3"/>
  <c r="B100" i="3"/>
  <c r="G20" i="2" l="1"/>
  <c r="D2" i="2" s="1"/>
  <c r="G1" i="2"/>
  <c r="B2" i="2" s="1"/>
  <c r="C19" i="1" l="1"/>
  <c r="H17" i="2" s="1"/>
  <c r="A17" i="1"/>
  <c r="B36" i="1"/>
  <c r="A37" i="1"/>
  <c r="F36" i="2" s="1"/>
  <c r="B19" i="1"/>
  <c r="G17" i="2" s="1"/>
  <c r="A36" i="1"/>
  <c r="A19" i="1"/>
  <c r="F17" i="2" s="1"/>
  <c r="B37" i="1"/>
  <c r="G36" i="2" s="1"/>
  <c r="C18" i="1"/>
  <c r="B18" i="1"/>
  <c r="A18" i="1"/>
  <c r="B17" i="1"/>
  <c r="C36" i="1"/>
  <c r="C37" i="1"/>
  <c r="H36" i="2" s="1"/>
  <c r="D3" i="2"/>
  <c r="B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<sst xmlns="http://schemas.openxmlformats.org/spreadsheetml/2006/main" count="362" uniqueCount="183">
  <si>
    <t>#</t>
  </si>
  <si>
    <t>First</t>
  </si>
  <si>
    <t>Last</t>
  </si>
  <si>
    <t>2PA</t>
  </si>
  <si>
    <t>2PM</t>
  </si>
  <si>
    <t>3PA</t>
  </si>
  <si>
    <t>3PM</t>
  </si>
  <si>
    <t>Home Team (Gray)</t>
  </si>
  <si>
    <t>FG</t>
  </si>
  <si>
    <t>3PT</t>
  </si>
  <si>
    <t>FT</t>
  </si>
  <si>
    <t>Away Team (Black)</t>
  </si>
  <si>
    <t>Total:</t>
  </si>
  <si>
    <t>-</t>
  </si>
  <si>
    <t>GAME 1</t>
  </si>
  <si>
    <t>Gray Team (Home)</t>
  </si>
  <si>
    <t>Black Team (Away)</t>
  </si>
  <si>
    <t>Select Team Name</t>
  </si>
  <si>
    <t>Berger</t>
  </si>
  <si>
    <t>Arok</t>
  </si>
  <si>
    <t>Team</t>
  </si>
  <si>
    <t>Number</t>
  </si>
  <si>
    <t>Helper</t>
  </si>
  <si>
    <t>PTS</t>
  </si>
  <si>
    <t>Select Team</t>
  </si>
  <si>
    <t>FTA</t>
  </si>
  <si>
    <t>FTM</t>
  </si>
  <si>
    <t>TOV</t>
  </si>
  <si>
    <t>Cunningham</t>
  </si>
  <si>
    <t>KJ</t>
  </si>
  <si>
    <t>Team Stan</t>
  </si>
  <si>
    <t>Harmon</t>
  </si>
  <si>
    <t>Justin</t>
  </si>
  <si>
    <t>Gerlach</t>
  </si>
  <si>
    <t>Ibe</t>
  </si>
  <si>
    <t>Furlow</t>
  </si>
  <si>
    <t>Quae</t>
  </si>
  <si>
    <t>Carlon</t>
  </si>
  <si>
    <t>Branden</t>
  </si>
  <si>
    <t>Tucker</t>
  </si>
  <si>
    <t>Rayjon</t>
  </si>
  <si>
    <t>Sneed</t>
  </si>
  <si>
    <t>Xavier</t>
  </si>
  <si>
    <t>Cox</t>
  </si>
  <si>
    <t>Anthony</t>
  </si>
  <si>
    <t>Davy</t>
  </si>
  <si>
    <t>Eli</t>
  </si>
  <si>
    <t>Porter</t>
  </si>
  <si>
    <t>Zahir</t>
  </si>
  <si>
    <t>Bailey</t>
  </si>
  <si>
    <t>Brendan</t>
  </si>
  <si>
    <t>Leach</t>
  </si>
  <si>
    <t>Ronald</t>
  </si>
  <si>
    <t>Anderson</t>
  </si>
  <si>
    <t>Tone</t>
  </si>
  <si>
    <t>Ashworth</t>
  </si>
  <si>
    <t>Steven</t>
  </si>
  <si>
    <t>Team Berger</t>
  </si>
  <si>
    <t>Viko</t>
  </si>
  <si>
    <t>Sly</t>
  </si>
  <si>
    <t>Brandon</t>
  </si>
  <si>
    <t>Jones</t>
  </si>
  <si>
    <t>Rylan</t>
  </si>
  <si>
    <t>Butterfield</t>
  </si>
  <si>
    <t>Spencer</t>
  </si>
  <si>
    <t>Jackson</t>
  </si>
  <si>
    <t>Zavon</t>
  </si>
  <si>
    <t>Brown</t>
  </si>
  <si>
    <t>Peter</t>
  </si>
  <si>
    <t>Seljaas</t>
  </si>
  <si>
    <t>Zac</t>
  </si>
  <si>
    <t>Danny</t>
  </si>
  <si>
    <t>Van Dyke</t>
  </si>
  <si>
    <t>Parker</t>
  </si>
  <si>
    <t>Harris</t>
  </si>
  <si>
    <t>Sean</t>
  </si>
  <si>
    <t>Davis</t>
  </si>
  <si>
    <t>Gerad</t>
  </si>
  <si>
    <t>Team Joyce</t>
  </si>
  <si>
    <t>Velez</t>
  </si>
  <si>
    <t>Sam</t>
  </si>
  <si>
    <t>Troy</t>
  </si>
  <si>
    <t>Evan</t>
  </si>
  <si>
    <t>Harding</t>
  </si>
  <si>
    <t>Connor</t>
  </si>
  <si>
    <t>Farrer</t>
  </si>
  <si>
    <t>Trey</t>
  </si>
  <si>
    <t>Paulos</t>
  </si>
  <si>
    <t>Nic</t>
  </si>
  <si>
    <t>Kelley</t>
  </si>
  <si>
    <t>Kylor</t>
  </si>
  <si>
    <t>Nield</t>
  </si>
  <si>
    <t>Blaze</t>
  </si>
  <si>
    <t>Childs</t>
  </si>
  <si>
    <t>Yoeli</t>
  </si>
  <si>
    <t>Namdar</t>
  </si>
  <si>
    <t>Neema</t>
  </si>
  <si>
    <t>Kuath</t>
  </si>
  <si>
    <t>Kur</t>
  </si>
  <si>
    <t>Goodman</t>
  </si>
  <si>
    <t>Dayon</t>
  </si>
  <si>
    <t>Team Erickson</t>
  </si>
  <si>
    <t>Erickson</t>
  </si>
  <si>
    <t>Hunter</t>
  </si>
  <si>
    <t>Funk</t>
  </si>
  <si>
    <t>Taylor</t>
  </si>
  <si>
    <t>Nixon</t>
  </si>
  <si>
    <t>Dalton</t>
  </si>
  <si>
    <t>Brock</t>
  </si>
  <si>
    <t>George</t>
  </si>
  <si>
    <t>Gideon</t>
  </si>
  <si>
    <t>Greenhalgh</t>
  </si>
  <si>
    <t>Alrek</t>
  </si>
  <si>
    <t>Miller</t>
  </si>
  <si>
    <t>Morris</t>
  </si>
  <si>
    <t>Brenden</t>
  </si>
  <si>
    <t>Team Bullock</t>
  </si>
  <si>
    <t>Barkley</t>
  </si>
  <si>
    <t>Kentrell</t>
  </si>
  <si>
    <t>Burgess</t>
  </si>
  <si>
    <t>Tyler</t>
  </si>
  <si>
    <t>Bullock</t>
  </si>
  <si>
    <t>Thomas</t>
  </si>
  <si>
    <t>Burgon</t>
  </si>
  <si>
    <t>Colton</t>
  </si>
  <si>
    <t>Gallegos</t>
  </si>
  <si>
    <t>Ray</t>
  </si>
  <si>
    <t>Gilson</t>
  </si>
  <si>
    <t>Marqus</t>
  </si>
  <si>
    <t>Nann</t>
  </si>
  <si>
    <t>Charles</t>
  </si>
  <si>
    <t>Zaid</t>
  </si>
  <si>
    <t>Duce</t>
  </si>
  <si>
    <t>Hill</t>
  </si>
  <si>
    <t>Kyndayl</t>
  </si>
  <si>
    <t>Loveridge</t>
  </si>
  <si>
    <t>Jordan</t>
  </si>
  <si>
    <t>Jefferson</t>
  </si>
  <si>
    <t>Tyus</t>
  </si>
  <si>
    <t>Markson</t>
  </si>
  <si>
    <t>Bryant</t>
  </si>
  <si>
    <t>Team Drisdom</t>
  </si>
  <si>
    <t>Chapman</t>
  </si>
  <si>
    <t>Brekott</t>
  </si>
  <si>
    <t>Vai</t>
  </si>
  <si>
    <t>Martinez</t>
  </si>
  <si>
    <t>Zeus</t>
  </si>
  <si>
    <t>Green</t>
  </si>
  <si>
    <t>Shaun</t>
  </si>
  <si>
    <t>Butler</t>
  </si>
  <si>
    <t>Jared</t>
  </si>
  <si>
    <t>Drisdom</t>
  </si>
  <si>
    <t>Terrence</t>
  </si>
  <si>
    <t>Tim</t>
  </si>
  <si>
    <t>Smith</t>
  </si>
  <si>
    <t>Tre</t>
  </si>
  <si>
    <t>Hodges</t>
  </si>
  <si>
    <t>Aubrey</t>
  </si>
  <si>
    <t>Corbin</t>
  </si>
  <si>
    <t>Heiden</t>
  </si>
  <si>
    <t>Jaxon</t>
  </si>
  <si>
    <t>Team Covington</t>
  </si>
  <si>
    <t>Koroma</t>
  </si>
  <si>
    <t>Dwayne</t>
  </si>
  <si>
    <t>Hayhurst</t>
  </si>
  <si>
    <t>Austin</t>
  </si>
  <si>
    <t>Macea</t>
  </si>
  <si>
    <t>Garcia</t>
  </si>
  <si>
    <t>Vasquez</t>
  </si>
  <si>
    <t>Alejandro</t>
  </si>
  <si>
    <t>Covington</t>
  </si>
  <si>
    <t>Nick</t>
  </si>
  <si>
    <t>Brady</t>
  </si>
  <si>
    <t>Cuff</t>
  </si>
  <si>
    <t>Tanner</t>
  </si>
  <si>
    <t>Garff</t>
  </si>
  <si>
    <t>Tyson</t>
  </si>
  <si>
    <t>Pollard</t>
  </si>
  <si>
    <t>Mulibea</t>
  </si>
  <si>
    <t>Andre</t>
  </si>
  <si>
    <t>Team Egan</t>
  </si>
  <si>
    <t>Team Humphreys</t>
  </si>
  <si>
    <t>Team Humphrey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</si>
</sst>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0" fillId="3" borderId="0" xfId="0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ustomXml" Target="../ink/ink2.xml"/><Relationship Id="rId2" Type="http://schemas.openxmlformats.org/officeDocument/2006/relationships/image" Target="../media/image1.png"/><Relationship Id="rId1" Type="http://schemas.openxmlformats.org/officeDocument/2006/relationships/customXml" Target="../ink/ink1.xml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12700</xdr:rowOff>
        </xdr:from>
        <xdr:to>
          <xdr:col>3</xdr:col>
          <xdr:colOff>342900</xdr:colOff>
          <xdr:row>4</xdr:row>
          <xdr:rowOff>190500</xdr:rowOff>
        </xdr:to>
        <xdr:sp macro="" textlink="">
          <xdr:nvSpPr>
            <xdr:cNvPr id="1612" name="Button 588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1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12700</xdr:rowOff>
        </xdr:from>
        <xdr:to>
          <xdr:col>5</xdr:col>
          <xdr:colOff>330200</xdr:colOff>
          <xdr:row>4</xdr:row>
          <xdr:rowOff>190500</xdr:rowOff>
        </xdr:to>
        <xdr:sp macro="" textlink="">
          <xdr:nvSpPr>
            <xdr:cNvPr id="1613" name="Button 5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1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12700</xdr:rowOff>
        </xdr:from>
        <xdr:to>
          <xdr:col>3</xdr:col>
          <xdr:colOff>342900</xdr:colOff>
          <xdr:row>5</xdr:row>
          <xdr:rowOff>190500</xdr:rowOff>
        </xdr:to>
        <xdr:sp macro="" textlink="">
          <xdr:nvSpPr>
            <xdr:cNvPr id="1690" name="Button 666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1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12700</xdr:rowOff>
        </xdr:from>
        <xdr:to>
          <xdr:col>5</xdr:col>
          <xdr:colOff>330200</xdr:colOff>
          <xdr:row>5</xdr:row>
          <xdr:rowOff>190500</xdr:rowOff>
        </xdr:to>
        <xdr:sp macro="" textlink="">
          <xdr:nvSpPr>
            <xdr:cNvPr id="1691" name="Button 667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1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12700</xdr:rowOff>
        </xdr:from>
        <xdr:to>
          <xdr:col>3</xdr:col>
          <xdr:colOff>342900</xdr:colOff>
          <xdr:row>6</xdr:row>
          <xdr:rowOff>190500</xdr:rowOff>
        </xdr:to>
        <xdr:sp macro="" textlink="">
          <xdr:nvSpPr>
            <xdr:cNvPr id="1692" name="Button 668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id="{00000000-0008-0000-01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12700</xdr:rowOff>
        </xdr:from>
        <xdr:to>
          <xdr:col>5</xdr:col>
          <xdr:colOff>330200</xdr:colOff>
          <xdr:row>6</xdr:row>
          <xdr:rowOff>190500</xdr:rowOff>
        </xdr:to>
        <xdr:sp macro="" textlink="">
          <xdr:nvSpPr>
            <xdr:cNvPr id="1693" name="Button 669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id="{00000000-0008-0000-01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12700</xdr:rowOff>
        </xdr:from>
        <xdr:to>
          <xdr:col>3</xdr:col>
          <xdr:colOff>342900</xdr:colOff>
          <xdr:row>7</xdr:row>
          <xdr:rowOff>190500</xdr:rowOff>
        </xdr:to>
        <xdr:sp macro="" textlink="">
          <xdr:nvSpPr>
            <xdr:cNvPr id="1694" name="Button 670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id="{00000000-0008-0000-01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12700</xdr:rowOff>
        </xdr:from>
        <xdr:to>
          <xdr:col>5</xdr:col>
          <xdr:colOff>330200</xdr:colOff>
          <xdr:row>7</xdr:row>
          <xdr:rowOff>190500</xdr:rowOff>
        </xdr:to>
        <xdr:sp macro="" textlink="">
          <xdr:nvSpPr>
            <xdr:cNvPr id="1695" name="Button 671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1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12700</xdr:rowOff>
        </xdr:from>
        <xdr:to>
          <xdr:col>3</xdr:col>
          <xdr:colOff>342900</xdr:colOff>
          <xdr:row>8</xdr:row>
          <xdr:rowOff>190500</xdr:rowOff>
        </xdr:to>
        <xdr:sp macro="" textlink="">
          <xdr:nvSpPr>
            <xdr:cNvPr id="1696" name="Button 672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1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12700</xdr:rowOff>
        </xdr:from>
        <xdr:to>
          <xdr:col>5</xdr:col>
          <xdr:colOff>330200</xdr:colOff>
          <xdr:row>8</xdr:row>
          <xdr:rowOff>190500</xdr:rowOff>
        </xdr:to>
        <xdr:sp macro="" textlink="">
          <xdr:nvSpPr>
            <xdr:cNvPr id="1697" name="Button 673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1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12700</xdr:rowOff>
        </xdr:from>
        <xdr:to>
          <xdr:col>3</xdr:col>
          <xdr:colOff>342900</xdr:colOff>
          <xdr:row>9</xdr:row>
          <xdr:rowOff>190500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1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12700</xdr:rowOff>
        </xdr:from>
        <xdr:to>
          <xdr:col>5</xdr:col>
          <xdr:colOff>330200</xdr:colOff>
          <xdr:row>9</xdr:row>
          <xdr:rowOff>190500</xdr:rowOff>
        </xdr:to>
        <xdr:sp macro="" textlink="">
          <xdr:nvSpPr>
            <xdr:cNvPr id="1699" name="Button 675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1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12700</xdr:rowOff>
        </xdr:from>
        <xdr:to>
          <xdr:col>3</xdr:col>
          <xdr:colOff>342900</xdr:colOff>
          <xdr:row>10</xdr:row>
          <xdr:rowOff>190500</xdr:rowOff>
        </xdr:to>
        <xdr:sp macro="" textlink="">
          <xdr:nvSpPr>
            <xdr:cNvPr id="1700" name="Button 676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1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12700</xdr:rowOff>
        </xdr:from>
        <xdr:to>
          <xdr:col>5</xdr:col>
          <xdr:colOff>330200</xdr:colOff>
          <xdr:row>10</xdr:row>
          <xdr:rowOff>190500</xdr:rowOff>
        </xdr:to>
        <xdr:sp macro="" textlink="">
          <xdr:nvSpPr>
            <xdr:cNvPr id="1701" name="Button 677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1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12700</xdr:rowOff>
        </xdr:from>
        <xdr:to>
          <xdr:col>3</xdr:col>
          <xdr:colOff>342900</xdr:colOff>
          <xdr:row>11</xdr:row>
          <xdr:rowOff>190500</xdr:rowOff>
        </xdr:to>
        <xdr:sp macro="" textlink="">
          <xdr:nvSpPr>
            <xdr:cNvPr id="1702" name="Button 678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1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12700</xdr:rowOff>
        </xdr:from>
        <xdr:to>
          <xdr:col>5</xdr:col>
          <xdr:colOff>330200</xdr:colOff>
          <xdr:row>11</xdr:row>
          <xdr:rowOff>190500</xdr:rowOff>
        </xdr:to>
        <xdr:sp macro="" textlink="">
          <xdr:nvSpPr>
            <xdr:cNvPr id="1703" name="Button 679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1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12700</xdr:rowOff>
        </xdr:from>
        <xdr:to>
          <xdr:col>3</xdr:col>
          <xdr:colOff>342900</xdr:colOff>
          <xdr:row>12</xdr:row>
          <xdr:rowOff>190500</xdr:rowOff>
        </xdr:to>
        <xdr:sp macro="" textlink="">
          <xdr:nvSpPr>
            <xdr:cNvPr id="1704" name="Button 680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1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12700</xdr:rowOff>
        </xdr:from>
        <xdr:to>
          <xdr:col>5</xdr:col>
          <xdr:colOff>330200</xdr:colOff>
          <xdr:row>12</xdr:row>
          <xdr:rowOff>190500</xdr:rowOff>
        </xdr:to>
        <xdr:sp macro="" textlink="">
          <xdr:nvSpPr>
            <xdr:cNvPr id="1705" name="Button 681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1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12700</xdr:rowOff>
        </xdr:from>
        <xdr:to>
          <xdr:col>3</xdr:col>
          <xdr:colOff>342900</xdr:colOff>
          <xdr:row>13</xdr:row>
          <xdr:rowOff>190500</xdr:rowOff>
        </xdr:to>
        <xdr:sp macro="" textlink="">
          <xdr:nvSpPr>
            <xdr:cNvPr id="1706" name="Button 682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1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12700</xdr:rowOff>
        </xdr:from>
        <xdr:to>
          <xdr:col>5</xdr:col>
          <xdr:colOff>330200</xdr:colOff>
          <xdr:row>13</xdr:row>
          <xdr:rowOff>190500</xdr:rowOff>
        </xdr:to>
        <xdr:sp macro="" textlink="">
          <xdr:nvSpPr>
            <xdr:cNvPr id="1707" name="Button 683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1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12700</xdr:rowOff>
        </xdr:from>
        <xdr:to>
          <xdr:col>3</xdr:col>
          <xdr:colOff>342900</xdr:colOff>
          <xdr:row>14</xdr:row>
          <xdr:rowOff>190500</xdr:rowOff>
        </xdr:to>
        <xdr:sp macro="" textlink="">
          <xdr:nvSpPr>
            <xdr:cNvPr id="1708" name="Button 684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1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12700</xdr:rowOff>
        </xdr:from>
        <xdr:to>
          <xdr:col>5</xdr:col>
          <xdr:colOff>330200</xdr:colOff>
          <xdr:row>14</xdr:row>
          <xdr:rowOff>190500</xdr:rowOff>
        </xdr:to>
        <xdr:sp macro="" textlink="">
          <xdr:nvSpPr>
            <xdr:cNvPr id="1709" name="Button 685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1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12700</xdr:rowOff>
        </xdr:from>
        <xdr:to>
          <xdr:col>3</xdr:col>
          <xdr:colOff>342900</xdr:colOff>
          <xdr:row>22</xdr:row>
          <xdr:rowOff>190500</xdr:rowOff>
        </xdr:to>
        <xdr:sp macro="" textlink="">
          <xdr:nvSpPr>
            <xdr:cNvPr id="1720" name="Button 696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1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12700</xdr:rowOff>
        </xdr:from>
        <xdr:to>
          <xdr:col>5</xdr:col>
          <xdr:colOff>330200</xdr:colOff>
          <xdr:row>22</xdr:row>
          <xdr:rowOff>190500</xdr:rowOff>
        </xdr:to>
        <xdr:sp macro="" textlink="">
          <xdr:nvSpPr>
            <xdr:cNvPr id="1721" name="Button 697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00000000-0008-0000-01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12700</xdr:rowOff>
        </xdr:from>
        <xdr:to>
          <xdr:col>3</xdr:col>
          <xdr:colOff>342900</xdr:colOff>
          <xdr:row>23</xdr:row>
          <xdr:rowOff>190500</xdr:rowOff>
        </xdr:to>
        <xdr:sp macro="" textlink="">
          <xdr:nvSpPr>
            <xdr:cNvPr id="1722" name="Button 698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1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12700</xdr:rowOff>
        </xdr:from>
        <xdr:to>
          <xdr:col>5</xdr:col>
          <xdr:colOff>330200</xdr:colOff>
          <xdr:row>23</xdr:row>
          <xdr:rowOff>190500</xdr:rowOff>
        </xdr:to>
        <xdr:sp macro="" textlink="">
          <xdr:nvSpPr>
            <xdr:cNvPr id="1723" name="Button 699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1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12700</xdr:rowOff>
        </xdr:from>
        <xdr:to>
          <xdr:col>3</xdr:col>
          <xdr:colOff>342900</xdr:colOff>
          <xdr:row>24</xdr:row>
          <xdr:rowOff>190500</xdr:rowOff>
        </xdr:to>
        <xdr:sp macro="" textlink="">
          <xdr:nvSpPr>
            <xdr:cNvPr id="1724" name="Button 700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id="{00000000-0008-0000-01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12700</xdr:rowOff>
        </xdr:from>
        <xdr:to>
          <xdr:col>5</xdr:col>
          <xdr:colOff>330200</xdr:colOff>
          <xdr:row>24</xdr:row>
          <xdr:rowOff>190500</xdr:rowOff>
        </xdr:to>
        <xdr:sp macro="" textlink="">
          <xdr:nvSpPr>
            <xdr:cNvPr id="1725" name="Button 701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1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12700</xdr:rowOff>
        </xdr:from>
        <xdr:to>
          <xdr:col>3</xdr:col>
          <xdr:colOff>342900</xdr:colOff>
          <xdr:row>25</xdr:row>
          <xdr:rowOff>190500</xdr:rowOff>
        </xdr:to>
        <xdr:sp macro="" textlink="">
          <xdr:nvSpPr>
            <xdr:cNvPr id="1726" name="Button 702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id="{00000000-0008-0000-01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12700</xdr:rowOff>
        </xdr:from>
        <xdr:to>
          <xdr:col>5</xdr:col>
          <xdr:colOff>330200</xdr:colOff>
          <xdr:row>25</xdr:row>
          <xdr:rowOff>190500</xdr:rowOff>
        </xdr:to>
        <xdr:sp macro="" textlink="">
          <xdr:nvSpPr>
            <xdr:cNvPr id="1727" name="Button 703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id="{00000000-0008-0000-01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12700</xdr:rowOff>
        </xdr:from>
        <xdr:to>
          <xdr:col>3</xdr:col>
          <xdr:colOff>342900</xdr:colOff>
          <xdr:row>26</xdr:row>
          <xdr:rowOff>190500</xdr:rowOff>
        </xdr:to>
        <xdr:sp macro="" textlink="">
          <xdr:nvSpPr>
            <xdr:cNvPr id="1728" name="Button 704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id="{00000000-0008-0000-01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12700</xdr:rowOff>
        </xdr:from>
        <xdr:to>
          <xdr:col>5</xdr:col>
          <xdr:colOff>330200</xdr:colOff>
          <xdr:row>26</xdr:row>
          <xdr:rowOff>190500</xdr:rowOff>
        </xdr:to>
        <xdr:sp macro="" textlink="">
          <xdr:nvSpPr>
            <xdr:cNvPr id="1729" name="Button 705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id="{00000000-0008-0000-01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12700</xdr:rowOff>
        </xdr:from>
        <xdr:to>
          <xdr:col>3</xdr:col>
          <xdr:colOff>342900</xdr:colOff>
          <xdr:row>27</xdr:row>
          <xdr:rowOff>190500</xdr:rowOff>
        </xdr:to>
        <xdr:sp macro="" textlink="">
          <xdr:nvSpPr>
            <xdr:cNvPr id="1730" name="Button 706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id="{00000000-0008-0000-01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12700</xdr:rowOff>
        </xdr:from>
        <xdr:to>
          <xdr:col>5</xdr:col>
          <xdr:colOff>330200</xdr:colOff>
          <xdr:row>27</xdr:row>
          <xdr:rowOff>190500</xdr:rowOff>
        </xdr:to>
        <xdr:sp macro="" textlink="">
          <xdr:nvSpPr>
            <xdr:cNvPr id="1731" name="Button 707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1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12700</xdr:rowOff>
        </xdr:from>
        <xdr:to>
          <xdr:col>3</xdr:col>
          <xdr:colOff>342900</xdr:colOff>
          <xdr:row>28</xdr:row>
          <xdr:rowOff>190500</xdr:rowOff>
        </xdr:to>
        <xdr:sp macro="" textlink="">
          <xdr:nvSpPr>
            <xdr:cNvPr id="1732" name="Button 708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id="{00000000-0008-0000-01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12700</xdr:rowOff>
        </xdr:from>
        <xdr:to>
          <xdr:col>5</xdr:col>
          <xdr:colOff>330200</xdr:colOff>
          <xdr:row>28</xdr:row>
          <xdr:rowOff>190500</xdr:rowOff>
        </xdr:to>
        <xdr:sp macro="" textlink="">
          <xdr:nvSpPr>
            <xdr:cNvPr id="1733" name="Button 709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id="{00000000-0008-0000-01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12700</xdr:rowOff>
        </xdr:from>
        <xdr:to>
          <xdr:col>3</xdr:col>
          <xdr:colOff>342900</xdr:colOff>
          <xdr:row>29</xdr:row>
          <xdr:rowOff>190500</xdr:rowOff>
        </xdr:to>
        <xdr:sp macro="" textlink="">
          <xdr:nvSpPr>
            <xdr:cNvPr id="1734" name="Button 710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id="{00000000-0008-0000-01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12700</xdr:rowOff>
        </xdr:from>
        <xdr:to>
          <xdr:col>5</xdr:col>
          <xdr:colOff>330200</xdr:colOff>
          <xdr:row>29</xdr:row>
          <xdr:rowOff>190500</xdr:rowOff>
        </xdr:to>
        <xdr:sp macro="" textlink="">
          <xdr:nvSpPr>
            <xdr:cNvPr id="1735" name="Button 711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id="{00000000-0008-0000-01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12700</xdr:rowOff>
        </xdr:from>
        <xdr:to>
          <xdr:col>3</xdr:col>
          <xdr:colOff>342900</xdr:colOff>
          <xdr:row>30</xdr:row>
          <xdr:rowOff>190500</xdr:rowOff>
        </xdr:to>
        <xdr:sp macro="" textlink="">
          <xdr:nvSpPr>
            <xdr:cNvPr id="1736" name="Button 712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id="{00000000-0008-0000-01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12700</xdr:rowOff>
        </xdr:from>
        <xdr:to>
          <xdr:col>5</xdr:col>
          <xdr:colOff>330200</xdr:colOff>
          <xdr:row>30</xdr:row>
          <xdr:rowOff>190500</xdr:rowOff>
        </xdr:to>
        <xdr:sp macro="" textlink="">
          <xdr:nvSpPr>
            <xdr:cNvPr id="1737" name="Button 713" hidden="1">
              <a:extLst>
                <a:ext uri="{63B3BB69-23CF-44E3-9099-C40C66FF867C}">
                  <a14:compatExt spid="_x0000_s1737"/>
                </a:ext>
                <a:ext uri="{FF2B5EF4-FFF2-40B4-BE49-F238E27FC236}">
                  <a16:creationId xmlns:a16="http://schemas.microsoft.com/office/drawing/2014/main" id="{00000000-0008-0000-0100-0000C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12700</xdr:rowOff>
        </xdr:from>
        <xdr:to>
          <xdr:col>3</xdr:col>
          <xdr:colOff>342900</xdr:colOff>
          <xdr:row>31</xdr:row>
          <xdr:rowOff>190500</xdr:rowOff>
        </xdr:to>
        <xdr:sp macro="" textlink="">
          <xdr:nvSpPr>
            <xdr:cNvPr id="1738" name="Button 714" hidden="1">
              <a:extLst>
                <a:ext uri="{63B3BB69-23CF-44E3-9099-C40C66FF867C}">
                  <a14:compatExt spid="_x0000_s1738"/>
                </a:ext>
                <a:ext uri="{FF2B5EF4-FFF2-40B4-BE49-F238E27FC236}">
                  <a16:creationId xmlns:a16="http://schemas.microsoft.com/office/drawing/2014/main" id="{00000000-0008-0000-0100-0000C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12700</xdr:rowOff>
        </xdr:from>
        <xdr:to>
          <xdr:col>5</xdr:col>
          <xdr:colOff>330200</xdr:colOff>
          <xdr:row>31</xdr:row>
          <xdr:rowOff>190500</xdr:rowOff>
        </xdr:to>
        <xdr:sp macro="" textlink="">
          <xdr:nvSpPr>
            <xdr:cNvPr id="1739" name="Button 715" hidden="1">
              <a:extLst>
                <a:ext uri="{63B3BB69-23CF-44E3-9099-C40C66FF867C}">
                  <a14:compatExt spid="_x0000_s1739"/>
                </a:ext>
                <a:ext uri="{FF2B5EF4-FFF2-40B4-BE49-F238E27FC236}">
                  <a16:creationId xmlns:a16="http://schemas.microsoft.com/office/drawing/2014/main" id="{00000000-0008-0000-0100-0000C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12700</xdr:rowOff>
        </xdr:from>
        <xdr:to>
          <xdr:col>3</xdr:col>
          <xdr:colOff>342900</xdr:colOff>
          <xdr:row>32</xdr:row>
          <xdr:rowOff>190500</xdr:rowOff>
        </xdr:to>
        <xdr:sp macro="" textlink="">
          <xdr:nvSpPr>
            <xdr:cNvPr id="1740" name="Button 716" hidden="1">
              <a:extLst>
                <a:ext uri="{63B3BB69-23CF-44E3-9099-C40C66FF867C}">
                  <a14:compatExt spid="_x0000_s1740"/>
                </a:ext>
                <a:ext uri="{FF2B5EF4-FFF2-40B4-BE49-F238E27FC236}">
                  <a16:creationId xmlns:a16="http://schemas.microsoft.com/office/drawing/2014/main" id="{00000000-0008-0000-0100-0000C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12700</xdr:rowOff>
        </xdr:from>
        <xdr:to>
          <xdr:col>5</xdr:col>
          <xdr:colOff>330200</xdr:colOff>
          <xdr:row>32</xdr:row>
          <xdr:rowOff>190500</xdr:rowOff>
        </xdr:to>
        <xdr:sp macro="" textlink="">
          <xdr:nvSpPr>
            <xdr:cNvPr id="1741" name="Button 717" hidden="1">
              <a:extLst>
                <a:ext uri="{63B3BB69-23CF-44E3-9099-C40C66FF867C}">
                  <a14:compatExt spid="_x0000_s1741"/>
                </a:ext>
                <a:ext uri="{FF2B5EF4-FFF2-40B4-BE49-F238E27FC236}">
                  <a16:creationId xmlns:a16="http://schemas.microsoft.com/office/drawing/2014/main" id="{00000000-0008-0000-0100-0000C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12700</xdr:rowOff>
        </xdr:from>
        <xdr:to>
          <xdr:col>3</xdr:col>
          <xdr:colOff>342900</xdr:colOff>
          <xdr:row>33</xdr:row>
          <xdr:rowOff>190500</xdr:rowOff>
        </xdr:to>
        <xdr:sp macro="" textlink="">
          <xdr:nvSpPr>
            <xdr:cNvPr id="1742" name="Button 718" hidden="1">
              <a:extLst>
                <a:ext uri="{63B3BB69-23CF-44E3-9099-C40C66FF867C}">
                  <a14:compatExt spid="_x0000_s1742"/>
                </a:ext>
                <a:ext uri="{FF2B5EF4-FFF2-40B4-BE49-F238E27FC236}">
                  <a16:creationId xmlns:a16="http://schemas.microsoft.com/office/drawing/2014/main" id="{00000000-0008-0000-0100-0000C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12700</xdr:rowOff>
        </xdr:from>
        <xdr:to>
          <xdr:col>5</xdr:col>
          <xdr:colOff>330200</xdr:colOff>
          <xdr:row>33</xdr:row>
          <xdr:rowOff>190500</xdr:rowOff>
        </xdr:to>
        <xdr:sp macro="" textlink="">
          <xdr:nvSpPr>
            <xdr:cNvPr id="1743" name="Button 719" hidden="1">
              <a:extLst>
                <a:ext uri="{63B3BB69-23CF-44E3-9099-C40C66FF867C}">
                  <a14:compatExt spid="_x0000_s1743"/>
                </a:ext>
                <a:ext uri="{FF2B5EF4-FFF2-40B4-BE49-F238E27FC236}">
                  <a16:creationId xmlns:a16="http://schemas.microsoft.com/office/drawing/2014/main" id="{00000000-0008-0000-0100-0000C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12700</xdr:rowOff>
        </xdr:from>
        <xdr:to>
          <xdr:col>3</xdr:col>
          <xdr:colOff>342900</xdr:colOff>
          <xdr:row>34</xdr:row>
          <xdr:rowOff>190500</xdr:rowOff>
        </xdr:to>
        <xdr:sp macro="" textlink="">
          <xdr:nvSpPr>
            <xdr:cNvPr id="1744" name="Button 720" hidden="1">
              <a:extLst>
                <a:ext uri="{63B3BB69-23CF-44E3-9099-C40C66FF867C}">
                  <a14:compatExt spid="_x0000_s1744"/>
                </a:ext>
                <a:ext uri="{FF2B5EF4-FFF2-40B4-BE49-F238E27FC236}">
                  <a16:creationId xmlns:a16="http://schemas.microsoft.com/office/drawing/2014/main" id="{00000000-0008-0000-0100-0000D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12700</xdr:rowOff>
        </xdr:from>
        <xdr:to>
          <xdr:col>5</xdr:col>
          <xdr:colOff>330200</xdr:colOff>
          <xdr:row>34</xdr:row>
          <xdr:rowOff>190500</xdr:rowOff>
        </xdr:to>
        <xdr:sp macro="" textlink="">
          <xdr:nvSpPr>
            <xdr:cNvPr id="1745" name="Button 721" hidden="1">
              <a:extLst>
                <a:ext uri="{63B3BB69-23CF-44E3-9099-C40C66FF867C}">
                  <a14:compatExt spid="_x0000_s1745"/>
                </a:ext>
                <a:ext uri="{FF2B5EF4-FFF2-40B4-BE49-F238E27FC236}">
                  <a16:creationId xmlns:a16="http://schemas.microsoft.com/office/drawing/2014/main" id="{00000000-0008-0000-0100-0000D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12700</xdr:rowOff>
        </xdr:from>
        <xdr:to>
          <xdr:col>3</xdr:col>
          <xdr:colOff>342900</xdr:colOff>
          <xdr:row>35</xdr:row>
          <xdr:rowOff>190500</xdr:rowOff>
        </xdr:to>
        <xdr:sp macro="" textlink="">
          <xdr:nvSpPr>
            <xdr:cNvPr id="1746" name="Button 722" hidden="1">
              <a:extLst>
                <a:ext uri="{63B3BB69-23CF-44E3-9099-C40C66FF867C}">
                  <a14:compatExt spid="_x0000_s1746"/>
                </a:ext>
                <a:ext uri="{FF2B5EF4-FFF2-40B4-BE49-F238E27FC236}">
                  <a16:creationId xmlns:a16="http://schemas.microsoft.com/office/drawing/2014/main" id="{00000000-0008-0000-0100-0000D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12700</xdr:rowOff>
        </xdr:from>
        <xdr:to>
          <xdr:col>5</xdr:col>
          <xdr:colOff>330200</xdr:colOff>
          <xdr:row>35</xdr:row>
          <xdr:rowOff>190500</xdr:rowOff>
        </xdr:to>
        <xdr:sp macro="" textlink="">
          <xdr:nvSpPr>
            <xdr:cNvPr id="1747" name="Button 723" hidden="1">
              <a:extLst>
                <a:ext uri="{63B3BB69-23CF-44E3-9099-C40C66FF867C}">
                  <a14:compatExt spid="_x0000_s1747"/>
                </a:ext>
                <a:ext uri="{FF2B5EF4-FFF2-40B4-BE49-F238E27FC236}">
                  <a16:creationId xmlns:a16="http://schemas.microsoft.com/office/drawing/2014/main" id="{00000000-0008-0000-0100-0000D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12700</xdr:rowOff>
        </xdr:from>
        <xdr:to>
          <xdr:col>3</xdr:col>
          <xdr:colOff>342900</xdr:colOff>
          <xdr:row>36</xdr:row>
          <xdr:rowOff>190500</xdr:rowOff>
        </xdr:to>
        <xdr:sp macro="" textlink="">
          <xdr:nvSpPr>
            <xdr:cNvPr id="1748" name="Button 724" hidden="1">
              <a:extLst>
                <a:ext uri="{63B3BB69-23CF-44E3-9099-C40C66FF867C}">
                  <a14:compatExt spid="_x0000_s1748"/>
                </a:ext>
                <a:ext uri="{FF2B5EF4-FFF2-40B4-BE49-F238E27FC236}">
                  <a16:creationId xmlns:a16="http://schemas.microsoft.com/office/drawing/2014/main" id="{00000000-0008-0000-0100-0000D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12700</xdr:rowOff>
        </xdr:from>
        <xdr:to>
          <xdr:col>5</xdr:col>
          <xdr:colOff>330200</xdr:colOff>
          <xdr:row>36</xdr:row>
          <xdr:rowOff>190500</xdr:rowOff>
        </xdr:to>
        <xdr:sp macro="" textlink="">
          <xdr:nvSpPr>
            <xdr:cNvPr id="1749" name="Button 725" hidden="1">
              <a:extLst>
                <a:ext uri="{63B3BB69-23CF-44E3-9099-C40C66FF867C}">
                  <a14:compatExt spid="_x0000_s1749"/>
                </a:ext>
                <a:ext uri="{FF2B5EF4-FFF2-40B4-BE49-F238E27FC236}">
                  <a16:creationId xmlns:a16="http://schemas.microsoft.com/office/drawing/2014/main" id="{00000000-0008-0000-0100-0000D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12700</xdr:rowOff>
        </xdr:from>
        <xdr:to>
          <xdr:col>3</xdr:col>
          <xdr:colOff>342900</xdr:colOff>
          <xdr:row>15</xdr:row>
          <xdr:rowOff>190500</xdr:rowOff>
        </xdr:to>
        <xdr:sp macro="" textlink="">
          <xdr:nvSpPr>
            <xdr:cNvPr id="1752" name="Button 728" hidden="1">
              <a:extLst>
                <a:ext uri="{63B3BB69-23CF-44E3-9099-C40C66FF867C}">
                  <a14:compatExt spid="_x0000_s1752"/>
                </a:ext>
                <a:ext uri="{FF2B5EF4-FFF2-40B4-BE49-F238E27FC236}">
                  <a16:creationId xmlns:a16="http://schemas.microsoft.com/office/drawing/2014/main" id="{00000000-0008-0000-0100-0000D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12700</xdr:rowOff>
        </xdr:from>
        <xdr:to>
          <xdr:col>5</xdr:col>
          <xdr:colOff>330200</xdr:colOff>
          <xdr:row>15</xdr:row>
          <xdr:rowOff>190500</xdr:rowOff>
        </xdr:to>
        <xdr:sp macro="" textlink="">
          <xdr:nvSpPr>
            <xdr:cNvPr id="1753" name="Button 729" hidden="1">
              <a:extLst>
                <a:ext uri="{63B3BB69-23CF-44E3-9099-C40C66FF867C}">
                  <a14:compatExt spid="_x0000_s1753"/>
                </a:ext>
                <a:ext uri="{FF2B5EF4-FFF2-40B4-BE49-F238E27FC236}">
                  <a16:creationId xmlns:a16="http://schemas.microsoft.com/office/drawing/2014/main" id="{00000000-0008-0000-0100-0000D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12700</xdr:rowOff>
        </xdr:from>
        <xdr:to>
          <xdr:col>3</xdr:col>
          <xdr:colOff>342900</xdr:colOff>
          <xdr:row>16</xdr:row>
          <xdr:rowOff>190500</xdr:rowOff>
        </xdr:to>
        <xdr:sp macro="" textlink="">
          <xdr:nvSpPr>
            <xdr:cNvPr id="1754" name="Button 730" hidden="1">
              <a:extLst>
                <a:ext uri="{63B3BB69-23CF-44E3-9099-C40C66FF867C}">
                  <a14:compatExt spid="_x0000_s1754"/>
                </a:ext>
                <a:ext uri="{FF2B5EF4-FFF2-40B4-BE49-F238E27FC236}">
                  <a16:creationId xmlns:a16="http://schemas.microsoft.com/office/drawing/2014/main" id="{00000000-0008-0000-0100-0000D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12700</xdr:rowOff>
        </xdr:from>
        <xdr:to>
          <xdr:col>5</xdr:col>
          <xdr:colOff>330200</xdr:colOff>
          <xdr:row>16</xdr:row>
          <xdr:rowOff>190500</xdr:rowOff>
        </xdr:to>
        <xdr:sp macro="" textlink="">
          <xdr:nvSpPr>
            <xdr:cNvPr id="1755" name="Button 731" hidden="1">
              <a:extLst>
                <a:ext uri="{63B3BB69-23CF-44E3-9099-C40C66FF867C}">
                  <a14:compatExt spid="_x0000_s1755"/>
                </a:ext>
                <a:ext uri="{FF2B5EF4-FFF2-40B4-BE49-F238E27FC236}">
                  <a16:creationId xmlns:a16="http://schemas.microsoft.com/office/drawing/2014/main" id="{00000000-0008-0000-0100-0000D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12700</xdr:rowOff>
        </xdr:from>
        <xdr:to>
          <xdr:col>3</xdr:col>
          <xdr:colOff>342900</xdr:colOff>
          <xdr:row>17</xdr:row>
          <xdr:rowOff>190500</xdr:rowOff>
        </xdr:to>
        <xdr:sp macro="" textlink="">
          <xdr:nvSpPr>
            <xdr:cNvPr id="1756" name="Button 732" hidden="1">
              <a:extLst>
                <a:ext uri="{63B3BB69-23CF-44E3-9099-C40C66FF867C}">
                  <a14:compatExt spid="_x0000_s1756"/>
                </a:ext>
                <a:ext uri="{FF2B5EF4-FFF2-40B4-BE49-F238E27FC236}">
                  <a16:creationId xmlns:a16="http://schemas.microsoft.com/office/drawing/2014/main" id="{00000000-0008-0000-0100-0000D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12700</xdr:rowOff>
        </xdr:from>
        <xdr:to>
          <xdr:col>5</xdr:col>
          <xdr:colOff>330200</xdr:colOff>
          <xdr:row>17</xdr:row>
          <xdr:rowOff>190500</xdr:rowOff>
        </xdr:to>
        <xdr:sp macro="" textlink="">
          <xdr:nvSpPr>
            <xdr:cNvPr id="1757" name="Button 733" hidden="1">
              <a:extLst>
                <a:ext uri="{63B3BB69-23CF-44E3-9099-C40C66FF867C}">
                  <a14:compatExt spid="_x0000_s1757"/>
                </a:ext>
                <a:ext uri="{FF2B5EF4-FFF2-40B4-BE49-F238E27FC236}">
                  <a16:creationId xmlns:a16="http://schemas.microsoft.com/office/drawing/2014/main" id="{00000000-0008-0000-0100-0000D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12700</xdr:rowOff>
        </xdr:from>
        <xdr:to>
          <xdr:col>3</xdr:col>
          <xdr:colOff>342900</xdr:colOff>
          <xdr:row>18</xdr:row>
          <xdr:rowOff>190500</xdr:rowOff>
        </xdr:to>
        <xdr:sp macro="" textlink="">
          <xdr:nvSpPr>
            <xdr:cNvPr id="1758" name="Button 734" hidden="1">
              <a:extLst>
                <a:ext uri="{63B3BB69-23CF-44E3-9099-C40C66FF867C}">
                  <a14:compatExt spid="_x0000_s1758"/>
                </a:ext>
                <a:ext uri="{FF2B5EF4-FFF2-40B4-BE49-F238E27FC236}">
                  <a16:creationId xmlns:a16="http://schemas.microsoft.com/office/drawing/2014/main" id="{00000000-0008-0000-0100-0000D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12700</xdr:rowOff>
        </xdr:from>
        <xdr:to>
          <xdr:col>5</xdr:col>
          <xdr:colOff>330200</xdr:colOff>
          <xdr:row>18</xdr:row>
          <xdr:rowOff>190500</xdr:rowOff>
        </xdr:to>
        <xdr:sp macro="" textlink="">
          <xdr:nvSpPr>
            <xdr:cNvPr id="1759" name="Button 735" hidden="1">
              <a:extLst>
                <a:ext uri="{63B3BB69-23CF-44E3-9099-C40C66FF867C}">
                  <a14:compatExt spid="_x0000_s1759"/>
                </a:ext>
                <a:ext uri="{FF2B5EF4-FFF2-40B4-BE49-F238E27FC236}">
                  <a16:creationId xmlns:a16="http://schemas.microsoft.com/office/drawing/2014/main" id="{00000000-0008-0000-0100-0000D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12700</xdr:rowOff>
        </xdr:from>
        <xdr:to>
          <xdr:col>6</xdr:col>
          <xdr:colOff>342900</xdr:colOff>
          <xdr:row>4</xdr:row>
          <xdr:rowOff>190500</xdr:rowOff>
        </xdr:to>
        <xdr:sp macro="" textlink="">
          <xdr:nvSpPr>
            <xdr:cNvPr id="1760" name="Button 736" hidden="1">
              <a:extLst>
                <a:ext uri="{63B3BB69-23CF-44E3-9099-C40C66FF867C}">
                  <a14:compatExt spid="_x0000_s1760"/>
                </a:ext>
                <a:ext uri="{FF2B5EF4-FFF2-40B4-BE49-F238E27FC236}">
                  <a16:creationId xmlns:a16="http://schemas.microsoft.com/office/drawing/2014/main" id="{00000000-0008-0000-0100-0000E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12700</xdr:rowOff>
        </xdr:from>
        <xdr:to>
          <xdr:col>8</xdr:col>
          <xdr:colOff>330200</xdr:colOff>
          <xdr:row>4</xdr:row>
          <xdr:rowOff>190500</xdr:rowOff>
        </xdr:to>
        <xdr:sp macro="" textlink="">
          <xdr:nvSpPr>
            <xdr:cNvPr id="1761" name="Button 737" hidden="1">
              <a:extLst>
                <a:ext uri="{63B3BB69-23CF-44E3-9099-C40C66FF867C}">
                  <a14:compatExt spid="_x0000_s1761"/>
                </a:ext>
                <a:ext uri="{FF2B5EF4-FFF2-40B4-BE49-F238E27FC236}">
                  <a16:creationId xmlns:a16="http://schemas.microsoft.com/office/drawing/2014/main" id="{00000000-0008-0000-0100-0000E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12700</xdr:rowOff>
        </xdr:from>
        <xdr:to>
          <xdr:col>6</xdr:col>
          <xdr:colOff>342900</xdr:colOff>
          <xdr:row>5</xdr:row>
          <xdr:rowOff>190500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1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12700</xdr:rowOff>
        </xdr:from>
        <xdr:to>
          <xdr:col>8</xdr:col>
          <xdr:colOff>330200</xdr:colOff>
          <xdr:row>5</xdr:row>
          <xdr:rowOff>190500</xdr:rowOff>
        </xdr:to>
        <xdr:sp macro="" textlink="">
          <xdr:nvSpPr>
            <xdr:cNvPr id="1763" name="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1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12700</xdr:rowOff>
        </xdr:from>
        <xdr:to>
          <xdr:col>6</xdr:col>
          <xdr:colOff>342900</xdr:colOff>
          <xdr:row>6</xdr:row>
          <xdr:rowOff>190500</xdr:rowOff>
        </xdr:to>
        <xdr:sp macro="" textlink="">
          <xdr:nvSpPr>
            <xdr:cNvPr id="1764" name="Button 740" hidden="1">
              <a:extLst>
                <a:ext uri="{63B3BB69-23CF-44E3-9099-C40C66FF867C}">
                  <a14:compatExt spid="_x0000_s1764"/>
                </a:ext>
                <a:ext uri="{FF2B5EF4-FFF2-40B4-BE49-F238E27FC236}">
                  <a16:creationId xmlns:a16="http://schemas.microsoft.com/office/drawing/2014/main" id="{00000000-0008-0000-0100-0000E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12700</xdr:rowOff>
        </xdr:from>
        <xdr:to>
          <xdr:col>8</xdr:col>
          <xdr:colOff>330200</xdr:colOff>
          <xdr:row>6</xdr:row>
          <xdr:rowOff>190500</xdr:rowOff>
        </xdr:to>
        <xdr:sp macro="" textlink="">
          <xdr:nvSpPr>
            <xdr:cNvPr id="1765" name="Button 741" hidden="1">
              <a:extLst>
                <a:ext uri="{63B3BB69-23CF-44E3-9099-C40C66FF867C}">
                  <a14:compatExt spid="_x0000_s1765"/>
                </a:ext>
                <a:ext uri="{FF2B5EF4-FFF2-40B4-BE49-F238E27FC236}">
                  <a16:creationId xmlns:a16="http://schemas.microsoft.com/office/drawing/2014/main" id="{00000000-0008-0000-0100-0000E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12700</xdr:rowOff>
        </xdr:from>
        <xdr:to>
          <xdr:col>6</xdr:col>
          <xdr:colOff>342900</xdr:colOff>
          <xdr:row>7</xdr:row>
          <xdr:rowOff>190500</xdr:rowOff>
        </xdr:to>
        <xdr:sp macro="" textlink="">
          <xdr:nvSpPr>
            <xdr:cNvPr id="1766" name="Button 742" hidden="1">
              <a:extLst>
                <a:ext uri="{63B3BB69-23CF-44E3-9099-C40C66FF867C}">
                  <a14:compatExt spid="_x0000_s1766"/>
                </a:ext>
                <a:ext uri="{FF2B5EF4-FFF2-40B4-BE49-F238E27FC236}">
                  <a16:creationId xmlns:a16="http://schemas.microsoft.com/office/drawing/2014/main" id="{00000000-0008-0000-0100-0000E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12700</xdr:rowOff>
        </xdr:from>
        <xdr:to>
          <xdr:col>8</xdr:col>
          <xdr:colOff>330200</xdr:colOff>
          <xdr:row>7</xdr:row>
          <xdr:rowOff>190500</xdr:rowOff>
        </xdr:to>
        <xdr:sp macro="" textlink="">
          <xdr:nvSpPr>
            <xdr:cNvPr id="1767" name="Button 743" hidden="1">
              <a:extLst>
                <a:ext uri="{63B3BB69-23CF-44E3-9099-C40C66FF867C}">
                  <a14:compatExt spid="_x0000_s1767"/>
                </a:ext>
                <a:ext uri="{FF2B5EF4-FFF2-40B4-BE49-F238E27FC236}">
                  <a16:creationId xmlns:a16="http://schemas.microsoft.com/office/drawing/2014/main" id="{00000000-0008-0000-0100-0000E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12700</xdr:rowOff>
        </xdr:from>
        <xdr:to>
          <xdr:col>6</xdr:col>
          <xdr:colOff>342900</xdr:colOff>
          <xdr:row>8</xdr:row>
          <xdr:rowOff>190500</xdr:rowOff>
        </xdr:to>
        <xdr:sp macro="" textlink="">
          <xdr:nvSpPr>
            <xdr:cNvPr id="1768" name="Button 744" hidden="1">
              <a:extLst>
                <a:ext uri="{63B3BB69-23CF-44E3-9099-C40C66FF867C}">
                  <a14:compatExt spid="_x0000_s1768"/>
                </a:ext>
                <a:ext uri="{FF2B5EF4-FFF2-40B4-BE49-F238E27FC236}">
                  <a16:creationId xmlns:a16="http://schemas.microsoft.com/office/drawing/2014/main" id="{00000000-0008-0000-0100-0000E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12700</xdr:rowOff>
        </xdr:from>
        <xdr:to>
          <xdr:col>8</xdr:col>
          <xdr:colOff>330200</xdr:colOff>
          <xdr:row>8</xdr:row>
          <xdr:rowOff>190500</xdr:rowOff>
        </xdr:to>
        <xdr:sp macro="" textlink="">
          <xdr:nvSpPr>
            <xdr:cNvPr id="1769" name="Button 745" hidden="1">
              <a:extLst>
                <a:ext uri="{63B3BB69-23CF-44E3-9099-C40C66FF867C}">
                  <a14:compatExt spid="_x0000_s1769"/>
                </a:ext>
                <a:ext uri="{FF2B5EF4-FFF2-40B4-BE49-F238E27FC236}">
                  <a16:creationId xmlns:a16="http://schemas.microsoft.com/office/drawing/2014/main" id="{00000000-0008-0000-0100-0000E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12700</xdr:rowOff>
        </xdr:from>
        <xdr:to>
          <xdr:col>6</xdr:col>
          <xdr:colOff>342900</xdr:colOff>
          <xdr:row>9</xdr:row>
          <xdr:rowOff>190500</xdr:rowOff>
        </xdr:to>
        <xdr:sp macro="" textlink="">
          <xdr:nvSpPr>
            <xdr:cNvPr id="1770" name="Button 746" hidden="1">
              <a:extLst>
                <a:ext uri="{63B3BB69-23CF-44E3-9099-C40C66FF867C}">
                  <a14:compatExt spid="_x0000_s1770"/>
                </a:ext>
                <a:ext uri="{FF2B5EF4-FFF2-40B4-BE49-F238E27FC236}">
                  <a16:creationId xmlns:a16="http://schemas.microsoft.com/office/drawing/2014/main" id="{00000000-0008-0000-0100-0000E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12700</xdr:rowOff>
        </xdr:from>
        <xdr:to>
          <xdr:col>8</xdr:col>
          <xdr:colOff>330200</xdr:colOff>
          <xdr:row>9</xdr:row>
          <xdr:rowOff>190500</xdr:rowOff>
        </xdr:to>
        <xdr:sp macro="" textlink="">
          <xdr:nvSpPr>
            <xdr:cNvPr id="1771" name="Button 747" hidden="1">
              <a:extLst>
                <a:ext uri="{63B3BB69-23CF-44E3-9099-C40C66FF867C}">
                  <a14:compatExt spid="_x0000_s1771"/>
                </a:ext>
                <a:ext uri="{FF2B5EF4-FFF2-40B4-BE49-F238E27FC236}">
                  <a16:creationId xmlns:a16="http://schemas.microsoft.com/office/drawing/2014/main" id="{00000000-0008-0000-0100-0000E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12700</xdr:rowOff>
        </xdr:from>
        <xdr:to>
          <xdr:col>6</xdr:col>
          <xdr:colOff>342900</xdr:colOff>
          <xdr:row>10</xdr:row>
          <xdr:rowOff>190500</xdr:rowOff>
        </xdr:to>
        <xdr:sp macro="" textlink="">
          <xdr:nvSpPr>
            <xdr:cNvPr id="1772" name="Button 748" hidden="1">
              <a:extLst>
                <a:ext uri="{63B3BB69-23CF-44E3-9099-C40C66FF867C}">
                  <a14:compatExt spid="_x0000_s1772"/>
                </a:ext>
                <a:ext uri="{FF2B5EF4-FFF2-40B4-BE49-F238E27FC236}">
                  <a16:creationId xmlns:a16="http://schemas.microsoft.com/office/drawing/2014/main" id="{00000000-0008-0000-0100-0000E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12700</xdr:rowOff>
        </xdr:from>
        <xdr:to>
          <xdr:col>8</xdr:col>
          <xdr:colOff>330200</xdr:colOff>
          <xdr:row>10</xdr:row>
          <xdr:rowOff>190500</xdr:rowOff>
        </xdr:to>
        <xdr:sp macro="" textlink="">
          <xdr:nvSpPr>
            <xdr:cNvPr id="1773" name="Button 749" hidden="1">
              <a:extLst>
                <a:ext uri="{63B3BB69-23CF-44E3-9099-C40C66FF867C}">
                  <a14:compatExt spid="_x0000_s1773"/>
                </a:ext>
                <a:ext uri="{FF2B5EF4-FFF2-40B4-BE49-F238E27FC236}">
                  <a16:creationId xmlns:a16="http://schemas.microsoft.com/office/drawing/2014/main" id="{00000000-0008-0000-0100-0000E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12700</xdr:rowOff>
        </xdr:from>
        <xdr:to>
          <xdr:col>6</xdr:col>
          <xdr:colOff>342900</xdr:colOff>
          <xdr:row>11</xdr:row>
          <xdr:rowOff>190500</xdr:rowOff>
        </xdr:to>
        <xdr:sp macro="" textlink="">
          <xdr:nvSpPr>
            <xdr:cNvPr id="1774" name="Button 750" hidden="1">
              <a:extLst>
                <a:ext uri="{63B3BB69-23CF-44E3-9099-C40C66FF867C}">
                  <a14:compatExt spid="_x0000_s1774"/>
                </a:ext>
                <a:ext uri="{FF2B5EF4-FFF2-40B4-BE49-F238E27FC236}">
                  <a16:creationId xmlns:a16="http://schemas.microsoft.com/office/drawing/2014/main" id="{00000000-0008-0000-0100-0000E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12700</xdr:rowOff>
        </xdr:from>
        <xdr:to>
          <xdr:col>8</xdr:col>
          <xdr:colOff>330200</xdr:colOff>
          <xdr:row>11</xdr:row>
          <xdr:rowOff>190500</xdr:rowOff>
        </xdr:to>
        <xdr:sp macro="" textlink="">
          <xdr:nvSpPr>
            <xdr:cNvPr id="1775" name="Button 751" hidden="1">
              <a:extLst>
                <a:ext uri="{63B3BB69-23CF-44E3-9099-C40C66FF867C}">
                  <a14:compatExt spid="_x0000_s1775"/>
                </a:ext>
                <a:ext uri="{FF2B5EF4-FFF2-40B4-BE49-F238E27FC236}">
                  <a16:creationId xmlns:a16="http://schemas.microsoft.com/office/drawing/2014/main" id="{00000000-0008-0000-0100-0000E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12700</xdr:rowOff>
        </xdr:from>
        <xdr:to>
          <xdr:col>6</xdr:col>
          <xdr:colOff>342900</xdr:colOff>
          <xdr:row>12</xdr:row>
          <xdr:rowOff>190500</xdr:rowOff>
        </xdr:to>
        <xdr:sp macro="" textlink="">
          <xdr:nvSpPr>
            <xdr:cNvPr id="1776" name="Button 752" hidden="1">
              <a:extLst>
                <a:ext uri="{63B3BB69-23CF-44E3-9099-C40C66FF867C}">
                  <a14:compatExt spid="_x0000_s1776"/>
                </a:ext>
                <a:ext uri="{FF2B5EF4-FFF2-40B4-BE49-F238E27FC236}">
                  <a16:creationId xmlns:a16="http://schemas.microsoft.com/office/drawing/2014/main" id="{00000000-0008-0000-0100-0000F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12700</xdr:rowOff>
        </xdr:from>
        <xdr:to>
          <xdr:col>8</xdr:col>
          <xdr:colOff>330200</xdr:colOff>
          <xdr:row>12</xdr:row>
          <xdr:rowOff>190500</xdr:rowOff>
        </xdr:to>
        <xdr:sp macro="" textlink="">
          <xdr:nvSpPr>
            <xdr:cNvPr id="1777" name="Button 753" hidden="1">
              <a:extLst>
                <a:ext uri="{63B3BB69-23CF-44E3-9099-C40C66FF867C}">
                  <a14:compatExt spid="_x0000_s1777"/>
                </a:ext>
                <a:ext uri="{FF2B5EF4-FFF2-40B4-BE49-F238E27FC236}">
                  <a16:creationId xmlns:a16="http://schemas.microsoft.com/office/drawing/2014/main" id="{00000000-0008-0000-0100-0000F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12700</xdr:rowOff>
        </xdr:from>
        <xdr:to>
          <xdr:col>6</xdr:col>
          <xdr:colOff>342900</xdr:colOff>
          <xdr:row>13</xdr:row>
          <xdr:rowOff>190500</xdr:rowOff>
        </xdr:to>
        <xdr:sp macro="" textlink="">
          <xdr:nvSpPr>
            <xdr:cNvPr id="1778" name="Button 754" hidden="1">
              <a:extLst>
                <a:ext uri="{63B3BB69-23CF-44E3-9099-C40C66FF867C}">
                  <a14:compatExt spid="_x0000_s1778"/>
                </a:ext>
                <a:ext uri="{FF2B5EF4-FFF2-40B4-BE49-F238E27FC236}">
                  <a16:creationId xmlns:a16="http://schemas.microsoft.com/office/drawing/2014/main" id="{00000000-0008-0000-0100-0000F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12700</xdr:rowOff>
        </xdr:from>
        <xdr:to>
          <xdr:col>8</xdr:col>
          <xdr:colOff>330200</xdr:colOff>
          <xdr:row>13</xdr:row>
          <xdr:rowOff>190500</xdr:rowOff>
        </xdr:to>
        <xdr:sp macro="" textlink="">
          <xdr:nvSpPr>
            <xdr:cNvPr id="1779" name="Button 755" hidden="1">
              <a:extLst>
                <a:ext uri="{63B3BB69-23CF-44E3-9099-C40C66FF867C}">
                  <a14:compatExt spid="_x0000_s1779"/>
                </a:ext>
                <a:ext uri="{FF2B5EF4-FFF2-40B4-BE49-F238E27FC236}">
                  <a16:creationId xmlns:a16="http://schemas.microsoft.com/office/drawing/2014/main" id="{00000000-0008-0000-0100-0000F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12700</xdr:rowOff>
        </xdr:from>
        <xdr:to>
          <xdr:col>6</xdr:col>
          <xdr:colOff>342900</xdr:colOff>
          <xdr:row>14</xdr:row>
          <xdr:rowOff>190500</xdr:rowOff>
        </xdr:to>
        <xdr:sp macro="" textlink="">
          <xdr:nvSpPr>
            <xdr:cNvPr id="1780" name="Button 756" hidden="1">
              <a:extLst>
                <a:ext uri="{63B3BB69-23CF-44E3-9099-C40C66FF867C}">
                  <a14:compatExt spid="_x0000_s1780"/>
                </a:ext>
                <a:ext uri="{FF2B5EF4-FFF2-40B4-BE49-F238E27FC236}">
                  <a16:creationId xmlns:a16="http://schemas.microsoft.com/office/drawing/2014/main" id="{00000000-0008-0000-0100-0000F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12700</xdr:rowOff>
        </xdr:from>
        <xdr:to>
          <xdr:col>8</xdr:col>
          <xdr:colOff>330200</xdr:colOff>
          <xdr:row>14</xdr:row>
          <xdr:rowOff>190500</xdr:rowOff>
        </xdr:to>
        <xdr:sp macro="" textlink="">
          <xdr:nvSpPr>
            <xdr:cNvPr id="1781" name="Button 757" hidden="1">
              <a:extLst>
                <a:ext uri="{63B3BB69-23CF-44E3-9099-C40C66FF867C}">
                  <a14:compatExt spid="_x0000_s1781"/>
                </a:ext>
                <a:ext uri="{FF2B5EF4-FFF2-40B4-BE49-F238E27FC236}">
                  <a16:creationId xmlns:a16="http://schemas.microsoft.com/office/drawing/2014/main" id="{00000000-0008-0000-0100-0000F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12700</xdr:rowOff>
        </xdr:from>
        <xdr:to>
          <xdr:col>6</xdr:col>
          <xdr:colOff>342900</xdr:colOff>
          <xdr:row>22</xdr:row>
          <xdr:rowOff>190500</xdr:rowOff>
        </xdr:to>
        <xdr:sp macro="" textlink="">
          <xdr:nvSpPr>
            <xdr:cNvPr id="1782" name="Button 758" hidden="1">
              <a:extLst>
                <a:ext uri="{63B3BB69-23CF-44E3-9099-C40C66FF867C}">
                  <a14:compatExt spid="_x0000_s1782"/>
                </a:ext>
                <a:ext uri="{FF2B5EF4-FFF2-40B4-BE49-F238E27FC236}">
                  <a16:creationId xmlns:a16="http://schemas.microsoft.com/office/drawing/2014/main" id="{00000000-0008-0000-0100-0000F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12700</xdr:rowOff>
        </xdr:from>
        <xdr:to>
          <xdr:col>8</xdr:col>
          <xdr:colOff>330200</xdr:colOff>
          <xdr:row>22</xdr:row>
          <xdr:rowOff>190500</xdr:rowOff>
        </xdr:to>
        <xdr:sp macro="" textlink="">
          <xdr:nvSpPr>
            <xdr:cNvPr id="1783" name="Button 759" hidden="1">
              <a:extLst>
                <a:ext uri="{63B3BB69-23CF-44E3-9099-C40C66FF867C}">
                  <a14:compatExt spid="_x0000_s1783"/>
                </a:ext>
                <a:ext uri="{FF2B5EF4-FFF2-40B4-BE49-F238E27FC236}">
                  <a16:creationId xmlns:a16="http://schemas.microsoft.com/office/drawing/2014/main" id="{00000000-0008-0000-0100-0000F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12700</xdr:rowOff>
        </xdr:from>
        <xdr:to>
          <xdr:col>6</xdr:col>
          <xdr:colOff>342900</xdr:colOff>
          <xdr:row>23</xdr:row>
          <xdr:rowOff>190500</xdr:rowOff>
        </xdr:to>
        <xdr:sp macro="" textlink="">
          <xdr:nvSpPr>
            <xdr:cNvPr id="1784" name="Button 760" hidden="1">
              <a:extLst>
                <a:ext uri="{63B3BB69-23CF-44E3-9099-C40C66FF867C}">
                  <a14:compatExt spid="_x0000_s1784"/>
                </a:ext>
                <a:ext uri="{FF2B5EF4-FFF2-40B4-BE49-F238E27FC236}">
                  <a16:creationId xmlns:a16="http://schemas.microsoft.com/office/drawing/2014/main" id="{00000000-0008-0000-0100-0000F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12700</xdr:rowOff>
        </xdr:from>
        <xdr:to>
          <xdr:col>8</xdr:col>
          <xdr:colOff>330200</xdr:colOff>
          <xdr:row>23</xdr:row>
          <xdr:rowOff>190500</xdr:rowOff>
        </xdr:to>
        <xdr:sp macro="" textlink="">
          <xdr:nvSpPr>
            <xdr:cNvPr id="1785" name="Button 761" hidden="1">
              <a:extLst>
                <a:ext uri="{63B3BB69-23CF-44E3-9099-C40C66FF867C}">
                  <a14:compatExt spid="_x0000_s1785"/>
                </a:ext>
                <a:ext uri="{FF2B5EF4-FFF2-40B4-BE49-F238E27FC236}">
                  <a16:creationId xmlns:a16="http://schemas.microsoft.com/office/drawing/2014/main" id="{00000000-0008-0000-0100-0000F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12700</xdr:rowOff>
        </xdr:from>
        <xdr:to>
          <xdr:col>6</xdr:col>
          <xdr:colOff>342900</xdr:colOff>
          <xdr:row>24</xdr:row>
          <xdr:rowOff>190500</xdr:rowOff>
        </xdr:to>
        <xdr:sp macro="" textlink="">
          <xdr:nvSpPr>
            <xdr:cNvPr id="1786" name="Button 762" hidden="1">
              <a:extLst>
                <a:ext uri="{63B3BB69-23CF-44E3-9099-C40C66FF867C}">
                  <a14:compatExt spid="_x0000_s1786"/>
                </a:ext>
                <a:ext uri="{FF2B5EF4-FFF2-40B4-BE49-F238E27FC236}">
                  <a16:creationId xmlns:a16="http://schemas.microsoft.com/office/drawing/2014/main" id="{00000000-0008-0000-0100-0000F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12700</xdr:rowOff>
        </xdr:from>
        <xdr:to>
          <xdr:col>8</xdr:col>
          <xdr:colOff>330200</xdr:colOff>
          <xdr:row>24</xdr:row>
          <xdr:rowOff>190500</xdr:rowOff>
        </xdr:to>
        <xdr:sp macro="" textlink="">
          <xdr:nvSpPr>
            <xdr:cNvPr id="1787" name="Button 763" hidden="1">
              <a:extLst>
                <a:ext uri="{63B3BB69-23CF-44E3-9099-C40C66FF867C}">
                  <a14:compatExt spid="_x0000_s1787"/>
                </a:ext>
                <a:ext uri="{FF2B5EF4-FFF2-40B4-BE49-F238E27FC236}">
                  <a16:creationId xmlns:a16="http://schemas.microsoft.com/office/drawing/2014/main" id="{00000000-0008-0000-0100-0000F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12700</xdr:rowOff>
        </xdr:from>
        <xdr:to>
          <xdr:col>6</xdr:col>
          <xdr:colOff>342900</xdr:colOff>
          <xdr:row>25</xdr:row>
          <xdr:rowOff>190500</xdr:rowOff>
        </xdr:to>
        <xdr:sp macro="" textlink="">
          <xdr:nvSpPr>
            <xdr:cNvPr id="1788" name="Button 764" hidden="1">
              <a:extLst>
                <a:ext uri="{63B3BB69-23CF-44E3-9099-C40C66FF867C}">
                  <a14:compatExt spid="_x0000_s1788"/>
                </a:ext>
                <a:ext uri="{FF2B5EF4-FFF2-40B4-BE49-F238E27FC236}">
                  <a16:creationId xmlns:a16="http://schemas.microsoft.com/office/drawing/2014/main" id="{00000000-0008-0000-0100-0000F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12700</xdr:rowOff>
        </xdr:from>
        <xdr:to>
          <xdr:col>8</xdr:col>
          <xdr:colOff>330200</xdr:colOff>
          <xdr:row>25</xdr:row>
          <xdr:rowOff>190500</xdr:rowOff>
        </xdr:to>
        <xdr:sp macro="" textlink="">
          <xdr:nvSpPr>
            <xdr:cNvPr id="1789" name="Button 765" hidden="1">
              <a:extLst>
                <a:ext uri="{63B3BB69-23CF-44E3-9099-C40C66FF867C}">
                  <a14:compatExt spid="_x0000_s1789"/>
                </a:ext>
                <a:ext uri="{FF2B5EF4-FFF2-40B4-BE49-F238E27FC236}">
                  <a16:creationId xmlns:a16="http://schemas.microsoft.com/office/drawing/2014/main" id="{00000000-0008-0000-0100-0000F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12700</xdr:rowOff>
        </xdr:from>
        <xdr:to>
          <xdr:col>6</xdr:col>
          <xdr:colOff>342900</xdr:colOff>
          <xdr:row>26</xdr:row>
          <xdr:rowOff>190500</xdr:rowOff>
        </xdr:to>
        <xdr:sp macro="" textlink="">
          <xdr:nvSpPr>
            <xdr:cNvPr id="1790" name="Button 766" hidden="1">
              <a:extLst>
                <a:ext uri="{63B3BB69-23CF-44E3-9099-C40C66FF867C}">
                  <a14:compatExt spid="_x0000_s1790"/>
                </a:ext>
                <a:ext uri="{FF2B5EF4-FFF2-40B4-BE49-F238E27FC236}">
                  <a16:creationId xmlns:a16="http://schemas.microsoft.com/office/drawing/2014/main" id="{00000000-0008-0000-0100-0000F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12700</xdr:rowOff>
        </xdr:from>
        <xdr:to>
          <xdr:col>8</xdr:col>
          <xdr:colOff>330200</xdr:colOff>
          <xdr:row>26</xdr:row>
          <xdr:rowOff>190500</xdr:rowOff>
        </xdr:to>
        <xdr:sp macro="" textlink="">
          <xdr:nvSpPr>
            <xdr:cNvPr id="1791" name="Button 767" hidden="1">
              <a:extLst>
                <a:ext uri="{63B3BB69-23CF-44E3-9099-C40C66FF867C}">
                  <a14:compatExt spid="_x0000_s1791"/>
                </a:ext>
                <a:ext uri="{FF2B5EF4-FFF2-40B4-BE49-F238E27FC236}">
                  <a16:creationId xmlns:a16="http://schemas.microsoft.com/office/drawing/2014/main" id="{00000000-0008-0000-0100-0000F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12700</xdr:rowOff>
        </xdr:from>
        <xdr:to>
          <xdr:col>6</xdr:col>
          <xdr:colOff>342900</xdr:colOff>
          <xdr:row>27</xdr:row>
          <xdr:rowOff>190500</xdr:rowOff>
        </xdr:to>
        <xdr:sp macro="" textlink="">
          <xdr:nvSpPr>
            <xdr:cNvPr id="1792" name="Button 768" hidden="1">
              <a:extLst>
                <a:ext uri="{63B3BB69-23CF-44E3-9099-C40C66FF867C}">
                  <a14:compatExt spid="_x0000_s1792"/>
                </a:ext>
                <a:ext uri="{FF2B5EF4-FFF2-40B4-BE49-F238E27FC236}">
                  <a16:creationId xmlns:a16="http://schemas.microsoft.com/office/drawing/2014/main" id="{00000000-0008-0000-0100-00000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12700</xdr:rowOff>
        </xdr:from>
        <xdr:to>
          <xdr:col>8</xdr:col>
          <xdr:colOff>330200</xdr:colOff>
          <xdr:row>27</xdr:row>
          <xdr:rowOff>190500</xdr:rowOff>
        </xdr:to>
        <xdr:sp macro="" textlink="">
          <xdr:nvSpPr>
            <xdr:cNvPr id="1793" name="Button 769" hidden="1">
              <a:extLst>
                <a:ext uri="{63B3BB69-23CF-44E3-9099-C40C66FF867C}">
                  <a14:compatExt spid="_x0000_s1793"/>
                </a:ext>
                <a:ext uri="{FF2B5EF4-FFF2-40B4-BE49-F238E27FC236}">
                  <a16:creationId xmlns:a16="http://schemas.microsoft.com/office/drawing/2014/main" id="{00000000-0008-0000-0100-00000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12700</xdr:rowOff>
        </xdr:from>
        <xdr:to>
          <xdr:col>6</xdr:col>
          <xdr:colOff>342900</xdr:colOff>
          <xdr:row>28</xdr:row>
          <xdr:rowOff>190500</xdr:rowOff>
        </xdr:to>
        <xdr:sp macro="" textlink="">
          <xdr:nvSpPr>
            <xdr:cNvPr id="1794" name="Button 770" hidden="1">
              <a:extLst>
                <a:ext uri="{63B3BB69-23CF-44E3-9099-C40C66FF867C}">
                  <a14:compatExt spid="_x0000_s1794"/>
                </a:ext>
                <a:ext uri="{FF2B5EF4-FFF2-40B4-BE49-F238E27FC236}">
                  <a16:creationId xmlns:a16="http://schemas.microsoft.com/office/drawing/2014/main" id="{00000000-0008-0000-0100-00000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12700</xdr:rowOff>
        </xdr:from>
        <xdr:to>
          <xdr:col>8</xdr:col>
          <xdr:colOff>330200</xdr:colOff>
          <xdr:row>28</xdr:row>
          <xdr:rowOff>190500</xdr:rowOff>
        </xdr:to>
        <xdr:sp macro="" textlink="">
          <xdr:nvSpPr>
            <xdr:cNvPr id="1795" name="Button 771" hidden="1">
              <a:extLst>
                <a:ext uri="{63B3BB69-23CF-44E3-9099-C40C66FF867C}">
                  <a14:compatExt spid="_x0000_s1795"/>
                </a:ext>
                <a:ext uri="{FF2B5EF4-FFF2-40B4-BE49-F238E27FC236}">
                  <a16:creationId xmlns:a16="http://schemas.microsoft.com/office/drawing/2014/main" id="{00000000-0008-0000-0100-00000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12700</xdr:rowOff>
        </xdr:from>
        <xdr:to>
          <xdr:col>6</xdr:col>
          <xdr:colOff>342900</xdr:colOff>
          <xdr:row>29</xdr:row>
          <xdr:rowOff>190500</xdr:rowOff>
        </xdr:to>
        <xdr:sp macro="" textlink="">
          <xdr:nvSpPr>
            <xdr:cNvPr id="1796" name="Button 772" hidden="1">
              <a:extLst>
                <a:ext uri="{63B3BB69-23CF-44E3-9099-C40C66FF867C}">
                  <a14:compatExt spid="_x0000_s1796"/>
                </a:ext>
                <a:ext uri="{FF2B5EF4-FFF2-40B4-BE49-F238E27FC236}">
                  <a16:creationId xmlns:a16="http://schemas.microsoft.com/office/drawing/2014/main" id="{00000000-0008-0000-0100-00000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12700</xdr:rowOff>
        </xdr:from>
        <xdr:to>
          <xdr:col>8</xdr:col>
          <xdr:colOff>330200</xdr:colOff>
          <xdr:row>29</xdr:row>
          <xdr:rowOff>190500</xdr:rowOff>
        </xdr:to>
        <xdr:sp macro="" textlink="">
          <xdr:nvSpPr>
            <xdr:cNvPr id="1797" name="Button 773" hidden="1">
              <a:extLst>
                <a:ext uri="{63B3BB69-23CF-44E3-9099-C40C66FF867C}">
                  <a14:compatExt spid="_x0000_s1797"/>
                </a:ext>
                <a:ext uri="{FF2B5EF4-FFF2-40B4-BE49-F238E27FC236}">
                  <a16:creationId xmlns:a16="http://schemas.microsoft.com/office/drawing/2014/main" id="{00000000-0008-0000-0100-00000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12700</xdr:rowOff>
        </xdr:from>
        <xdr:to>
          <xdr:col>6</xdr:col>
          <xdr:colOff>342900</xdr:colOff>
          <xdr:row>30</xdr:row>
          <xdr:rowOff>190500</xdr:rowOff>
        </xdr:to>
        <xdr:sp macro="" textlink="">
          <xdr:nvSpPr>
            <xdr:cNvPr id="1798" name="Button 774" hidden="1">
              <a:extLst>
                <a:ext uri="{63B3BB69-23CF-44E3-9099-C40C66FF867C}">
                  <a14:compatExt spid="_x0000_s1798"/>
                </a:ext>
                <a:ext uri="{FF2B5EF4-FFF2-40B4-BE49-F238E27FC236}">
                  <a16:creationId xmlns:a16="http://schemas.microsoft.com/office/drawing/2014/main" id="{00000000-0008-0000-0100-00000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12700</xdr:rowOff>
        </xdr:from>
        <xdr:to>
          <xdr:col>8</xdr:col>
          <xdr:colOff>330200</xdr:colOff>
          <xdr:row>30</xdr:row>
          <xdr:rowOff>190500</xdr:rowOff>
        </xdr:to>
        <xdr:sp macro="" textlink="">
          <xdr:nvSpPr>
            <xdr:cNvPr id="1799" name="Button 775" hidden="1">
              <a:extLst>
                <a:ext uri="{63B3BB69-23CF-44E3-9099-C40C66FF867C}">
                  <a14:compatExt spid="_x0000_s1799"/>
                </a:ext>
                <a:ext uri="{FF2B5EF4-FFF2-40B4-BE49-F238E27FC236}">
                  <a16:creationId xmlns:a16="http://schemas.microsoft.com/office/drawing/2014/main" id="{00000000-0008-0000-0100-00000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12700</xdr:rowOff>
        </xdr:from>
        <xdr:to>
          <xdr:col>6</xdr:col>
          <xdr:colOff>342900</xdr:colOff>
          <xdr:row>31</xdr:row>
          <xdr:rowOff>190500</xdr:rowOff>
        </xdr:to>
        <xdr:sp macro="" textlink="">
          <xdr:nvSpPr>
            <xdr:cNvPr id="1800" name="Button 776" hidden="1">
              <a:extLst>
                <a:ext uri="{63B3BB69-23CF-44E3-9099-C40C66FF867C}">
                  <a14:compatExt spid="_x0000_s1800"/>
                </a:ext>
                <a:ext uri="{FF2B5EF4-FFF2-40B4-BE49-F238E27FC236}">
                  <a16:creationId xmlns:a16="http://schemas.microsoft.com/office/drawing/2014/main" id="{00000000-0008-0000-0100-00000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12700</xdr:rowOff>
        </xdr:from>
        <xdr:to>
          <xdr:col>8</xdr:col>
          <xdr:colOff>330200</xdr:colOff>
          <xdr:row>31</xdr:row>
          <xdr:rowOff>190500</xdr:rowOff>
        </xdr:to>
        <xdr:sp macro="" textlink="">
          <xdr:nvSpPr>
            <xdr:cNvPr id="1801" name="Button 777" hidden="1">
              <a:extLst>
                <a:ext uri="{63B3BB69-23CF-44E3-9099-C40C66FF867C}">
                  <a14:compatExt spid="_x0000_s1801"/>
                </a:ext>
                <a:ext uri="{FF2B5EF4-FFF2-40B4-BE49-F238E27FC236}">
                  <a16:creationId xmlns:a16="http://schemas.microsoft.com/office/drawing/2014/main" id="{00000000-0008-0000-0100-00000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12700</xdr:rowOff>
        </xdr:from>
        <xdr:to>
          <xdr:col>6</xdr:col>
          <xdr:colOff>342900</xdr:colOff>
          <xdr:row>32</xdr:row>
          <xdr:rowOff>190500</xdr:rowOff>
        </xdr:to>
        <xdr:sp macro="" textlink="">
          <xdr:nvSpPr>
            <xdr:cNvPr id="1802" name="Button 778" hidden="1">
              <a:extLst>
                <a:ext uri="{63B3BB69-23CF-44E3-9099-C40C66FF867C}">
                  <a14:compatExt spid="_x0000_s1802"/>
                </a:ext>
                <a:ext uri="{FF2B5EF4-FFF2-40B4-BE49-F238E27FC236}">
                  <a16:creationId xmlns:a16="http://schemas.microsoft.com/office/drawing/2014/main" id="{00000000-0008-0000-0100-00000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12700</xdr:rowOff>
        </xdr:from>
        <xdr:to>
          <xdr:col>8</xdr:col>
          <xdr:colOff>330200</xdr:colOff>
          <xdr:row>32</xdr:row>
          <xdr:rowOff>190500</xdr:rowOff>
        </xdr:to>
        <xdr:sp macro="" textlink="">
          <xdr:nvSpPr>
            <xdr:cNvPr id="1803" name="Button 779" hidden="1">
              <a:extLst>
                <a:ext uri="{63B3BB69-23CF-44E3-9099-C40C66FF867C}">
                  <a14:compatExt spid="_x0000_s1803"/>
                </a:ext>
                <a:ext uri="{FF2B5EF4-FFF2-40B4-BE49-F238E27FC236}">
                  <a16:creationId xmlns:a16="http://schemas.microsoft.com/office/drawing/2014/main" id="{00000000-0008-0000-0100-00000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12700</xdr:rowOff>
        </xdr:from>
        <xdr:to>
          <xdr:col>6</xdr:col>
          <xdr:colOff>342900</xdr:colOff>
          <xdr:row>33</xdr:row>
          <xdr:rowOff>190500</xdr:rowOff>
        </xdr:to>
        <xdr:sp macro="" textlink="">
          <xdr:nvSpPr>
            <xdr:cNvPr id="1804" name="Button 780" hidden="1">
              <a:extLst>
                <a:ext uri="{63B3BB69-23CF-44E3-9099-C40C66FF867C}">
                  <a14:compatExt spid="_x0000_s1804"/>
                </a:ext>
                <a:ext uri="{FF2B5EF4-FFF2-40B4-BE49-F238E27FC236}">
                  <a16:creationId xmlns:a16="http://schemas.microsoft.com/office/drawing/2014/main" id="{00000000-0008-0000-0100-00000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12700</xdr:rowOff>
        </xdr:from>
        <xdr:to>
          <xdr:col>8</xdr:col>
          <xdr:colOff>330200</xdr:colOff>
          <xdr:row>33</xdr:row>
          <xdr:rowOff>190500</xdr:rowOff>
        </xdr:to>
        <xdr:sp macro="" textlink="">
          <xdr:nvSpPr>
            <xdr:cNvPr id="1805" name="Button 781" hidden="1">
              <a:extLst>
                <a:ext uri="{63B3BB69-23CF-44E3-9099-C40C66FF867C}">
                  <a14:compatExt spid="_x0000_s1805"/>
                </a:ext>
                <a:ext uri="{FF2B5EF4-FFF2-40B4-BE49-F238E27FC236}">
                  <a16:creationId xmlns:a16="http://schemas.microsoft.com/office/drawing/2014/main" id="{00000000-0008-0000-0100-00000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12700</xdr:rowOff>
        </xdr:from>
        <xdr:to>
          <xdr:col>6</xdr:col>
          <xdr:colOff>342900</xdr:colOff>
          <xdr:row>34</xdr:row>
          <xdr:rowOff>190500</xdr:rowOff>
        </xdr:to>
        <xdr:sp macro="" textlink="">
          <xdr:nvSpPr>
            <xdr:cNvPr id="1806" name="Button 782" hidden="1">
              <a:extLst>
                <a:ext uri="{63B3BB69-23CF-44E3-9099-C40C66FF867C}">
                  <a14:compatExt spid="_x0000_s1806"/>
                </a:ext>
                <a:ext uri="{FF2B5EF4-FFF2-40B4-BE49-F238E27FC236}">
                  <a16:creationId xmlns:a16="http://schemas.microsoft.com/office/drawing/2014/main" id="{00000000-0008-0000-0100-00000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12700</xdr:rowOff>
        </xdr:from>
        <xdr:to>
          <xdr:col>8</xdr:col>
          <xdr:colOff>330200</xdr:colOff>
          <xdr:row>34</xdr:row>
          <xdr:rowOff>190500</xdr:rowOff>
        </xdr:to>
        <xdr:sp macro="" textlink="">
          <xdr:nvSpPr>
            <xdr:cNvPr id="1807" name="Button 783" hidden="1">
              <a:extLst>
                <a:ext uri="{63B3BB69-23CF-44E3-9099-C40C66FF867C}">
                  <a14:compatExt spid="_x0000_s1807"/>
                </a:ext>
                <a:ext uri="{FF2B5EF4-FFF2-40B4-BE49-F238E27FC236}">
                  <a16:creationId xmlns:a16="http://schemas.microsoft.com/office/drawing/2014/main" id="{00000000-0008-0000-0100-00000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12700</xdr:rowOff>
        </xdr:from>
        <xdr:to>
          <xdr:col>6</xdr:col>
          <xdr:colOff>342900</xdr:colOff>
          <xdr:row>35</xdr:row>
          <xdr:rowOff>190500</xdr:rowOff>
        </xdr:to>
        <xdr:sp macro="" textlink="">
          <xdr:nvSpPr>
            <xdr:cNvPr id="1808" name="Button 784" hidden="1">
              <a:extLst>
                <a:ext uri="{63B3BB69-23CF-44E3-9099-C40C66FF867C}">
                  <a14:compatExt spid="_x0000_s1808"/>
                </a:ext>
                <a:ext uri="{FF2B5EF4-FFF2-40B4-BE49-F238E27FC236}">
                  <a16:creationId xmlns:a16="http://schemas.microsoft.com/office/drawing/2014/main" id="{00000000-0008-0000-0100-00001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12700</xdr:rowOff>
        </xdr:from>
        <xdr:to>
          <xdr:col>8</xdr:col>
          <xdr:colOff>330200</xdr:colOff>
          <xdr:row>35</xdr:row>
          <xdr:rowOff>190500</xdr:rowOff>
        </xdr:to>
        <xdr:sp macro="" textlink="">
          <xdr:nvSpPr>
            <xdr:cNvPr id="1809" name="Button 785" hidden="1">
              <a:extLst>
                <a:ext uri="{63B3BB69-23CF-44E3-9099-C40C66FF867C}">
                  <a14:compatExt spid="_x0000_s1809"/>
                </a:ext>
                <a:ext uri="{FF2B5EF4-FFF2-40B4-BE49-F238E27FC236}">
                  <a16:creationId xmlns:a16="http://schemas.microsoft.com/office/drawing/2014/main" id="{00000000-0008-0000-0100-00001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12700</xdr:rowOff>
        </xdr:from>
        <xdr:to>
          <xdr:col>6</xdr:col>
          <xdr:colOff>342900</xdr:colOff>
          <xdr:row>36</xdr:row>
          <xdr:rowOff>190500</xdr:rowOff>
        </xdr:to>
        <xdr:sp macro="" textlink="">
          <xdr:nvSpPr>
            <xdr:cNvPr id="1810" name="Button 786" hidden="1">
              <a:extLst>
                <a:ext uri="{63B3BB69-23CF-44E3-9099-C40C66FF867C}">
                  <a14:compatExt spid="_x0000_s1810"/>
                </a:ext>
                <a:ext uri="{FF2B5EF4-FFF2-40B4-BE49-F238E27FC236}">
                  <a16:creationId xmlns:a16="http://schemas.microsoft.com/office/drawing/2014/main" id="{00000000-0008-0000-0100-00001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12700</xdr:rowOff>
        </xdr:from>
        <xdr:to>
          <xdr:col>8</xdr:col>
          <xdr:colOff>330200</xdr:colOff>
          <xdr:row>36</xdr:row>
          <xdr:rowOff>190500</xdr:rowOff>
        </xdr:to>
        <xdr:sp macro="" textlink="">
          <xdr:nvSpPr>
            <xdr:cNvPr id="1811" name="Button 787" hidden="1">
              <a:extLst>
                <a:ext uri="{63B3BB69-23CF-44E3-9099-C40C66FF867C}">
                  <a14:compatExt spid="_x0000_s1811"/>
                </a:ext>
                <a:ext uri="{FF2B5EF4-FFF2-40B4-BE49-F238E27FC236}">
                  <a16:creationId xmlns:a16="http://schemas.microsoft.com/office/drawing/2014/main" id="{00000000-0008-0000-0100-00001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12700</xdr:rowOff>
        </xdr:from>
        <xdr:to>
          <xdr:col>6</xdr:col>
          <xdr:colOff>342900</xdr:colOff>
          <xdr:row>15</xdr:row>
          <xdr:rowOff>190500</xdr:rowOff>
        </xdr:to>
        <xdr:sp macro="" textlink="">
          <xdr:nvSpPr>
            <xdr:cNvPr id="1812" name="Button 788" hidden="1">
              <a:extLst>
                <a:ext uri="{63B3BB69-23CF-44E3-9099-C40C66FF867C}">
                  <a14:compatExt spid="_x0000_s1812"/>
                </a:ext>
                <a:ext uri="{FF2B5EF4-FFF2-40B4-BE49-F238E27FC236}">
                  <a16:creationId xmlns:a16="http://schemas.microsoft.com/office/drawing/2014/main" id="{00000000-0008-0000-0100-00001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12700</xdr:rowOff>
        </xdr:from>
        <xdr:to>
          <xdr:col>8</xdr:col>
          <xdr:colOff>330200</xdr:colOff>
          <xdr:row>15</xdr:row>
          <xdr:rowOff>190500</xdr:rowOff>
        </xdr:to>
        <xdr:sp macro="" textlink="">
          <xdr:nvSpPr>
            <xdr:cNvPr id="1813" name="Button 789" hidden="1">
              <a:extLst>
                <a:ext uri="{63B3BB69-23CF-44E3-9099-C40C66FF867C}">
                  <a14:compatExt spid="_x0000_s1813"/>
                </a:ext>
                <a:ext uri="{FF2B5EF4-FFF2-40B4-BE49-F238E27FC236}">
                  <a16:creationId xmlns:a16="http://schemas.microsoft.com/office/drawing/2014/main" id="{00000000-0008-0000-0100-00001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12700</xdr:rowOff>
        </xdr:from>
        <xdr:to>
          <xdr:col>6</xdr:col>
          <xdr:colOff>342900</xdr:colOff>
          <xdr:row>16</xdr:row>
          <xdr:rowOff>190500</xdr:rowOff>
        </xdr:to>
        <xdr:sp macro="" textlink="">
          <xdr:nvSpPr>
            <xdr:cNvPr id="1814" name="Button 790" hidden="1">
              <a:extLst>
                <a:ext uri="{63B3BB69-23CF-44E3-9099-C40C66FF867C}">
                  <a14:compatExt spid="_x0000_s1814"/>
                </a:ext>
                <a:ext uri="{FF2B5EF4-FFF2-40B4-BE49-F238E27FC236}">
                  <a16:creationId xmlns:a16="http://schemas.microsoft.com/office/drawing/2014/main" id="{00000000-0008-0000-0100-00001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12700</xdr:rowOff>
        </xdr:from>
        <xdr:to>
          <xdr:col>8</xdr:col>
          <xdr:colOff>330200</xdr:colOff>
          <xdr:row>16</xdr:row>
          <xdr:rowOff>190500</xdr:rowOff>
        </xdr:to>
        <xdr:sp macro="" textlink="">
          <xdr:nvSpPr>
            <xdr:cNvPr id="1815" name="Button 791" hidden="1">
              <a:extLst>
                <a:ext uri="{63B3BB69-23CF-44E3-9099-C40C66FF867C}">
                  <a14:compatExt spid="_x0000_s1815"/>
                </a:ext>
                <a:ext uri="{FF2B5EF4-FFF2-40B4-BE49-F238E27FC236}">
                  <a16:creationId xmlns:a16="http://schemas.microsoft.com/office/drawing/2014/main" id="{00000000-0008-0000-0100-00001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12700</xdr:rowOff>
        </xdr:from>
        <xdr:to>
          <xdr:col>6</xdr:col>
          <xdr:colOff>342900</xdr:colOff>
          <xdr:row>17</xdr:row>
          <xdr:rowOff>190500</xdr:rowOff>
        </xdr:to>
        <xdr:sp macro="" textlink="">
          <xdr:nvSpPr>
            <xdr:cNvPr id="1816" name="Button 792" hidden="1">
              <a:extLst>
                <a:ext uri="{63B3BB69-23CF-44E3-9099-C40C66FF867C}">
                  <a14:compatExt spid="_x0000_s1816"/>
                </a:ext>
                <a:ext uri="{FF2B5EF4-FFF2-40B4-BE49-F238E27FC236}">
                  <a16:creationId xmlns:a16="http://schemas.microsoft.com/office/drawing/2014/main" id="{00000000-0008-0000-0100-00001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12700</xdr:rowOff>
        </xdr:from>
        <xdr:to>
          <xdr:col>8</xdr:col>
          <xdr:colOff>330200</xdr:colOff>
          <xdr:row>17</xdr:row>
          <xdr:rowOff>190500</xdr:rowOff>
        </xdr:to>
        <xdr:sp macro="" textlink="">
          <xdr:nvSpPr>
            <xdr:cNvPr id="1817" name="Button 793" hidden="1">
              <a:extLst>
                <a:ext uri="{63B3BB69-23CF-44E3-9099-C40C66FF867C}">
                  <a14:compatExt spid="_x0000_s1817"/>
                </a:ext>
                <a:ext uri="{FF2B5EF4-FFF2-40B4-BE49-F238E27FC236}">
                  <a16:creationId xmlns:a16="http://schemas.microsoft.com/office/drawing/2014/main" id="{00000000-0008-0000-0100-00001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12700</xdr:rowOff>
        </xdr:from>
        <xdr:to>
          <xdr:col>6</xdr:col>
          <xdr:colOff>342900</xdr:colOff>
          <xdr:row>18</xdr:row>
          <xdr:rowOff>190500</xdr:rowOff>
        </xdr:to>
        <xdr:sp macro="" textlink="">
          <xdr:nvSpPr>
            <xdr:cNvPr id="1818" name="Button 794" hidden="1">
              <a:extLst>
                <a:ext uri="{63B3BB69-23CF-44E3-9099-C40C66FF867C}">
                  <a14:compatExt spid="_x0000_s1818"/>
                </a:ext>
                <a:ext uri="{FF2B5EF4-FFF2-40B4-BE49-F238E27FC236}">
                  <a16:creationId xmlns:a16="http://schemas.microsoft.com/office/drawing/2014/main" id="{00000000-0008-0000-0100-00001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12700</xdr:rowOff>
        </xdr:from>
        <xdr:to>
          <xdr:col>8</xdr:col>
          <xdr:colOff>330200</xdr:colOff>
          <xdr:row>18</xdr:row>
          <xdr:rowOff>190500</xdr:rowOff>
        </xdr:to>
        <xdr:sp macro="" textlink="">
          <xdr:nvSpPr>
            <xdr:cNvPr id="1819" name="Button 795" hidden="1">
              <a:extLst>
                <a:ext uri="{63B3BB69-23CF-44E3-9099-C40C66FF867C}">
                  <a14:compatExt spid="_x0000_s1819"/>
                </a:ext>
                <a:ext uri="{FF2B5EF4-FFF2-40B4-BE49-F238E27FC236}">
                  <a16:creationId xmlns:a16="http://schemas.microsoft.com/office/drawing/2014/main" id="{00000000-0008-0000-0100-00001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12700</xdr:rowOff>
        </xdr:from>
        <xdr:to>
          <xdr:col>9</xdr:col>
          <xdr:colOff>342900</xdr:colOff>
          <xdr:row>4</xdr:row>
          <xdr:rowOff>190500</xdr:rowOff>
        </xdr:to>
        <xdr:sp macro="" textlink="">
          <xdr:nvSpPr>
            <xdr:cNvPr id="1820" name="Button 796" hidden="1">
              <a:extLst>
                <a:ext uri="{63B3BB69-23CF-44E3-9099-C40C66FF867C}">
                  <a14:compatExt spid="_x0000_s1820"/>
                </a:ext>
                <a:ext uri="{FF2B5EF4-FFF2-40B4-BE49-F238E27FC236}">
                  <a16:creationId xmlns:a16="http://schemas.microsoft.com/office/drawing/2014/main" id="{00000000-0008-0000-0100-00001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12700</xdr:rowOff>
        </xdr:from>
        <xdr:to>
          <xdr:col>11</xdr:col>
          <xdr:colOff>330200</xdr:colOff>
          <xdr:row>4</xdr:row>
          <xdr:rowOff>190500</xdr:rowOff>
        </xdr:to>
        <xdr:sp macro="" textlink="">
          <xdr:nvSpPr>
            <xdr:cNvPr id="1821" name="Button 797" hidden="1">
              <a:extLst>
                <a:ext uri="{63B3BB69-23CF-44E3-9099-C40C66FF867C}">
                  <a14:compatExt spid="_x0000_s1821"/>
                </a:ext>
                <a:ext uri="{FF2B5EF4-FFF2-40B4-BE49-F238E27FC236}">
                  <a16:creationId xmlns:a16="http://schemas.microsoft.com/office/drawing/2014/main" id="{00000000-0008-0000-0100-00001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12700</xdr:rowOff>
        </xdr:from>
        <xdr:to>
          <xdr:col>9</xdr:col>
          <xdr:colOff>342900</xdr:colOff>
          <xdr:row>5</xdr:row>
          <xdr:rowOff>190500</xdr:rowOff>
        </xdr:to>
        <xdr:sp macro="" textlink="">
          <xdr:nvSpPr>
            <xdr:cNvPr id="1822" name="Button 798" hidden="1">
              <a:extLst>
                <a:ext uri="{63B3BB69-23CF-44E3-9099-C40C66FF867C}">
                  <a14:compatExt spid="_x0000_s1822"/>
                </a:ext>
                <a:ext uri="{FF2B5EF4-FFF2-40B4-BE49-F238E27FC236}">
                  <a16:creationId xmlns:a16="http://schemas.microsoft.com/office/drawing/2014/main" id="{00000000-0008-0000-0100-00001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12700</xdr:rowOff>
        </xdr:from>
        <xdr:to>
          <xdr:col>11</xdr:col>
          <xdr:colOff>330200</xdr:colOff>
          <xdr:row>5</xdr:row>
          <xdr:rowOff>190500</xdr:rowOff>
        </xdr:to>
        <xdr:sp macro="" textlink="">
          <xdr:nvSpPr>
            <xdr:cNvPr id="1823" name="Button 799" hidden="1">
              <a:extLst>
                <a:ext uri="{63B3BB69-23CF-44E3-9099-C40C66FF867C}">
                  <a14:compatExt spid="_x0000_s1823"/>
                </a:ext>
                <a:ext uri="{FF2B5EF4-FFF2-40B4-BE49-F238E27FC236}">
                  <a16:creationId xmlns:a16="http://schemas.microsoft.com/office/drawing/2014/main" id="{00000000-0008-0000-0100-00001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12700</xdr:rowOff>
        </xdr:from>
        <xdr:to>
          <xdr:col>9</xdr:col>
          <xdr:colOff>342900</xdr:colOff>
          <xdr:row>6</xdr:row>
          <xdr:rowOff>190500</xdr:rowOff>
        </xdr:to>
        <xdr:sp macro="" textlink="">
          <xdr:nvSpPr>
            <xdr:cNvPr id="1824" name="Button 800" hidden="1">
              <a:extLst>
                <a:ext uri="{63B3BB69-23CF-44E3-9099-C40C66FF867C}">
                  <a14:compatExt spid="_x0000_s1824"/>
                </a:ext>
                <a:ext uri="{FF2B5EF4-FFF2-40B4-BE49-F238E27FC236}">
                  <a16:creationId xmlns:a16="http://schemas.microsoft.com/office/drawing/2014/main" id="{00000000-0008-0000-0100-00002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12700</xdr:rowOff>
        </xdr:from>
        <xdr:to>
          <xdr:col>11</xdr:col>
          <xdr:colOff>330200</xdr:colOff>
          <xdr:row>6</xdr:row>
          <xdr:rowOff>190500</xdr:rowOff>
        </xdr:to>
        <xdr:sp macro="" textlink="">
          <xdr:nvSpPr>
            <xdr:cNvPr id="1825" name="Button 801" hidden="1">
              <a:extLst>
                <a:ext uri="{63B3BB69-23CF-44E3-9099-C40C66FF867C}">
                  <a14:compatExt spid="_x0000_s1825"/>
                </a:ext>
                <a:ext uri="{FF2B5EF4-FFF2-40B4-BE49-F238E27FC236}">
                  <a16:creationId xmlns:a16="http://schemas.microsoft.com/office/drawing/2014/main" id="{00000000-0008-0000-0100-00002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12700</xdr:rowOff>
        </xdr:from>
        <xdr:to>
          <xdr:col>9</xdr:col>
          <xdr:colOff>342900</xdr:colOff>
          <xdr:row>7</xdr:row>
          <xdr:rowOff>190500</xdr:rowOff>
        </xdr:to>
        <xdr:sp macro="" textlink="">
          <xdr:nvSpPr>
            <xdr:cNvPr id="1826" name="Button 802" hidden="1">
              <a:extLst>
                <a:ext uri="{63B3BB69-23CF-44E3-9099-C40C66FF867C}">
                  <a14:compatExt spid="_x0000_s1826"/>
                </a:ext>
                <a:ext uri="{FF2B5EF4-FFF2-40B4-BE49-F238E27FC236}">
                  <a16:creationId xmlns:a16="http://schemas.microsoft.com/office/drawing/2014/main" id="{00000000-0008-0000-0100-00002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12700</xdr:rowOff>
        </xdr:from>
        <xdr:to>
          <xdr:col>11</xdr:col>
          <xdr:colOff>330200</xdr:colOff>
          <xdr:row>7</xdr:row>
          <xdr:rowOff>190500</xdr:rowOff>
        </xdr:to>
        <xdr:sp macro="" textlink="">
          <xdr:nvSpPr>
            <xdr:cNvPr id="1827" name="Button 803" hidden="1">
              <a:extLst>
                <a:ext uri="{63B3BB69-23CF-44E3-9099-C40C66FF867C}">
                  <a14:compatExt spid="_x0000_s1827"/>
                </a:ext>
                <a:ext uri="{FF2B5EF4-FFF2-40B4-BE49-F238E27FC236}">
                  <a16:creationId xmlns:a16="http://schemas.microsoft.com/office/drawing/2014/main" id="{00000000-0008-0000-0100-00002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12700</xdr:rowOff>
        </xdr:from>
        <xdr:to>
          <xdr:col>9</xdr:col>
          <xdr:colOff>342900</xdr:colOff>
          <xdr:row>8</xdr:row>
          <xdr:rowOff>190500</xdr:rowOff>
        </xdr:to>
        <xdr:sp macro="" textlink="">
          <xdr:nvSpPr>
            <xdr:cNvPr id="1828" name="Button 804" hidden="1">
              <a:extLst>
                <a:ext uri="{63B3BB69-23CF-44E3-9099-C40C66FF867C}">
                  <a14:compatExt spid="_x0000_s1828"/>
                </a:ext>
                <a:ext uri="{FF2B5EF4-FFF2-40B4-BE49-F238E27FC236}">
                  <a16:creationId xmlns:a16="http://schemas.microsoft.com/office/drawing/2014/main" id="{00000000-0008-0000-0100-00002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12700</xdr:rowOff>
        </xdr:from>
        <xdr:to>
          <xdr:col>11</xdr:col>
          <xdr:colOff>330200</xdr:colOff>
          <xdr:row>8</xdr:row>
          <xdr:rowOff>190500</xdr:rowOff>
        </xdr:to>
        <xdr:sp macro="" textlink="">
          <xdr:nvSpPr>
            <xdr:cNvPr id="1829" name="Button 805" hidden="1">
              <a:extLst>
                <a:ext uri="{63B3BB69-23CF-44E3-9099-C40C66FF867C}">
                  <a14:compatExt spid="_x0000_s1829"/>
                </a:ext>
                <a:ext uri="{FF2B5EF4-FFF2-40B4-BE49-F238E27FC236}">
                  <a16:creationId xmlns:a16="http://schemas.microsoft.com/office/drawing/2014/main" id="{00000000-0008-0000-0100-00002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12700</xdr:rowOff>
        </xdr:from>
        <xdr:to>
          <xdr:col>9</xdr:col>
          <xdr:colOff>342900</xdr:colOff>
          <xdr:row>9</xdr:row>
          <xdr:rowOff>190500</xdr:rowOff>
        </xdr:to>
        <xdr:sp macro="" textlink="">
          <xdr:nvSpPr>
            <xdr:cNvPr id="1830" name="Button 806" hidden="1">
              <a:extLst>
                <a:ext uri="{63B3BB69-23CF-44E3-9099-C40C66FF867C}">
                  <a14:compatExt spid="_x0000_s1830"/>
                </a:ext>
                <a:ext uri="{FF2B5EF4-FFF2-40B4-BE49-F238E27FC236}">
                  <a16:creationId xmlns:a16="http://schemas.microsoft.com/office/drawing/2014/main" id="{00000000-0008-0000-0100-00002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12700</xdr:rowOff>
        </xdr:from>
        <xdr:to>
          <xdr:col>11</xdr:col>
          <xdr:colOff>330200</xdr:colOff>
          <xdr:row>9</xdr:row>
          <xdr:rowOff>190500</xdr:rowOff>
        </xdr:to>
        <xdr:sp macro="" textlink="">
          <xdr:nvSpPr>
            <xdr:cNvPr id="1831" name="Button 807" hidden="1">
              <a:extLst>
                <a:ext uri="{63B3BB69-23CF-44E3-9099-C40C66FF867C}">
                  <a14:compatExt spid="_x0000_s1831"/>
                </a:ext>
                <a:ext uri="{FF2B5EF4-FFF2-40B4-BE49-F238E27FC236}">
                  <a16:creationId xmlns:a16="http://schemas.microsoft.com/office/drawing/2014/main" id="{00000000-0008-0000-0100-00002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12700</xdr:rowOff>
        </xdr:from>
        <xdr:to>
          <xdr:col>9</xdr:col>
          <xdr:colOff>342900</xdr:colOff>
          <xdr:row>10</xdr:row>
          <xdr:rowOff>190500</xdr:rowOff>
        </xdr:to>
        <xdr:sp macro="" textlink="">
          <xdr:nvSpPr>
            <xdr:cNvPr id="1832" name="Button 808" hidden="1">
              <a:extLst>
                <a:ext uri="{63B3BB69-23CF-44E3-9099-C40C66FF867C}">
                  <a14:compatExt spid="_x0000_s1832"/>
                </a:ext>
                <a:ext uri="{FF2B5EF4-FFF2-40B4-BE49-F238E27FC236}">
                  <a16:creationId xmlns:a16="http://schemas.microsoft.com/office/drawing/2014/main" id="{00000000-0008-0000-0100-00002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12700</xdr:rowOff>
        </xdr:from>
        <xdr:to>
          <xdr:col>11</xdr:col>
          <xdr:colOff>330200</xdr:colOff>
          <xdr:row>10</xdr:row>
          <xdr:rowOff>190500</xdr:rowOff>
        </xdr:to>
        <xdr:sp macro="" textlink="">
          <xdr:nvSpPr>
            <xdr:cNvPr id="1833" name="Button 809" hidden="1">
              <a:extLst>
                <a:ext uri="{63B3BB69-23CF-44E3-9099-C40C66FF867C}">
                  <a14:compatExt spid="_x0000_s1833"/>
                </a:ext>
                <a:ext uri="{FF2B5EF4-FFF2-40B4-BE49-F238E27FC236}">
                  <a16:creationId xmlns:a16="http://schemas.microsoft.com/office/drawing/2014/main" id="{00000000-0008-0000-0100-00002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12700</xdr:rowOff>
        </xdr:from>
        <xdr:to>
          <xdr:col>9</xdr:col>
          <xdr:colOff>342900</xdr:colOff>
          <xdr:row>11</xdr:row>
          <xdr:rowOff>190500</xdr:rowOff>
        </xdr:to>
        <xdr:sp macro="" textlink="">
          <xdr:nvSpPr>
            <xdr:cNvPr id="1834" name="Button 810" hidden="1">
              <a:extLst>
                <a:ext uri="{63B3BB69-23CF-44E3-9099-C40C66FF867C}">
                  <a14:compatExt spid="_x0000_s1834"/>
                </a:ext>
                <a:ext uri="{FF2B5EF4-FFF2-40B4-BE49-F238E27FC236}">
                  <a16:creationId xmlns:a16="http://schemas.microsoft.com/office/drawing/2014/main" id="{00000000-0008-0000-0100-00002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12700</xdr:rowOff>
        </xdr:from>
        <xdr:to>
          <xdr:col>11</xdr:col>
          <xdr:colOff>330200</xdr:colOff>
          <xdr:row>11</xdr:row>
          <xdr:rowOff>190500</xdr:rowOff>
        </xdr:to>
        <xdr:sp macro="" textlink="">
          <xdr:nvSpPr>
            <xdr:cNvPr id="1835" name="Button 811" hidden="1">
              <a:extLst>
                <a:ext uri="{63B3BB69-23CF-44E3-9099-C40C66FF867C}">
                  <a14:compatExt spid="_x0000_s1835"/>
                </a:ext>
                <a:ext uri="{FF2B5EF4-FFF2-40B4-BE49-F238E27FC236}">
                  <a16:creationId xmlns:a16="http://schemas.microsoft.com/office/drawing/2014/main" id="{00000000-0008-0000-0100-00002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12700</xdr:rowOff>
        </xdr:from>
        <xdr:to>
          <xdr:col>9</xdr:col>
          <xdr:colOff>342900</xdr:colOff>
          <xdr:row>12</xdr:row>
          <xdr:rowOff>190500</xdr:rowOff>
        </xdr:to>
        <xdr:sp macro="" textlink="">
          <xdr:nvSpPr>
            <xdr:cNvPr id="1836" name="Button 812" hidden="1">
              <a:extLst>
                <a:ext uri="{63B3BB69-23CF-44E3-9099-C40C66FF867C}">
                  <a14:compatExt spid="_x0000_s1836"/>
                </a:ext>
                <a:ext uri="{FF2B5EF4-FFF2-40B4-BE49-F238E27FC236}">
                  <a16:creationId xmlns:a16="http://schemas.microsoft.com/office/drawing/2014/main" id="{00000000-0008-0000-0100-00002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12700</xdr:rowOff>
        </xdr:from>
        <xdr:to>
          <xdr:col>11</xdr:col>
          <xdr:colOff>330200</xdr:colOff>
          <xdr:row>12</xdr:row>
          <xdr:rowOff>190500</xdr:rowOff>
        </xdr:to>
        <xdr:sp macro="" textlink="">
          <xdr:nvSpPr>
            <xdr:cNvPr id="1837" name="Button 813" hidden="1">
              <a:extLst>
                <a:ext uri="{63B3BB69-23CF-44E3-9099-C40C66FF867C}">
                  <a14:compatExt spid="_x0000_s1837"/>
                </a:ext>
                <a:ext uri="{FF2B5EF4-FFF2-40B4-BE49-F238E27FC236}">
                  <a16:creationId xmlns:a16="http://schemas.microsoft.com/office/drawing/2014/main" id="{00000000-0008-0000-0100-00002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12700</xdr:rowOff>
        </xdr:from>
        <xdr:to>
          <xdr:col>9</xdr:col>
          <xdr:colOff>342900</xdr:colOff>
          <xdr:row>13</xdr:row>
          <xdr:rowOff>190500</xdr:rowOff>
        </xdr:to>
        <xdr:sp macro="" textlink="">
          <xdr:nvSpPr>
            <xdr:cNvPr id="1838" name="Button 814" hidden="1">
              <a:extLst>
                <a:ext uri="{63B3BB69-23CF-44E3-9099-C40C66FF867C}">
                  <a14:compatExt spid="_x0000_s1838"/>
                </a:ext>
                <a:ext uri="{FF2B5EF4-FFF2-40B4-BE49-F238E27FC236}">
                  <a16:creationId xmlns:a16="http://schemas.microsoft.com/office/drawing/2014/main" id="{00000000-0008-0000-0100-00002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12700</xdr:rowOff>
        </xdr:from>
        <xdr:to>
          <xdr:col>11</xdr:col>
          <xdr:colOff>330200</xdr:colOff>
          <xdr:row>13</xdr:row>
          <xdr:rowOff>190500</xdr:rowOff>
        </xdr:to>
        <xdr:sp macro="" textlink="">
          <xdr:nvSpPr>
            <xdr:cNvPr id="1839" name="Button 815" hidden="1">
              <a:extLst>
                <a:ext uri="{63B3BB69-23CF-44E3-9099-C40C66FF867C}">
                  <a14:compatExt spid="_x0000_s1839"/>
                </a:ext>
                <a:ext uri="{FF2B5EF4-FFF2-40B4-BE49-F238E27FC236}">
                  <a16:creationId xmlns:a16="http://schemas.microsoft.com/office/drawing/2014/main" id="{00000000-0008-0000-0100-00002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12700</xdr:rowOff>
        </xdr:from>
        <xdr:to>
          <xdr:col>9</xdr:col>
          <xdr:colOff>342900</xdr:colOff>
          <xdr:row>14</xdr:row>
          <xdr:rowOff>190500</xdr:rowOff>
        </xdr:to>
        <xdr:sp macro="" textlink="">
          <xdr:nvSpPr>
            <xdr:cNvPr id="1840" name="Button 816" hidden="1">
              <a:extLst>
                <a:ext uri="{63B3BB69-23CF-44E3-9099-C40C66FF867C}">
                  <a14:compatExt spid="_x0000_s1840"/>
                </a:ext>
                <a:ext uri="{FF2B5EF4-FFF2-40B4-BE49-F238E27FC236}">
                  <a16:creationId xmlns:a16="http://schemas.microsoft.com/office/drawing/2014/main" id="{00000000-0008-0000-0100-00003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12700</xdr:rowOff>
        </xdr:from>
        <xdr:to>
          <xdr:col>11</xdr:col>
          <xdr:colOff>330200</xdr:colOff>
          <xdr:row>14</xdr:row>
          <xdr:rowOff>190500</xdr:rowOff>
        </xdr:to>
        <xdr:sp macro="" textlink="">
          <xdr:nvSpPr>
            <xdr:cNvPr id="1841" name="Button 817" hidden="1">
              <a:extLst>
                <a:ext uri="{63B3BB69-23CF-44E3-9099-C40C66FF867C}">
                  <a14:compatExt spid="_x0000_s1841"/>
                </a:ext>
                <a:ext uri="{FF2B5EF4-FFF2-40B4-BE49-F238E27FC236}">
                  <a16:creationId xmlns:a16="http://schemas.microsoft.com/office/drawing/2014/main" id="{00000000-0008-0000-0100-00003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12700</xdr:rowOff>
        </xdr:from>
        <xdr:to>
          <xdr:col>9</xdr:col>
          <xdr:colOff>342900</xdr:colOff>
          <xdr:row>22</xdr:row>
          <xdr:rowOff>190500</xdr:rowOff>
        </xdr:to>
        <xdr:sp macro="" textlink="">
          <xdr:nvSpPr>
            <xdr:cNvPr id="1842" name="Button 818" hidden="1">
              <a:extLst>
                <a:ext uri="{63B3BB69-23CF-44E3-9099-C40C66FF867C}">
                  <a14:compatExt spid="_x0000_s1842"/>
                </a:ext>
                <a:ext uri="{FF2B5EF4-FFF2-40B4-BE49-F238E27FC236}">
                  <a16:creationId xmlns:a16="http://schemas.microsoft.com/office/drawing/2014/main" id="{00000000-0008-0000-0100-00003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12700</xdr:rowOff>
        </xdr:from>
        <xdr:to>
          <xdr:col>11</xdr:col>
          <xdr:colOff>330200</xdr:colOff>
          <xdr:row>22</xdr:row>
          <xdr:rowOff>190500</xdr:rowOff>
        </xdr:to>
        <xdr:sp macro="" textlink="">
          <xdr:nvSpPr>
            <xdr:cNvPr id="1843" name="Button 819" hidden="1">
              <a:extLst>
                <a:ext uri="{63B3BB69-23CF-44E3-9099-C40C66FF867C}">
                  <a14:compatExt spid="_x0000_s1843"/>
                </a:ext>
                <a:ext uri="{FF2B5EF4-FFF2-40B4-BE49-F238E27FC236}">
                  <a16:creationId xmlns:a16="http://schemas.microsoft.com/office/drawing/2014/main" id="{00000000-0008-0000-0100-00003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12700</xdr:rowOff>
        </xdr:from>
        <xdr:to>
          <xdr:col>9</xdr:col>
          <xdr:colOff>342900</xdr:colOff>
          <xdr:row>23</xdr:row>
          <xdr:rowOff>190500</xdr:rowOff>
        </xdr:to>
        <xdr:sp macro="" textlink="">
          <xdr:nvSpPr>
            <xdr:cNvPr id="1844" name="Button 820" hidden="1">
              <a:extLst>
                <a:ext uri="{63B3BB69-23CF-44E3-9099-C40C66FF867C}">
                  <a14:compatExt spid="_x0000_s1844"/>
                </a:ext>
                <a:ext uri="{FF2B5EF4-FFF2-40B4-BE49-F238E27FC236}">
                  <a16:creationId xmlns:a16="http://schemas.microsoft.com/office/drawing/2014/main" id="{00000000-0008-0000-0100-00003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12700</xdr:rowOff>
        </xdr:from>
        <xdr:to>
          <xdr:col>11</xdr:col>
          <xdr:colOff>330200</xdr:colOff>
          <xdr:row>23</xdr:row>
          <xdr:rowOff>190500</xdr:rowOff>
        </xdr:to>
        <xdr:sp macro="" textlink="">
          <xdr:nvSpPr>
            <xdr:cNvPr id="1845" name="Button 821" hidden="1">
              <a:extLst>
                <a:ext uri="{63B3BB69-23CF-44E3-9099-C40C66FF867C}">
                  <a14:compatExt spid="_x0000_s1845"/>
                </a:ext>
                <a:ext uri="{FF2B5EF4-FFF2-40B4-BE49-F238E27FC236}">
                  <a16:creationId xmlns:a16="http://schemas.microsoft.com/office/drawing/2014/main" id="{00000000-0008-0000-0100-00003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12700</xdr:rowOff>
        </xdr:from>
        <xdr:to>
          <xdr:col>9</xdr:col>
          <xdr:colOff>342900</xdr:colOff>
          <xdr:row>24</xdr:row>
          <xdr:rowOff>190500</xdr:rowOff>
        </xdr:to>
        <xdr:sp macro="" textlink="">
          <xdr:nvSpPr>
            <xdr:cNvPr id="1846" name="Button 822" hidden="1">
              <a:extLst>
                <a:ext uri="{63B3BB69-23CF-44E3-9099-C40C66FF867C}">
                  <a14:compatExt spid="_x0000_s1846"/>
                </a:ext>
                <a:ext uri="{FF2B5EF4-FFF2-40B4-BE49-F238E27FC236}">
                  <a16:creationId xmlns:a16="http://schemas.microsoft.com/office/drawing/2014/main" id="{00000000-0008-0000-0100-00003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12700</xdr:rowOff>
        </xdr:from>
        <xdr:to>
          <xdr:col>11</xdr:col>
          <xdr:colOff>330200</xdr:colOff>
          <xdr:row>24</xdr:row>
          <xdr:rowOff>190500</xdr:rowOff>
        </xdr:to>
        <xdr:sp macro="" textlink="">
          <xdr:nvSpPr>
            <xdr:cNvPr id="1847" name="Button 823" hidden="1">
              <a:extLst>
                <a:ext uri="{63B3BB69-23CF-44E3-9099-C40C66FF867C}">
                  <a14:compatExt spid="_x0000_s1847"/>
                </a:ext>
                <a:ext uri="{FF2B5EF4-FFF2-40B4-BE49-F238E27FC236}">
                  <a16:creationId xmlns:a16="http://schemas.microsoft.com/office/drawing/2014/main" id="{00000000-0008-0000-0100-00003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12700</xdr:rowOff>
        </xdr:from>
        <xdr:to>
          <xdr:col>9</xdr:col>
          <xdr:colOff>342900</xdr:colOff>
          <xdr:row>25</xdr:row>
          <xdr:rowOff>190500</xdr:rowOff>
        </xdr:to>
        <xdr:sp macro="" textlink="">
          <xdr:nvSpPr>
            <xdr:cNvPr id="1848" name="Button 824" hidden="1">
              <a:extLst>
                <a:ext uri="{63B3BB69-23CF-44E3-9099-C40C66FF867C}">
                  <a14:compatExt spid="_x0000_s1848"/>
                </a:ext>
                <a:ext uri="{FF2B5EF4-FFF2-40B4-BE49-F238E27FC236}">
                  <a16:creationId xmlns:a16="http://schemas.microsoft.com/office/drawing/2014/main" id="{00000000-0008-0000-0100-00003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12700</xdr:rowOff>
        </xdr:from>
        <xdr:to>
          <xdr:col>11</xdr:col>
          <xdr:colOff>330200</xdr:colOff>
          <xdr:row>25</xdr:row>
          <xdr:rowOff>190500</xdr:rowOff>
        </xdr:to>
        <xdr:sp macro="" textlink="">
          <xdr:nvSpPr>
            <xdr:cNvPr id="1849" name="Button 825" hidden="1">
              <a:extLst>
                <a:ext uri="{63B3BB69-23CF-44E3-9099-C40C66FF867C}">
                  <a14:compatExt spid="_x0000_s1849"/>
                </a:ext>
                <a:ext uri="{FF2B5EF4-FFF2-40B4-BE49-F238E27FC236}">
                  <a16:creationId xmlns:a16="http://schemas.microsoft.com/office/drawing/2014/main" id="{00000000-0008-0000-0100-00003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12700</xdr:rowOff>
        </xdr:from>
        <xdr:to>
          <xdr:col>9</xdr:col>
          <xdr:colOff>342900</xdr:colOff>
          <xdr:row>26</xdr:row>
          <xdr:rowOff>190500</xdr:rowOff>
        </xdr:to>
        <xdr:sp macro="" textlink="">
          <xdr:nvSpPr>
            <xdr:cNvPr id="1850" name="Button 826" hidden="1">
              <a:extLst>
                <a:ext uri="{63B3BB69-23CF-44E3-9099-C40C66FF867C}">
                  <a14:compatExt spid="_x0000_s1850"/>
                </a:ext>
                <a:ext uri="{FF2B5EF4-FFF2-40B4-BE49-F238E27FC236}">
                  <a16:creationId xmlns:a16="http://schemas.microsoft.com/office/drawing/2014/main" id="{00000000-0008-0000-0100-00003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12700</xdr:rowOff>
        </xdr:from>
        <xdr:to>
          <xdr:col>11</xdr:col>
          <xdr:colOff>330200</xdr:colOff>
          <xdr:row>26</xdr:row>
          <xdr:rowOff>190500</xdr:rowOff>
        </xdr:to>
        <xdr:sp macro="" textlink="">
          <xdr:nvSpPr>
            <xdr:cNvPr id="1851" name="Button 827" hidden="1">
              <a:extLst>
                <a:ext uri="{63B3BB69-23CF-44E3-9099-C40C66FF867C}">
                  <a14:compatExt spid="_x0000_s1851"/>
                </a:ext>
                <a:ext uri="{FF2B5EF4-FFF2-40B4-BE49-F238E27FC236}">
                  <a16:creationId xmlns:a16="http://schemas.microsoft.com/office/drawing/2014/main" id="{00000000-0008-0000-0100-00003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12700</xdr:rowOff>
        </xdr:from>
        <xdr:to>
          <xdr:col>9</xdr:col>
          <xdr:colOff>342900</xdr:colOff>
          <xdr:row>27</xdr:row>
          <xdr:rowOff>190500</xdr:rowOff>
        </xdr:to>
        <xdr:sp macro="" textlink="">
          <xdr:nvSpPr>
            <xdr:cNvPr id="1852" name="Button 828" hidden="1">
              <a:extLst>
                <a:ext uri="{63B3BB69-23CF-44E3-9099-C40C66FF867C}">
                  <a14:compatExt spid="_x0000_s1852"/>
                </a:ext>
                <a:ext uri="{FF2B5EF4-FFF2-40B4-BE49-F238E27FC236}">
                  <a16:creationId xmlns:a16="http://schemas.microsoft.com/office/drawing/2014/main" id="{00000000-0008-0000-0100-00003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12700</xdr:rowOff>
        </xdr:from>
        <xdr:to>
          <xdr:col>11</xdr:col>
          <xdr:colOff>330200</xdr:colOff>
          <xdr:row>27</xdr:row>
          <xdr:rowOff>190500</xdr:rowOff>
        </xdr:to>
        <xdr:sp macro="" textlink="">
          <xdr:nvSpPr>
            <xdr:cNvPr id="1853" name="Button 829" hidden="1">
              <a:extLst>
                <a:ext uri="{63B3BB69-23CF-44E3-9099-C40C66FF867C}">
                  <a14:compatExt spid="_x0000_s1853"/>
                </a:ext>
                <a:ext uri="{FF2B5EF4-FFF2-40B4-BE49-F238E27FC236}">
                  <a16:creationId xmlns:a16="http://schemas.microsoft.com/office/drawing/2014/main" id="{00000000-0008-0000-0100-00003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12700</xdr:rowOff>
        </xdr:from>
        <xdr:to>
          <xdr:col>9</xdr:col>
          <xdr:colOff>342900</xdr:colOff>
          <xdr:row>28</xdr:row>
          <xdr:rowOff>190500</xdr:rowOff>
        </xdr:to>
        <xdr:sp macro="" textlink="">
          <xdr:nvSpPr>
            <xdr:cNvPr id="1854" name="Button 830" hidden="1">
              <a:extLst>
                <a:ext uri="{63B3BB69-23CF-44E3-9099-C40C66FF867C}">
                  <a14:compatExt spid="_x0000_s1854"/>
                </a:ext>
                <a:ext uri="{FF2B5EF4-FFF2-40B4-BE49-F238E27FC236}">
                  <a16:creationId xmlns:a16="http://schemas.microsoft.com/office/drawing/2014/main" id="{00000000-0008-0000-0100-00003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12700</xdr:rowOff>
        </xdr:from>
        <xdr:to>
          <xdr:col>11</xdr:col>
          <xdr:colOff>330200</xdr:colOff>
          <xdr:row>28</xdr:row>
          <xdr:rowOff>190500</xdr:rowOff>
        </xdr:to>
        <xdr:sp macro="" textlink="">
          <xdr:nvSpPr>
            <xdr:cNvPr id="1855" name="Button 831" hidden="1">
              <a:extLst>
                <a:ext uri="{63B3BB69-23CF-44E3-9099-C40C66FF867C}">
                  <a14:compatExt spid="_x0000_s1855"/>
                </a:ext>
                <a:ext uri="{FF2B5EF4-FFF2-40B4-BE49-F238E27FC236}">
                  <a16:creationId xmlns:a16="http://schemas.microsoft.com/office/drawing/2014/main" id="{00000000-0008-0000-0100-00003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12700</xdr:rowOff>
        </xdr:from>
        <xdr:to>
          <xdr:col>9</xdr:col>
          <xdr:colOff>342900</xdr:colOff>
          <xdr:row>29</xdr:row>
          <xdr:rowOff>190500</xdr:rowOff>
        </xdr:to>
        <xdr:sp macro="" textlink="">
          <xdr:nvSpPr>
            <xdr:cNvPr id="1856" name="Button 832" hidden="1">
              <a:extLst>
                <a:ext uri="{63B3BB69-23CF-44E3-9099-C40C66FF867C}">
                  <a14:compatExt spid="_x0000_s1856"/>
                </a:ext>
                <a:ext uri="{FF2B5EF4-FFF2-40B4-BE49-F238E27FC236}">
                  <a16:creationId xmlns:a16="http://schemas.microsoft.com/office/drawing/2014/main" id="{00000000-0008-0000-0100-00004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12700</xdr:rowOff>
        </xdr:from>
        <xdr:to>
          <xdr:col>11</xdr:col>
          <xdr:colOff>330200</xdr:colOff>
          <xdr:row>29</xdr:row>
          <xdr:rowOff>190500</xdr:rowOff>
        </xdr:to>
        <xdr:sp macro="" textlink="">
          <xdr:nvSpPr>
            <xdr:cNvPr id="1857" name="Button 833" hidden="1">
              <a:extLst>
                <a:ext uri="{63B3BB69-23CF-44E3-9099-C40C66FF867C}">
                  <a14:compatExt spid="_x0000_s1857"/>
                </a:ext>
                <a:ext uri="{FF2B5EF4-FFF2-40B4-BE49-F238E27FC236}">
                  <a16:creationId xmlns:a16="http://schemas.microsoft.com/office/drawing/2014/main" id="{00000000-0008-0000-0100-00004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12700</xdr:rowOff>
        </xdr:from>
        <xdr:to>
          <xdr:col>9</xdr:col>
          <xdr:colOff>342900</xdr:colOff>
          <xdr:row>30</xdr:row>
          <xdr:rowOff>190500</xdr:rowOff>
        </xdr:to>
        <xdr:sp macro="" textlink="">
          <xdr:nvSpPr>
            <xdr:cNvPr id="1858" name="Button 834" hidden="1">
              <a:extLst>
                <a:ext uri="{63B3BB69-23CF-44E3-9099-C40C66FF867C}">
                  <a14:compatExt spid="_x0000_s1858"/>
                </a:ext>
                <a:ext uri="{FF2B5EF4-FFF2-40B4-BE49-F238E27FC236}">
                  <a16:creationId xmlns:a16="http://schemas.microsoft.com/office/drawing/2014/main" id="{00000000-0008-0000-0100-00004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12700</xdr:rowOff>
        </xdr:from>
        <xdr:to>
          <xdr:col>11</xdr:col>
          <xdr:colOff>330200</xdr:colOff>
          <xdr:row>30</xdr:row>
          <xdr:rowOff>190500</xdr:rowOff>
        </xdr:to>
        <xdr:sp macro="" textlink="">
          <xdr:nvSpPr>
            <xdr:cNvPr id="1859" name="Button 835" hidden="1">
              <a:extLst>
                <a:ext uri="{63B3BB69-23CF-44E3-9099-C40C66FF867C}">
                  <a14:compatExt spid="_x0000_s1859"/>
                </a:ext>
                <a:ext uri="{FF2B5EF4-FFF2-40B4-BE49-F238E27FC236}">
                  <a16:creationId xmlns:a16="http://schemas.microsoft.com/office/drawing/2014/main" id="{00000000-0008-0000-0100-00004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12700</xdr:rowOff>
        </xdr:from>
        <xdr:to>
          <xdr:col>9</xdr:col>
          <xdr:colOff>342900</xdr:colOff>
          <xdr:row>31</xdr:row>
          <xdr:rowOff>190500</xdr:rowOff>
        </xdr:to>
        <xdr:sp macro="" textlink="">
          <xdr:nvSpPr>
            <xdr:cNvPr id="1860" name="Button 836" hidden="1">
              <a:extLst>
                <a:ext uri="{63B3BB69-23CF-44E3-9099-C40C66FF867C}">
                  <a14:compatExt spid="_x0000_s1860"/>
                </a:ext>
                <a:ext uri="{FF2B5EF4-FFF2-40B4-BE49-F238E27FC236}">
                  <a16:creationId xmlns:a16="http://schemas.microsoft.com/office/drawing/2014/main" id="{00000000-0008-0000-0100-00004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12700</xdr:rowOff>
        </xdr:from>
        <xdr:to>
          <xdr:col>11</xdr:col>
          <xdr:colOff>330200</xdr:colOff>
          <xdr:row>31</xdr:row>
          <xdr:rowOff>190500</xdr:rowOff>
        </xdr:to>
        <xdr:sp macro="" textlink="">
          <xdr:nvSpPr>
            <xdr:cNvPr id="1861" name="Button 837" hidden="1">
              <a:extLst>
                <a:ext uri="{63B3BB69-23CF-44E3-9099-C40C66FF867C}">
                  <a14:compatExt spid="_x0000_s1861"/>
                </a:ext>
                <a:ext uri="{FF2B5EF4-FFF2-40B4-BE49-F238E27FC236}">
                  <a16:creationId xmlns:a16="http://schemas.microsoft.com/office/drawing/2014/main" id="{00000000-0008-0000-0100-00004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12700</xdr:rowOff>
        </xdr:from>
        <xdr:to>
          <xdr:col>9</xdr:col>
          <xdr:colOff>342900</xdr:colOff>
          <xdr:row>32</xdr:row>
          <xdr:rowOff>190500</xdr:rowOff>
        </xdr:to>
        <xdr:sp macro="" textlink="">
          <xdr:nvSpPr>
            <xdr:cNvPr id="1862" name="Button 838" hidden="1">
              <a:extLst>
                <a:ext uri="{63B3BB69-23CF-44E3-9099-C40C66FF867C}">
                  <a14:compatExt spid="_x0000_s1862"/>
                </a:ext>
                <a:ext uri="{FF2B5EF4-FFF2-40B4-BE49-F238E27FC236}">
                  <a16:creationId xmlns:a16="http://schemas.microsoft.com/office/drawing/2014/main" id="{00000000-0008-0000-0100-00004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12700</xdr:rowOff>
        </xdr:from>
        <xdr:to>
          <xdr:col>11</xdr:col>
          <xdr:colOff>330200</xdr:colOff>
          <xdr:row>32</xdr:row>
          <xdr:rowOff>190500</xdr:rowOff>
        </xdr:to>
        <xdr:sp macro="" textlink="">
          <xdr:nvSpPr>
            <xdr:cNvPr id="1863" name="Button 839" hidden="1">
              <a:extLst>
                <a:ext uri="{63B3BB69-23CF-44E3-9099-C40C66FF867C}">
                  <a14:compatExt spid="_x0000_s1863"/>
                </a:ext>
                <a:ext uri="{FF2B5EF4-FFF2-40B4-BE49-F238E27FC236}">
                  <a16:creationId xmlns:a16="http://schemas.microsoft.com/office/drawing/2014/main" id="{00000000-0008-0000-0100-00004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12700</xdr:rowOff>
        </xdr:from>
        <xdr:to>
          <xdr:col>9</xdr:col>
          <xdr:colOff>342900</xdr:colOff>
          <xdr:row>33</xdr:row>
          <xdr:rowOff>190500</xdr:rowOff>
        </xdr:to>
        <xdr:sp macro="" textlink="">
          <xdr:nvSpPr>
            <xdr:cNvPr id="1864" name="Button 840" hidden="1">
              <a:extLst>
                <a:ext uri="{63B3BB69-23CF-44E3-9099-C40C66FF867C}">
                  <a14:compatExt spid="_x0000_s1864"/>
                </a:ext>
                <a:ext uri="{FF2B5EF4-FFF2-40B4-BE49-F238E27FC236}">
                  <a16:creationId xmlns:a16="http://schemas.microsoft.com/office/drawing/2014/main" id="{00000000-0008-0000-0100-00004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12700</xdr:rowOff>
        </xdr:from>
        <xdr:to>
          <xdr:col>11</xdr:col>
          <xdr:colOff>330200</xdr:colOff>
          <xdr:row>33</xdr:row>
          <xdr:rowOff>190500</xdr:rowOff>
        </xdr:to>
        <xdr:sp macro="" textlink="">
          <xdr:nvSpPr>
            <xdr:cNvPr id="1865" name="Button 841" hidden="1">
              <a:extLst>
                <a:ext uri="{63B3BB69-23CF-44E3-9099-C40C66FF867C}">
                  <a14:compatExt spid="_x0000_s1865"/>
                </a:ext>
                <a:ext uri="{FF2B5EF4-FFF2-40B4-BE49-F238E27FC236}">
                  <a16:creationId xmlns:a16="http://schemas.microsoft.com/office/drawing/2014/main" id="{00000000-0008-0000-0100-00004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12700</xdr:rowOff>
        </xdr:from>
        <xdr:to>
          <xdr:col>9</xdr:col>
          <xdr:colOff>342900</xdr:colOff>
          <xdr:row>34</xdr:row>
          <xdr:rowOff>190500</xdr:rowOff>
        </xdr:to>
        <xdr:sp macro="" textlink="">
          <xdr:nvSpPr>
            <xdr:cNvPr id="1866" name="Button 842" hidden="1">
              <a:extLst>
                <a:ext uri="{63B3BB69-23CF-44E3-9099-C40C66FF867C}">
                  <a14:compatExt spid="_x0000_s1866"/>
                </a:ext>
                <a:ext uri="{FF2B5EF4-FFF2-40B4-BE49-F238E27FC236}">
                  <a16:creationId xmlns:a16="http://schemas.microsoft.com/office/drawing/2014/main" id="{00000000-0008-0000-0100-00004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12700</xdr:rowOff>
        </xdr:from>
        <xdr:to>
          <xdr:col>11</xdr:col>
          <xdr:colOff>330200</xdr:colOff>
          <xdr:row>34</xdr:row>
          <xdr:rowOff>190500</xdr:rowOff>
        </xdr:to>
        <xdr:sp macro="" textlink="">
          <xdr:nvSpPr>
            <xdr:cNvPr id="1867" name="Button 843" hidden="1">
              <a:extLst>
                <a:ext uri="{63B3BB69-23CF-44E3-9099-C40C66FF867C}">
                  <a14:compatExt spid="_x0000_s1867"/>
                </a:ext>
                <a:ext uri="{FF2B5EF4-FFF2-40B4-BE49-F238E27FC236}">
                  <a16:creationId xmlns:a16="http://schemas.microsoft.com/office/drawing/2014/main" id="{00000000-0008-0000-0100-00004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12700</xdr:rowOff>
        </xdr:from>
        <xdr:to>
          <xdr:col>9</xdr:col>
          <xdr:colOff>342900</xdr:colOff>
          <xdr:row>35</xdr:row>
          <xdr:rowOff>190500</xdr:rowOff>
        </xdr:to>
        <xdr:sp macro="" textlink="">
          <xdr:nvSpPr>
            <xdr:cNvPr id="1868" name="Button 844" hidden="1">
              <a:extLst>
                <a:ext uri="{63B3BB69-23CF-44E3-9099-C40C66FF867C}">
                  <a14:compatExt spid="_x0000_s1868"/>
                </a:ext>
                <a:ext uri="{FF2B5EF4-FFF2-40B4-BE49-F238E27FC236}">
                  <a16:creationId xmlns:a16="http://schemas.microsoft.com/office/drawing/2014/main" id="{00000000-0008-0000-0100-00004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12700</xdr:rowOff>
        </xdr:from>
        <xdr:to>
          <xdr:col>11</xdr:col>
          <xdr:colOff>330200</xdr:colOff>
          <xdr:row>35</xdr:row>
          <xdr:rowOff>190500</xdr:rowOff>
        </xdr:to>
        <xdr:sp macro="" textlink="">
          <xdr:nvSpPr>
            <xdr:cNvPr id="1869" name="Button 845" hidden="1">
              <a:extLst>
                <a:ext uri="{63B3BB69-23CF-44E3-9099-C40C66FF867C}">
                  <a14:compatExt spid="_x0000_s1869"/>
                </a:ext>
                <a:ext uri="{FF2B5EF4-FFF2-40B4-BE49-F238E27FC236}">
                  <a16:creationId xmlns:a16="http://schemas.microsoft.com/office/drawing/2014/main" id="{00000000-0008-0000-0100-00004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12700</xdr:rowOff>
        </xdr:from>
        <xdr:to>
          <xdr:col>9</xdr:col>
          <xdr:colOff>342900</xdr:colOff>
          <xdr:row>36</xdr:row>
          <xdr:rowOff>190500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1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12700</xdr:rowOff>
        </xdr:from>
        <xdr:to>
          <xdr:col>11</xdr:col>
          <xdr:colOff>330200</xdr:colOff>
          <xdr:row>36</xdr:row>
          <xdr:rowOff>190500</xdr:rowOff>
        </xdr:to>
        <xdr:sp macro="" textlink="">
          <xdr:nvSpPr>
            <xdr:cNvPr id="1871" name="Button 847" hidden="1">
              <a:extLst>
                <a:ext uri="{63B3BB69-23CF-44E3-9099-C40C66FF867C}">
                  <a14:compatExt spid="_x0000_s1871"/>
                </a:ext>
                <a:ext uri="{FF2B5EF4-FFF2-40B4-BE49-F238E27FC236}">
                  <a16:creationId xmlns:a16="http://schemas.microsoft.com/office/drawing/2014/main" id="{00000000-0008-0000-0100-00004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12700</xdr:rowOff>
        </xdr:from>
        <xdr:to>
          <xdr:col>9</xdr:col>
          <xdr:colOff>342900</xdr:colOff>
          <xdr:row>15</xdr:row>
          <xdr:rowOff>190500</xdr:rowOff>
        </xdr:to>
        <xdr:sp macro="" textlink="">
          <xdr:nvSpPr>
            <xdr:cNvPr id="1872" name="Button 848" hidden="1">
              <a:extLst>
                <a:ext uri="{63B3BB69-23CF-44E3-9099-C40C66FF867C}">
                  <a14:compatExt spid="_x0000_s1872"/>
                </a:ext>
                <a:ext uri="{FF2B5EF4-FFF2-40B4-BE49-F238E27FC236}">
                  <a16:creationId xmlns:a16="http://schemas.microsoft.com/office/drawing/2014/main" id="{00000000-0008-0000-0100-00005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12700</xdr:rowOff>
        </xdr:from>
        <xdr:to>
          <xdr:col>11</xdr:col>
          <xdr:colOff>330200</xdr:colOff>
          <xdr:row>15</xdr:row>
          <xdr:rowOff>190500</xdr:rowOff>
        </xdr:to>
        <xdr:sp macro="" textlink="">
          <xdr:nvSpPr>
            <xdr:cNvPr id="1873" name="Button 849" hidden="1">
              <a:extLst>
                <a:ext uri="{63B3BB69-23CF-44E3-9099-C40C66FF867C}">
                  <a14:compatExt spid="_x0000_s1873"/>
                </a:ext>
                <a:ext uri="{FF2B5EF4-FFF2-40B4-BE49-F238E27FC236}">
                  <a16:creationId xmlns:a16="http://schemas.microsoft.com/office/drawing/2014/main" id="{00000000-0008-0000-0100-00005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12700</xdr:rowOff>
        </xdr:from>
        <xdr:to>
          <xdr:col>9</xdr:col>
          <xdr:colOff>342900</xdr:colOff>
          <xdr:row>16</xdr:row>
          <xdr:rowOff>190500</xdr:rowOff>
        </xdr:to>
        <xdr:sp macro="" textlink="">
          <xdr:nvSpPr>
            <xdr:cNvPr id="1874" name="Button 850" hidden="1">
              <a:extLst>
                <a:ext uri="{63B3BB69-23CF-44E3-9099-C40C66FF867C}">
                  <a14:compatExt spid="_x0000_s1874"/>
                </a:ext>
                <a:ext uri="{FF2B5EF4-FFF2-40B4-BE49-F238E27FC236}">
                  <a16:creationId xmlns:a16="http://schemas.microsoft.com/office/drawing/2014/main" id="{00000000-0008-0000-0100-00005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12700</xdr:rowOff>
        </xdr:from>
        <xdr:to>
          <xdr:col>11</xdr:col>
          <xdr:colOff>330200</xdr:colOff>
          <xdr:row>16</xdr:row>
          <xdr:rowOff>190500</xdr:rowOff>
        </xdr:to>
        <xdr:sp macro="" textlink="">
          <xdr:nvSpPr>
            <xdr:cNvPr id="1875" name="Button 851" hidden="1">
              <a:extLst>
                <a:ext uri="{63B3BB69-23CF-44E3-9099-C40C66FF867C}">
                  <a14:compatExt spid="_x0000_s1875"/>
                </a:ext>
                <a:ext uri="{FF2B5EF4-FFF2-40B4-BE49-F238E27FC236}">
                  <a16:creationId xmlns:a16="http://schemas.microsoft.com/office/drawing/2014/main" id="{00000000-0008-0000-0100-00005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12700</xdr:rowOff>
        </xdr:from>
        <xdr:to>
          <xdr:col>9</xdr:col>
          <xdr:colOff>342900</xdr:colOff>
          <xdr:row>17</xdr:row>
          <xdr:rowOff>190500</xdr:rowOff>
        </xdr:to>
        <xdr:sp macro="" textlink="">
          <xdr:nvSpPr>
            <xdr:cNvPr id="1876" name="Button 852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1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12700</xdr:rowOff>
        </xdr:from>
        <xdr:to>
          <xdr:col>11</xdr:col>
          <xdr:colOff>330200</xdr:colOff>
          <xdr:row>17</xdr:row>
          <xdr:rowOff>190500</xdr:rowOff>
        </xdr:to>
        <xdr:sp macro="" textlink="">
          <xdr:nvSpPr>
            <xdr:cNvPr id="1877" name="Button 853" hidden="1">
              <a:extLst>
                <a:ext uri="{63B3BB69-23CF-44E3-9099-C40C66FF867C}">
                  <a14:compatExt spid="_x0000_s1877"/>
                </a:ext>
                <a:ext uri="{FF2B5EF4-FFF2-40B4-BE49-F238E27FC236}">
                  <a16:creationId xmlns:a16="http://schemas.microsoft.com/office/drawing/2014/main" id="{00000000-0008-0000-0100-00005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12700</xdr:rowOff>
        </xdr:from>
        <xdr:to>
          <xdr:col>9</xdr:col>
          <xdr:colOff>342900</xdr:colOff>
          <xdr:row>18</xdr:row>
          <xdr:rowOff>190500</xdr:rowOff>
        </xdr:to>
        <xdr:sp macro="" textlink="">
          <xdr:nvSpPr>
            <xdr:cNvPr id="1878" name="Button 854" hidden="1">
              <a:extLst>
                <a:ext uri="{63B3BB69-23CF-44E3-9099-C40C66FF867C}">
                  <a14:compatExt spid="_x0000_s1878"/>
                </a:ext>
                <a:ext uri="{FF2B5EF4-FFF2-40B4-BE49-F238E27FC236}">
                  <a16:creationId xmlns:a16="http://schemas.microsoft.com/office/drawing/2014/main" id="{00000000-0008-0000-0100-00005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12700</xdr:rowOff>
        </xdr:from>
        <xdr:to>
          <xdr:col>11</xdr:col>
          <xdr:colOff>330200</xdr:colOff>
          <xdr:row>18</xdr:row>
          <xdr:rowOff>190500</xdr:rowOff>
        </xdr:to>
        <xdr:sp macro="" textlink="">
          <xdr:nvSpPr>
            <xdr:cNvPr id="1879" name="Button 855" hidden="1">
              <a:extLst>
                <a:ext uri="{63B3BB69-23CF-44E3-9099-C40C66FF867C}">
                  <a14:compatExt spid="_x0000_s1879"/>
                </a:ext>
                <a:ext uri="{FF2B5EF4-FFF2-40B4-BE49-F238E27FC236}">
                  <a16:creationId xmlns:a16="http://schemas.microsoft.com/office/drawing/2014/main" id="{00000000-0008-0000-0100-00005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12700</xdr:rowOff>
        </xdr:from>
        <xdr:to>
          <xdr:col>12</xdr:col>
          <xdr:colOff>342900</xdr:colOff>
          <xdr:row>4</xdr:row>
          <xdr:rowOff>190500</xdr:rowOff>
        </xdr:to>
        <xdr:sp macro="" textlink="">
          <xdr:nvSpPr>
            <xdr:cNvPr id="1880" name="Button 856" hidden="1">
              <a:extLst>
                <a:ext uri="{63B3BB69-23CF-44E3-9099-C40C66FF867C}">
                  <a14:compatExt spid="_x0000_s1880"/>
                </a:ext>
                <a:ext uri="{FF2B5EF4-FFF2-40B4-BE49-F238E27FC236}">
                  <a16:creationId xmlns:a16="http://schemas.microsoft.com/office/drawing/2014/main" id="{00000000-0008-0000-0100-00005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12700</xdr:rowOff>
        </xdr:from>
        <xdr:to>
          <xdr:col>14</xdr:col>
          <xdr:colOff>330200</xdr:colOff>
          <xdr:row>4</xdr:row>
          <xdr:rowOff>190500</xdr:rowOff>
        </xdr:to>
        <xdr:sp macro="" textlink="">
          <xdr:nvSpPr>
            <xdr:cNvPr id="1881" name="Button 857" hidden="1">
              <a:extLst>
                <a:ext uri="{63B3BB69-23CF-44E3-9099-C40C66FF867C}">
                  <a14:compatExt spid="_x0000_s1881"/>
                </a:ext>
                <a:ext uri="{FF2B5EF4-FFF2-40B4-BE49-F238E27FC236}">
                  <a16:creationId xmlns:a16="http://schemas.microsoft.com/office/drawing/2014/main" id="{00000000-0008-0000-0100-00005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12700</xdr:rowOff>
        </xdr:from>
        <xdr:to>
          <xdr:col>12</xdr:col>
          <xdr:colOff>342900</xdr:colOff>
          <xdr:row>5</xdr:row>
          <xdr:rowOff>190500</xdr:rowOff>
        </xdr:to>
        <xdr:sp macro="" textlink="">
          <xdr:nvSpPr>
            <xdr:cNvPr id="1882" name="Button 858" hidden="1">
              <a:extLst>
                <a:ext uri="{63B3BB69-23CF-44E3-9099-C40C66FF867C}">
                  <a14:compatExt spid="_x0000_s1882"/>
                </a:ext>
                <a:ext uri="{FF2B5EF4-FFF2-40B4-BE49-F238E27FC236}">
                  <a16:creationId xmlns:a16="http://schemas.microsoft.com/office/drawing/2014/main" id="{00000000-0008-0000-0100-00005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12700</xdr:rowOff>
        </xdr:from>
        <xdr:to>
          <xdr:col>14</xdr:col>
          <xdr:colOff>330200</xdr:colOff>
          <xdr:row>5</xdr:row>
          <xdr:rowOff>190500</xdr:rowOff>
        </xdr:to>
        <xdr:sp macro="" textlink="">
          <xdr:nvSpPr>
            <xdr:cNvPr id="1883" name="Button 859" hidden="1">
              <a:extLst>
                <a:ext uri="{63B3BB69-23CF-44E3-9099-C40C66FF867C}">
                  <a14:compatExt spid="_x0000_s1883"/>
                </a:ext>
                <a:ext uri="{FF2B5EF4-FFF2-40B4-BE49-F238E27FC236}">
                  <a16:creationId xmlns:a16="http://schemas.microsoft.com/office/drawing/2014/main" id="{00000000-0008-0000-0100-00005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12700</xdr:rowOff>
        </xdr:from>
        <xdr:to>
          <xdr:col>12</xdr:col>
          <xdr:colOff>342900</xdr:colOff>
          <xdr:row>6</xdr:row>
          <xdr:rowOff>190500</xdr:rowOff>
        </xdr:to>
        <xdr:sp macro="" textlink="">
          <xdr:nvSpPr>
            <xdr:cNvPr id="1884" name="Button 860" hidden="1">
              <a:extLst>
                <a:ext uri="{63B3BB69-23CF-44E3-9099-C40C66FF867C}">
                  <a14:compatExt spid="_x0000_s1884"/>
                </a:ext>
                <a:ext uri="{FF2B5EF4-FFF2-40B4-BE49-F238E27FC236}">
                  <a16:creationId xmlns:a16="http://schemas.microsoft.com/office/drawing/2014/main" id="{00000000-0008-0000-0100-00005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12700</xdr:rowOff>
        </xdr:from>
        <xdr:to>
          <xdr:col>14</xdr:col>
          <xdr:colOff>330200</xdr:colOff>
          <xdr:row>6</xdr:row>
          <xdr:rowOff>190500</xdr:rowOff>
        </xdr:to>
        <xdr:sp macro="" textlink="">
          <xdr:nvSpPr>
            <xdr:cNvPr id="1885" name="Button 861" hidden="1">
              <a:extLst>
                <a:ext uri="{63B3BB69-23CF-44E3-9099-C40C66FF867C}">
                  <a14:compatExt spid="_x0000_s1885"/>
                </a:ext>
                <a:ext uri="{FF2B5EF4-FFF2-40B4-BE49-F238E27FC236}">
                  <a16:creationId xmlns:a16="http://schemas.microsoft.com/office/drawing/2014/main" id="{00000000-0008-0000-0100-00005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12700</xdr:rowOff>
        </xdr:from>
        <xdr:to>
          <xdr:col>12</xdr:col>
          <xdr:colOff>342900</xdr:colOff>
          <xdr:row>7</xdr:row>
          <xdr:rowOff>190500</xdr:rowOff>
        </xdr:to>
        <xdr:sp macro="" textlink="">
          <xdr:nvSpPr>
            <xdr:cNvPr id="1886" name="Button 862" hidden="1">
              <a:extLst>
                <a:ext uri="{63B3BB69-23CF-44E3-9099-C40C66FF867C}">
                  <a14:compatExt spid="_x0000_s1886"/>
                </a:ext>
                <a:ext uri="{FF2B5EF4-FFF2-40B4-BE49-F238E27FC236}">
                  <a16:creationId xmlns:a16="http://schemas.microsoft.com/office/drawing/2014/main" id="{00000000-0008-0000-0100-00005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12700</xdr:rowOff>
        </xdr:from>
        <xdr:to>
          <xdr:col>14</xdr:col>
          <xdr:colOff>330200</xdr:colOff>
          <xdr:row>7</xdr:row>
          <xdr:rowOff>190500</xdr:rowOff>
        </xdr:to>
        <xdr:sp macro="" textlink="">
          <xdr:nvSpPr>
            <xdr:cNvPr id="1887" name="Button 863" hidden="1">
              <a:extLst>
                <a:ext uri="{63B3BB69-23CF-44E3-9099-C40C66FF867C}">
                  <a14:compatExt spid="_x0000_s1887"/>
                </a:ext>
                <a:ext uri="{FF2B5EF4-FFF2-40B4-BE49-F238E27FC236}">
                  <a16:creationId xmlns:a16="http://schemas.microsoft.com/office/drawing/2014/main" id="{00000000-0008-0000-0100-00005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12700</xdr:rowOff>
        </xdr:from>
        <xdr:to>
          <xdr:col>12</xdr:col>
          <xdr:colOff>342900</xdr:colOff>
          <xdr:row>8</xdr:row>
          <xdr:rowOff>190500</xdr:rowOff>
        </xdr:to>
        <xdr:sp macro="" textlink="">
          <xdr:nvSpPr>
            <xdr:cNvPr id="1888" name="Button 864" hidden="1">
              <a:extLst>
                <a:ext uri="{63B3BB69-23CF-44E3-9099-C40C66FF867C}">
                  <a14:compatExt spid="_x0000_s1888"/>
                </a:ext>
                <a:ext uri="{FF2B5EF4-FFF2-40B4-BE49-F238E27FC236}">
                  <a16:creationId xmlns:a16="http://schemas.microsoft.com/office/drawing/2014/main" id="{00000000-0008-0000-0100-00006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12700</xdr:rowOff>
        </xdr:from>
        <xdr:to>
          <xdr:col>14</xdr:col>
          <xdr:colOff>330200</xdr:colOff>
          <xdr:row>8</xdr:row>
          <xdr:rowOff>190500</xdr:rowOff>
        </xdr:to>
        <xdr:sp macro="" textlink="">
          <xdr:nvSpPr>
            <xdr:cNvPr id="1889" name="Button 865" hidden="1">
              <a:extLst>
                <a:ext uri="{63B3BB69-23CF-44E3-9099-C40C66FF867C}">
                  <a14:compatExt spid="_x0000_s1889"/>
                </a:ext>
                <a:ext uri="{FF2B5EF4-FFF2-40B4-BE49-F238E27FC236}">
                  <a16:creationId xmlns:a16="http://schemas.microsoft.com/office/drawing/2014/main" id="{00000000-0008-0000-0100-00006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12700</xdr:rowOff>
        </xdr:from>
        <xdr:to>
          <xdr:col>12</xdr:col>
          <xdr:colOff>342900</xdr:colOff>
          <xdr:row>9</xdr:row>
          <xdr:rowOff>190500</xdr:rowOff>
        </xdr:to>
        <xdr:sp macro="" textlink="">
          <xdr:nvSpPr>
            <xdr:cNvPr id="1890" name="Button 866" hidden="1">
              <a:extLst>
                <a:ext uri="{63B3BB69-23CF-44E3-9099-C40C66FF867C}">
                  <a14:compatExt spid="_x0000_s1890"/>
                </a:ext>
                <a:ext uri="{FF2B5EF4-FFF2-40B4-BE49-F238E27FC236}">
                  <a16:creationId xmlns:a16="http://schemas.microsoft.com/office/drawing/2014/main" id="{00000000-0008-0000-0100-00006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12700</xdr:rowOff>
        </xdr:from>
        <xdr:to>
          <xdr:col>14</xdr:col>
          <xdr:colOff>330200</xdr:colOff>
          <xdr:row>9</xdr:row>
          <xdr:rowOff>190500</xdr:rowOff>
        </xdr:to>
        <xdr:sp macro="" textlink="">
          <xdr:nvSpPr>
            <xdr:cNvPr id="1891" name="Button 867" hidden="1">
              <a:extLst>
                <a:ext uri="{63B3BB69-23CF-44E3-9099-C40C66FF867C}">
                  <a14:compatExt spid="_x0000_s1891"/>
                </a:ext>
                <a:ext uri="{FF2B5EF4-FFF2-40B4-BE49-F238E27FC236}">
                  <a16:creationId xmlns:a16="http://schemas.microsoft.com/office/drawing/2014/main" id="{00000000-0008-0000-0100-00006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12700</xdr:rowOff>
        </xdr:from>
        <xdr:to>
          <xdr:col>12</xdr:col>
          <xdr:colOff>342900</xdr:colOff>
          <xdr:row>10</xdr:row>
          <xdr:rowOff>190500</xdr:rowOff>
        </xdr:to>
        <xdr:sp macro="" textlink="">
          <xdr:nvSpPr>
            <xdr:cNvPr id="1892" name="Button 868" hidden="1">
              <a:extLst>
                <a:ext uri="{63B3BB69-23CF-44E3-9099-C40C66FF867C}">
                  <a14:compatExt spid="_x0000_s1892"/>
                </a:ext>
                <a:ext uri="{FF2B5EF4-FFF2-40B4-BE49-F238E27FC236}">
                  <a16:creationId xmlns:a16="http://schemas.microsoft.com/office/drawing/2014/main" id="{00000000-0008-0000-0100-00006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12700</xdr:rowOff>
        </xdr:from>
        <xdr:to>
          <xdr:col>14</xdr:col>
          <xdr:colOff>330200</xdr:colOff>
          <xdr:row>10</xdr:row>
          <xdr:rowOff>190500</xdr:rowOff>
        </xdr:to>
        <xdr:sp macro="" textlink="">
          <xdr:nvSpPr>
            <xdr:cNvPr id="1893" name="Button 869" hidden="1">
              <a:extLst>
                <a:ext uri="{63B3BB69-23CF-44E3-9099-C40C66FF867C}">
                  <a14:compatExt spid="_x0000_s1893"/>
                </a:ext>
                <a:ext uri="{FF2B5EF4-FFF2-40B4-BE49-F238E27FC236}">
                  <a16:creationId xmlns:a16="http://schemas.microsoft.com/office/drawing/2014/main" id="{00000000-0008-0000-0100-00006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12700</xdr:rowOff>
        </xdr:from>
        <xdr:to>
          <xdr:col>12</xdr:col>
          <xdr:colOff>342900</xdr:colOff>
          <xdr:row>11</xdr:row>
          <xdr:rowOff>190500</xdr:rowOff>
        </xdr:to>
        <xdr:sp macro="" textlink="">
          <xdr:nvSpPr>
            <xdr:cNvPr id="1894" name="Button 870" hidden="1">
              <a:extLst>
                <a:ext uri="{63B3BB69-23CF-44E3-9099-C40C66FF867C}">
                  <a14:compatExt spid="_x0000_s1894"/>
                </a:ext>
                <a:ext uri="{FF2B5EF4-FFF2-40B4-BE49-F238E27FC236}">
                  <a16:creationId xmlns:a16="http://schemas.microsoft.com/office/drawing/2014/main" id="{00000000-0008-0000-0100-00006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12700</xdr:rowOff>
        </xdr:from>
        <xdr:to>
          <xdr:col>14</xdr:col>
          <xdr:colOff>330200</xdr:colOff>
          <xdr:row>11</xdr:row>
          <xdr:rowOff>190500</xdr:rowOff>
        </xdr:to>
        <xdr:sp macro="" textlink="">
          <xdr:nvSpPr>
            <xdr:cNvPr id="1895" name="Button 871" hidden="1">
              <a:extLst>
                <a:ext uri="{63B3BB69-23CF-44E3-9099-C40C66FF867C}">
                  <a14:compatExt spid="_x0000_s1895"/>
                </a:ext>
                <a:ext uri="{FF2B5EF4-FFF2-40B4-BE49-F238E27FC236}">
                  <a16:creationId xmlns:a16="http://schemas.microsoft.com/office/drawing/2014/main" id="{00000000-0008-0000-0100-00006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12700</xdr:rowOff>
        </xdr:from>
        <xdr:to>
          <xdr:col>12</xdr:col>
          <xdr:colOff>342900</xdr:colOff>
          <xdr:row>12</xdr:row>
          <xdr:rowOff>190500</xdr:rowOff>
        </xdr:to>
        <xdr:sp macro="" textlink="">
          <xdr:nvSpPr>
            <xdr:cNvPr id="1896" name="Button 872" hidden="1">
              <a:extLst>
                <a:ext uri="{63B3BB69-23CF-44E3-9099-C40C66FF867C}">
                  <a14:compatExt spid="_x0000_s1896"/>
                </a:ext>
                <a:ext uri="{FF2B5EF4-FFF2-40B4-BE49-F238E27FC236}">
                  <a16:creationId xmlns:a16="http://schemas.microsoft.com/office/drawing/2014/main" id="{00000000-0008-0000-0100-00006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12700</xdr:rowOff>
        </xdr:from>
        <xdr:to>
          <xdr:col>14</xdr:col>
          <xdr:colOff>330200</xdr:colOff>
          <xdr:row>12</xdr:row>
          <xdr:rowOff>190500</xdr:rowOff>
        </xdr:to>
        <xdr:sp macro="" textlink="">
          <xdr:nvSpPr>
            <xdr:cNvPr id="1897" name="Button 873" hidden="1">
              <a:extLst>
                <a:ext uri="{63B3BB69-23CF-44E3-9099-C40C66FF867C}">
                  <a14:compatExt spid="_x0000_s1897"/>
                </a:ext>
                <a:ext uri="{FF2B5EF4-FFF2-40B4-BE49-F238E27FC236}">
                  <a16:creationId xmlns:a16="http://schemas.microsoft.com/office/drawing/2014/main" id="{00000000-0008-0000-0100-00006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12700</xdr:rowOff>
        </xdr:from>
        <xdr:to>
          <xdr:col>12</xdr:col>
          <xdr:colOff>342900</xdr:colOff>
          <xdr:row>13</xdr:row>
          <xdr:rowOff>190500</xdr:rowOff>
        </xdr:to>
        <xdr:sp macro="" textlink="">
          <xdr:nvSpPr>
            <xdr:cNvPr id="1898" name="Button 874" hidden="1">
              <a:extLst>
                <a:ext uri="{63B3BB69-23CF-44E3-9099-C40C66FF867C}">
                  <a14:compatExt spid="_x0000_s1898"/>
                </a:ext>
                <a:ext uri="{FF2B5EF4-FFF2-40B4-BE49-F238E27FC236}">
                  <a16:creationId xmlns:a16="http://schemas.microsoft.com/office/drawing/2014/main" id="{00000000-0008-0000-0100-00006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12700</xdr:rowOff>
        </xdr:from>
        <xdr:to>
          <xdr:col>14</xdr:col>
          <xdr:colOff>330200</xdr:colOff>
          <xdr:row>13</xdr:row>
          <xdr:rowOff>190500</xdr:rowOff>
        </xdr:to>
        <xdr:sp macro="" textlink="">
          <xdr:nvSpPr>
            <xdr:cNvPr id="1899" name="Button 875" hidden="1">
              <a:extLst>
                <a:ext uri="{63B3BB69-23CF-44E3-9099-C40C66FF867C}">
                  <a14:compatExt spid="_x0000_s1899"/>
                </a:ext>
                <a:ext uri="{FF2B5EF4-FFF2-40B4-BE49-F238E27FC236}">
                  <a16:creationId xmlns:a16="http://schemas.microsoft.com/office/drawing/2014/main" id="{00000000-0008-0000-0100-00006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12700</xdr:rowOff>
        </xdr:from>
        <xdr:to>
          <xdr:col>12</xdr:col>
          <xdr:colOff>342900</xdr:colOff>
          <xdr:row>14</xdr:row>
          <xdr:rowOff>190500</xdr:rowOff>
        </xdr:to>
        <xdr:sp macro="" textlink="">
          <xdr:nvSpPr>
            <xdr:cNvPr id="1900" name="Button 876" hidden="1">
              <a:extLst>
                <a:ext uri="{63B3BB69-23CF-44E3-9099-C40C66FF867C}">
                  <a14:compatExt spid="_x0000_s1900"/>
                </a:ext>
                <a:ext uri="{FF2B5EF4-FFF2-40B4-BE49-F238E27FC236}">
                  <a16:creationId xmlns:a16="http://schemas.microsoft.com/office/drawing/2014/main" id="{00000000-0008-0000-0100-00006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12700</xdr:rowOff>
        </xdr:from>
        <xdr:to>
          <xdr:col>14</xdr:col>
          <xdr:colOff>330200</xdr:colOff>
          <xdr:row>14</xdr:row>
          <xdr:rowOff>190500</xdr:rowOff>
        </xdr:to>
        <xdr:sp macro="" textlink="">
          <xdr:nvSpPr>
            <xdr:cNvPr id="1901" name="Button 877" hidden="1">
              <a:extLst>
                <a:ext uri="{63B3BB69-23CF-44E3-9099-C40C66FF867C}">
                  <a14:compatExt spid="_x0000_s1901"/>
                </a:ext>
                <a:ext uri="{FF2B5EF4-FFF2-40B4-BE49-F238E27FC236}">
                  <a16:creationId xmlns:a16="http://schemas.microsoft.com/office/drawing/2014/main" id="{00000000-0008-0000-0100-00006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12700</xdr:rowOff>
        </xdr:from>
        <xdr:to>
          <xdr:col>12</xdr:col>
          <xdr:colOff>342900</xdr:colOff>
          <xdr:row>22</xdr:row>
          <xdr:rowOff>190500</xdr:rowOff>
        </xdr:to>
        <xdr:sp macro="" textlink="">
          <xdr:nvSpPr>
            <xdr:cNvPr id="1902" name="Button 878" hidden="1">
              <a:extLst>
                <a:ext uri="{63B3BB69-23CF-44E3-9099-C40C66FF867C}">
                  <a14:compatExt spid="_x0000_s1902"/>
                </a:ext>
                <a:ext uri="{FF2B5EF4-FFF2-40B4-BE49-F238E27FC236}">
                  <a16:creationId xmlns:a16="http://schemas.microsoft.com/office/drawing/2014/main" id="{00000000-0008-0000-0100-00006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12700</xdr:rowOff>
        </xdr:from>
        <xdr:to>
          <xdr:col>14</xdr:col>
          <xdr:colOff>330200</xdr:colOff>
          <xdr:row>22</xdr:row>
          <xdr:rowOff>190500</xdr:rowOff>
        </xdr:to>
        <xdr:sp macro="" textlink="">
          <xdr:nvSpPr>
            <xdr:cNvPr id="1903" name="Button 879" hidden="1">
              <a:extLst>
                <a:ext uri="{63B3BB69-23CF-44E3-9099-C40C66FF867C}">
                  <a14:compatExt spid="_x0000_s1903"/>
                </a:ext>
                <a:ext uri="{FF2B5EF4-FFF2-40B4-BE49-F238E27FC236}">
                  <a16:creationId xmlns:a16="http://schemas.microsoft.com/office/drawing/2014/main" id="{00000000-0008-0000-0100-00006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12700</xdr:rowOff>
        </xdr:from>
        <xdr:to>
          <xdr:col>12</xdr:col>
          <xdr:colOff>342900</xdr:colOff>
          <xdr:row>23</xdr:row>
          <xdr:rowOff>190500</xdr:rowOff>
        </xdr:to>
        <xdr:sp macro="" textlink="">
          <xdr:nvSpPr>
            <xdr:cNvPr id="1904" name="Button 880" hidden="1">
              <a:extLst>
                <a:ext uri="{63B3BB69-23CF-44E3-9099-C40C66FF867C}">
                  <a14:compatExt spid="_x0000_s1904"/>
                </a:ext>
                <a:ext uri="{FF2B5EF4-FFF2-40B4-BE49-F238E27FC236}">
                  <a16:creationId xmlns:a16="http://schemas.microsoft.com/office/drawing/2014/main" id="{00000000-0008-0000-0100-00007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12700</xdr:rowOff>
        </xdr:from>
        <xdr:to>
          <xdr:col>14</xdr:col>
          <xdr:colOff>330200</xdr:colOff>
          <xdr:row>23</xdr:row>
          <xdr:rowOff>190500</xdr:rowOff>
        </xdr:to>
        <xdr:sp macro="" textlink="">
          <xdr:nvSpPr>
            <xdr:cNvPr id="1905" name="Button 881" hidden="1">
              <a:extLst>
                <a:ext uri="{63B3BB69-23CF-44E3-9099-C40C66FF867C}">
                  <a14:compatExt spid="_x0000_s1905"/>
                </a:ext>
                <a:ext uri="{FF2B5EF4-FFF2-40B4-BE49-F238E27FC236}">
                  <a16:creationId xmlns:a16="http://schemas.microsoft.com/office/drawing/2014/main" id="{00000000-0008-0000-0100-00007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12700</xdr:rowOff>
        </xdr:from>
        <xdr:to>
          <xdr:col>12</xdr:col>
          <xdr:colOff>342900</xdr:colOff>
          <xdr:row>24</xdr:row>
          <xdr:rowOff>190500</xdr:rowOff>
        </xdr:to>
        <xdr:sp macro="" textlink="">
          <xdr:nvSpPr>
            <xdr:cNvPr id="1906" name="Button 882" hidden="1">
              <a:extLst>
                <a:ext uri="{63B3BB69-23CF-44E3-9099-C40C66FF867C}">
                  <a14:compatExt spid="_x0000_s1906"/>
                </a:ext>
                <a:ext uri="{FF2B5EF4-FFF2-40B4-BE49-F238E27FC236}">
                  <a16:creationId xmlns:a16="http://schemas.microsoft.com/office/drawing/2014/main" id="{00000000-0008-0000-0100-00007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12700</xdr:rowOff>
        </xdr:from>
        <xdr:to>
          <xdr:col>14</xdr:col>
          <xdr:colOff>330200</xdr:colOff>
          <xdr:row>24</xdr:row>
          <xdr:rowOff>190500</xdr:rowOff>
        </xdr:to>
        <xdr:sp macro="" textlink="">
          <xdr:nvSpPr>
            <xdr:cNvPr id="1907" name="Button 883" hidden="1">
              <a:extLst>
                <a:ext uri="{63B3BB69-23CF-44E3-9099-C40C66FF867C}">
                  <a14:compatExt spid="_x0000_s1907"/>
                </a:ext>
                <a:ext uri="{FF2B5EF4-FFF2-40B4-BE49-F238E27FC236}">
                  <a16:creationId xmlns:a16="http://schemas.microsoft.com/office/drawing/2014/main" id="{00000000-0008-0000-0100-00007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12700</xdr:rowOff>
        </xdr:from>
        <xdr:to>
          <xdr:col>12</xdr:col>
          <xdr:colOff>342900</xdr:colOff>
          <xdr:row>25</xdr:row>
          <xdr:rowOff>190500</xdr:rowOff>
        </xdr:to>
        <xdr:sp macro="" textlink="">
          <xdr:nvSpPr>
            <xdr:cNvPr id="1908" name="Button 884" hidden="1">
              <a:extLst>
                <a:ext uri="{63B3BB69-23CF-44E3-9099-C40C66FF867C}">
                  <a14:compatExt spid="_x0000_s1908"/>
                </a:ext>
                <a:ext uri="{FF2B5EF4-FFF2-40B4-BE49-F238E27FC236}">
                  <a16:creationId xmlns:a16="http://schemas.microsoft.com/office/drawing/2014/main" id="{00000000-0008-0000-0100-00007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12700</xdr:rowOff>
        </xdr:from>
        <xdr:to>
          <xdr:col>14</xdr:col>
          <xdr:colOff>330200</xdr:colOff>
          <xdr:row>25</xdr:row>
          <xdr:rowOff>190500</xdr:rowOff>
        </xdr:to>
        <xdr:sp macro="" textlink="">
          <xdr:nvSpPr>
            <xdr:cNvPr id="1909" name="Button 885" hidden="1">
              <a:extLst>
                <a:ext uri="{63B3BB69-23CF-44E3-9099-C40C66FF867C}">
                  <a14:compatExt spid="_x0000_s1909"/>
                </a:ext>
                <a:ext uri="{FF2B5EF4-FFF2-40B4-BE49-F238E27FC236}">
                  <a16:creationId xmlns:a16="http://schemas.microsoft.com/office/drawing/2014/main" id="{00000000-0008-0000-0100-00007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12700</xdr:rowOff>
        </xdr:from>
        <xdr:to>
          <xdr:col>12</xdr:col>
          <xdr:colOff>342900</xdr:colOff>
          <xdr:row>26</xdr:row>
          <xdr:rowOff>190500</xdr:rowOff>
        </xdr:to>
        <xdr:sp macro="" textlink="">
          <xdr:nvSpPr>
            <xdr:cNvPr id="1910" name="Button 886" hidden="1">
              <a:extLst>
                <a:ext uri="{63B3BB69-23CF-44E3-9099-C40C66FF867C}">
                  <a14:compatExt spid="_x0000_s1910"/>
                </a:ext>
                <a:ext uri="{FF2B5EF4-FFF2-40B4-BE49-F238E27FC236}">
                  <a16:creationId xmlns:a16="http://schemas.microsoft.com/office/drawing/2014/main" id="{00000000-0008-0000-0100-00007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12700</xdr:rowOff>
        </xdr:from>
        <xdr:to>
          <xdr:col>14</xdr:col>
          <xdr:colOff>330200</xdr:colOff>
          <xdr:row>26</xdr:row>
          <xdr:rowOff>190500</xdr:rowOff>
        </xdr:to>
        <xdr:sp macro="" textlink="">
          <xdr:nvSpPr>
            <xdr:cNvPr id="1911" name="Button 887" hidden="1">
              <a:extLst>
                <a:ext uri="{63B3BB69-23CF-44E3-9099-C40C66FF867C}">
                  <a14:compatExt spid="_x0000_s1911"/>
                </a:ext>
                <a:ext uri="{FF2B5EF4-FFF2-40B4-BE49-F238E27FC236}">
                  <a16:creationId xmlns:a16="http://schemas.microsoft.com/office/drawing/2014/main" id="{00000000-0008-0000-0100-00007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12700</xdr:rowOff>
        </xdr:from>
        <xdr:to>
          <xdr:col>12</xdr:col>
          <xdr:colOff>342900</xdr:colOff>
          <xdr:row>27</xdr:row>
          <xdr:rowOff>190500</xdr:rowOff>
        </xdr:to>
        <xdr:sp macro="" textlink="">
          <xdr:nvSpPr>
            <xdr:cNvPr id="1912" name="Button 888" hidden="1">
              <a:extLst>
                <a:ext uri="{63B3BB69-23CF-44E3-9099-C40C66FF867C}">
                  <a14:compatExt spid="_x0000_s1912"/>
                </a:ext>
                <a:ext uri="{FF2B5EF4-FFF2-40B4-BE49-F238E27FC236}">
                  <a16:creationId xmlns:a16="http://schemas.microsoft.com/office/drawing/2014/main" id="{00000000-0008-0000-0100-00007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12700</xdr:rowOff>
        </xdr:from>
        <xdr:to>
          <xdr:col>14</xdr:col>
          <xdr:colOff>330200</xdr:colOff>
          <xdr:row>27</xdr:row>
          <xdr:rowOff>190500</xdr:rowOff>
        </xdr:to>
        <xdr:sp macro="" textlink="">
          <xdr:nvSpPr>
            <xdr:cNvPr id="1913" name="Button 889" hidden="1">
              <a:extLst>
                <a:ext uri="{63B3BB69-23CF-44E3-9099-C40C66FF867C}">
                  <a14:compatExt spid="_x0000_s1913"/>
                </a:ext>
                <a:ext uri="{FF2B5EF4-FFF2-40B4-BE49-F238E27FC236}">
                  <a16:creationId xmlns:a16="http://schemas.microsoft.com/office/drawing/2014/main" id="{00000000-0008-0000-0100-00007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12700</xdr:rowOff>
        </xdr:from>
        <xdr:to>
          <xdr:col>12</xdr:col>
          <xdr:colOff>342900</xdr:colOff>
          <xdr:row>28</xdr:row>
          <xdr:rowOff>190500</xdr:rowOff>
        </xdr:to>
        <xdr:sp macro="" textlink="">
          <xdr:nvSpPr>
            <xdr:cNvPr id="1914" name="Button 890" hidden="1">
              <a:extLst>
                <a:ext uri="{63B3BB69-23CF-44E3-9099-C40C66FF867C}">
                  <a14:compatExt spid="_x0000_s1914"/>
                </a:ext>
                <a:ext uri="{FF2B5EF4-FFF2-40B4-BE49-F238E27FC236}">
                  <a16:creationId xmlns:a16="http://schemas.microsoft.com/office/drawing/2014/main" id="{00000000-0008-0000-0100-00007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12700</xdr:rowOff>
        </xdr:from>
        <xdr:to>
          <xdr:col>14</xdr:col>
          <xdr:colOff>330200</xdr:colOff>
          <xdr:row>28</xdr:row>
          <xdr:rowOff>190500</xdr:rowOff>
        </xdr:to>
        <xdr:sp macro="" textlink="">
          <xdr:nvSpPr>
            <xdr:cNvPr id="1915" name="Button 891" hidden="1">
              <a:extLst>
                <a:ext uri="{63B3BB69-23CF-44E3-9099-C40C66FF867C}">
                  <a14:compatExt spid="_x0000_s1915"/>
                </a:ex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12700</xdr:rowOff>
        </xdr:from>
        <xdr:to>
          <xdr:col>12</xdr:col>
          <xdr:colOff>342900</xdr:colOff>
          <xdr:row>29</xdr:row>
          <xdr:rowOff>190500</xdr:rowOff>
        </xdr:to>
        <xdr:sp macro="" textlink="">
          <xdr:nvSpPr>
            <xdr:cNvPr id="1916" name="Button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12700</xdr:rowOff>
        </xdr:from>
        <xdr:to>
          <xdr:col>14</xdr:col>
          <xdr:colOff>330200</xdr:colOff>
          <xdr:row>29</xdr:row>
          <xdr:rowOff>190500</xdr:rowOff>
        </xdr:to>
        <xdr:sp macro="" textlink="">
          <xdr:nvSpPr>
            <xdr:cNvPr id="1917" name="Button 893" hidden="1">
              <a:extLst>
                <a:ext uri="{63B3BB69-23CF-44E3-9099-C40C66FF867C}">
                  <a14:compatExt spid="_x0000_s1917"/>
                </a:ext>
                <a:ext uri="{FF2B5EF4-FFF2-40B4-BE49-F238E27FC236}">
                  <a16:creationId xmlns:a16="http://schemas.microsoft.com/office/drawing/2014/main" id="{00000000-0008-0000-0100-00007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12700</xdr:rowOff>
        </xdr:from>
        <xdr:to>
          <xdr:col>12</xdr:col>
          <xdr:colOff>342900</xdr:colOff>
          <xdr:row>30</xdr:row>
          <xdr:rowOff>190500</xdr:rowOff>
        </xdr:to>
        <xdr:sp macro="" textlink="">
          <xdr:nvSpPr>
            <xdr:cNvPr id="1918" name="Button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12700</xdr:rowOff>
        </xdr:from>
        <xdr:to>
          <xdr:col>14</xdr:col>
          <xdr:colOff>330200</xdr:colOff>
          <xdr:row>30</xdr:row>
          <xdr:rowOff>190500</xdr:rowOff>
        </xdr:to>
        <xdr:sp macro="" textlink="">
          <xdr:nvSpPr>
            <xdr:cNvPr id="1919" name="Button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1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12700</xdr:rowOff>
        </xdr:from>
        <xdr:to>
          <xdr:col>12</xdr:col>
          <xdr:colOff>342900</xdr:colOff>
          <xdr:row>31</xdr:row>
          <xdr:rowOff>190500</xdr:rowOff>
        </xdr:to>
        <xdr:sp macro="" textlink="">
          <xdr:nvSpPr>
            <xdr:cNvPr id="1920" name="Button 896" hidden="1">
              <a:extLst>
                <a:ext uri="{63B3BB69-23CF-44E3-9099-C40C66FF867C}">
                  <a14:compatExt spid="_x0000_s1920"/>
                </a:ext>
                <a:ext uri="{FF2B5EF4-FFF2-40B4-BE49-F238E27FC236}">
                  <a16:creationId xmlns:a16="http://schemas.microsoft.com/office/drawing/2014/main" id="{00000000-0008-0000-0100-00008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12700</xdr:rowOff>
        </xdr:from>
        <xdr:to>
          <xdr:col>14</xdr:col>
          <xdr:colOff>330200</xdr:colOff>
          <xdr:row>31</xdr:row>
          <xdr:rowOff>190500</xdr:rowOff>
        </xdr:to>
        <xdr:sp macro="" textlink="">
          <xdr:nvSpPr>
            <xdr:cNvPr id="1921" name="Button 897" hidden="1">
              <a:extLst>
                <a:ext uri="{63B3BB69-23CF-44E3-9099-C40C66FF867C}">
                  <a14:compatExt spid="_x0000_s1921"/>
                </a:ext>
                <a:ext uri="{FF2B5EF4-FFF2-40B4-BE49-F238E27FC236}">
                  <a16:creationId xmlns:a16="http://schemas.microsoft.com/office/drawing/2014/main" id="{00000000-0008-0000-0100-00008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12700</xdr:rowOff>
        </xdr:from>
        <xdr:to>
          <xdr:col>12</xdr:col>
          <xdr:colOff>342900</xdr:colOff>
          <xdr:row>32</xdr:row>
          <xdr:rowOff>190500</xdr:rowOff>
        </xdr:to>
        <xdr:sp macro="" textlink="">
          <xdr:nvSpPr>
            <xdr:cNvPr id="1922" name="Button 898" hidden="1">
              <a:extLst>
                <a:ext uri="{63B3BB69-23CF-44E3-9099-C40C66FF867C}">
                  <a14:compatExt spid="_x0000_s1922"/>
                </a:ex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12700</xdr:rowOff>
        </xdr:from>
        <xdr:to>
          <xdr:col>14</xdr:col>
          <xdr:colOff>330200</xdr:colOff>
          <xdr:row>32</xdr:row>
          <xdr:rowOff>190500</xdr:rowOff>
        </xdr:to>
        <xdr:sp macro="" textlink="">
          <xdr:nvSpPr>
            <xdr:cNvPr id="1923" name="Button 899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12700</xdr:rowOff>
        </xdr:from>
        <xdr:to>
          <xdr:col>12</xdr:col>
          <xdr:colOff>342900</xdr:colOff>
          <xdr:row>33</xdr:row>
          <xdr:rowOff>190500</xdr:rowOff>
        </xdr:to>
        <xdr:sp macro="" textlink="">
          <xdr:nvSpPr>
            <xdr:cNvPr id="1924" name="Button 900" hidden="1">
              <a:extLst>
                <a:ext uri="{63B3BB69-23CF-44E3-9099-C40C66FF867C}">
                  <a14:compatExt spid="_x0000_s1924"/>
                </a:ext>
                <a:ext uri="{FF2B5EF4-FFF2-40B4-BE49-F238E27FC236}">
                  <a16:creationId xmlns:a16="http://schemas.microsoft.com/office/drawing/2014/main" id="{00000000-0008-0000-0100-00008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12700</xdr:rowOff>
        </xdr:from>
        <xdr:to>
          <xdr:col>14</xdr:col>
          <xdr:colOff>330200</xdr:colOff>
          <xdr:row>33</xdr:row>
          <xdr:rowOff>190500</xdr:rowOff>
        </xdr:to>
        <xdr:sp macro="" textlink="">
          <xdr:nvSpPr>
            <xdr:cNvPr id="1925" name="Button 901" hidden="1">
              <a:extLst>
                <a:ext uri="{63B3BB69-23CF-44E3-9099-C40C66FF867C}">
                  <a14:compatExt spid="_x0000_s1925"/>
                </a:ext>
                <a:ext uri="{FF2B5EF4-FFF2-40B4-BE49-F238E27FC236}">
                  <a16:creationId xmlns:a16="http://schemas.microsoft.com/office/drawing/2014/main" id="{00000000-0008-0000-0100-00008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12700</xdr:rowOff>
        </xdr:from>
        <xdr:to>
          <xdr:col>12</xdr:col>
          <xdr:colOff>342900</xdr:colOff>
          <xdr:row>34</xdr:row>
          <xdr:rowOff>190500</xdr:rowOff>
        </xdr:to>
        <xdr:sp macro="" textlink="">
          <xdr:nvSpPr>
            <xdr:cNvPr id="1926" name="Button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1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12700</xdr:rowOff>
        </xdr:from>
        <xdr:to>
          <xdr:col>14</xdr:col>
          <xdr:colOff>330200</xdr:colOff>
          <xdr:row>34</xdr:row>
          <xdr:rowOff>190500</xdr:rowOff>
        </xdr:to>
        <xdr:sp macro="" textlink="">
          <xdr:nvSpPr>
            <xdr:cNvPr id="1927" name="Button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1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12700</xdr:rowOff>
        </xdr:from>
        <xdr:to>
          <xdr:col>12</xdr:col>
          <xdr:colOff>342900</xdr:colOff>
          <xdr:row>35</xdr:row>
          <xdr:rowOff>190500</xdr:rowOff>
        </xdr:to>
        <xdr:sp macro="" textlink="">
          <xdr:nvSpPr>
            <xdr:cNvPr id="1928" name="Button 904" hidden="1">
              <a:extLst>
                <a:ext uri="{63B3BB69-23CF-44E3-9099-C40C66FF867C}">
                  <a14:compatExt spid="_x0000_s1928"/>
                </a:ex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12700</xdr:rowOff>
        </xdr:from>
        <xdr:to>
          <xdr:col>14</xdr:col>
          <xdr:colOff>330200</xdr:colOff>
          <xdr:row>35</xdr:row>
          <xdr:rowOff>190500</xdr:rowOff>
        </xdr:to>
        <xdr:sp macro="" textlink="">
          <xdr:nvSpPr>
            <xdr:cNvPr id="1929" name="Button 905" hidden="1">
              <a:extLst>
                <a:ext uri="{63B3BB69-23CF-44E3-9099-C40C66FF867C}">
                  <a14:compatExt spid="_x0000_s1929"/>
                </a:ex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12700</xdr:rowOff>
        </xdr:from>
        <xdr:to>
          <xdr:col>12</xdr:col>
          <xdr:colOff>342900</xdr:colOff>
          <xdr:row>36</xdr:row>
          <xdr:rowOff>190500</xdr:rowOff>
        </xdr:to>
        <xdr:sp macro="" textlink="">
          <xdr:nvSpPr>
            <xdr:cNvPr id="1930" name="Button 906" hidden="1">
              <a:extLst>
                <a:ext uri="{63B3BB69-23CF-44E3-9099-C40C66FF867C}">
                  <a14:compatExt spid="_x0000_s1930"/>
                </a:ext>
                <a:ext uri="{FF2B5EF4-FFF2-40B4-BE49-F238E27FC236}">
                  <a16:creationId xmlns:a16="http://schemas.microsoft.com/office/drawing/2014/main" id="{00000000-0008-0000-0100-00008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12700</xdr:rowOff>
        </xdr:from>
        <xdr:to>
          <xdr:col>14</xdr:col>
          <xdr:colOff>330200</xdr:colOff>
          <xdr:row>36</xdr:row>
          <xdr:rowOff>190500</xdr:rowOff>
        </xdr:to>
        <xdr:sp macro="" textlink="">
          <xdr:nvSpPr>
            <xdr:cNvPr id="1931" name="Button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1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12700</xdr:rowOff>
        </xdr:from>
        <xdr:to>
          <xdr:col>12</xdr:col>
          <xdr:colOff>342900</xdr:colOff>
          <xdr:row>15</xdr:row>
          <xdr:rowOff>190500</xdr:rowOff>
        </xdr:to>
        <xdr:sp macro="" textlink="">
          <xdr:nvSpPr>
            <xdr:cNvPr id="1932" name="Button 908" hidden="1">
              <a:extLst>
                <a:ext uri="{63B3BB69-23CF-44E3-9099-C40C66FF867C}">
                  <a14:compatExt spid="_x0000_s1932"/>
                </a:ext>
                <a:ext uri="{FF2B5EF4-FFF2-40B4-BE49-F238E27FC236}">
                  <a16:creationId xmlns:a16="http://schemas.microsoft.com/office/drawing/2014/main" id="{00000000-0008-0000-0100-00008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12700</xdr:rowOff>
        </xdr:from>
        <xdr:to>
          <xdr:col>14</xdr:col>
          <xdr:colOff>330200</xdr:colOff>
          <xdr:row>15</xdr:row>
          <xdr:rowOff>190500</xdr:rowOff>
        </xdr:to>
        <xdr:sp macro="" textlink="">
          <xdr:nvSpPr>
            <xdr:cNvPr id="1933" name="Button 909" hidden="1">
              <a:extLst>
                <a:ext uri="{63B3BB69-23CF-44E3-9099-C40C66FF867C}">
                  <a14:compatExt spid="_x0000_s1933"/>
                </a:ext>
                <a:ext uri="{FF2B5EF4-FFF2-40B4-BE49-F238E27FC236}">
                  <a16:creationId xmlns:a16="http://schemas.microsoft.com/office/drawing/2014/main" id="{00000000-0008-0000-0100-00008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12700</xdr:rowOff>
        </xdr:from>
        <xdr:to>
          <xdr:col>12</xdr:col>
          <xdr:colOff>342900</xdr:colOff>
          <xdr:row>16</xdr:row>
          <xdr:rowOff>190500</xdr:rowOff>
        </xdr:to>
        <xdr:sp macro="" textlink="">
          <xdr:nvSpPr>
            <xdr:cNvPr id="1934" name="Button 910" hidden="1">
              <a:extLst>
                <a:ext uri="{63B3BB69-23CF-44E3-9099-C40C66FF867C}">
                  <a14:compatExt spid="_x0000_s1934"/>
                </a:ext>
                <a:ext uri="{FF2B5EF4-FFF2-40B4-BE49-F238E27FC236}">
                  <a16:creationId xmlns:a16="http://schemas.microsoft.com/office/drawing/2014/main" id="{00000000-0008-0000-0100-00008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12700</xdr:rowOff>
        </xdr:from>
        <xdr:to>
          <xdr:col>14</xdr:col>
          <xdr:colOff>330200</xdr:colOff>
          <xdr:row>16</xdr:row>
          <xdr:rowOff>190500</xdr:rowOff>
        </xdr:to>
        <xdr:sp macro="" textlink="">
          <xdr:nvSpPr>
            <xdr:cNvPr id="1935" name="Button 911" hidden="1">
              <a:extLst>
                <a:ext uri="{63B3BB69-23CF-44E3-9099-C40C66FF867C}">
                  <a14:compatExt spid="_x0000_s1935"/>
                </a:ext>
                <a:ext uri="{FF2B5EF4-FFF2-40B4-BE49-F238E27FC236}">
                  <a16:creationId xmlns:a16="http://schemas.microsoft.com/office/drawing/2014/main" id="{00000000-0008-0000-0100-00008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12700</xdr:rowOff>
        </xdr:from>
        <xdr:to>
          <xdr:col>12</xdr:col>
          <xdr:colOff>342900</xdr:colOff>
          <xdr:row>17</xdr:row>
          <xdr:rowOff>190500</xdr:rowOff>
        </xdr:to>
        <xdr:sp macro="" textlink="">
          <xdr:nvSpPr>
            <xdr:cNvPr id="1936" name="Button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1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12700</xdr:rowOff>
        </xdr:from>
        <xdr:to>
          <xdr:col>14</xdr:col>
          <xdr:colOff>330200</xdr:colOff>
          <xdr:row>17</xdr:row>
          <xdr:rowOff>190500</xdr:rowOff>
        </xdr:to>
        <xdr:sp macro="" textlink="">
          <xdr:nvSpPr>
            <xdr:cNvPr id="1937" name="Button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1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12700</xdr:rowOff>
        </xdr:from>
        <xdr:to>
          <xdr:col>12</xdr:col>
          <xdr:colOff>342900</xdr:colOff>
          <xdr:row>18</xdr:row>
          <xdr:rowOff>190500</xdr:rowOff>
        </xdr:to>
        <xdr:sp macro="" textlink="">
          <xdr:nvSpPr>
            <xdr:cNvPr id="1938" name="Button 914" hidden="1">
              <a:extLst>
                <a:ext uri="{63B3BB69-23CF-44E3-9099-C40C66FF867C}">
                  <a14:compatExt spid="_x0000_s1938"/>
                </a:ext>
                <a:ext uri="{FF2B5EF4-FFF2-40B4-BE49-F238E27FC236}">
                  <a16:creationId xmlns:a16="http://schemas.microsoft.com/office/drawing/2014/main" id="{00000000-0008-0000-0100-00009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12700</xdr:rowOff>
        </xdr:from>
        <xdr:to>
          <xdr:col>14</xdr:col>
          <xdr:colOff>330200</xdr:colOff>
          <xdr:row>18</xdr:row>
          <xdr:rowOff>190500</xdr:rowOff>
        </xdr:to>
        <xdr:sp macro="" textlink="">
          <xdr:nvSpPr>
            <xdr:cNvPr id="1939" name="Button 915" hidden="1">
              <a:extLst>
                <a:ext uri="{63B3BB69-23CF-44E3-9099-C40C66FF867C}">
                  <a14:compatExt spid="_x0000_s1939"/>
                </a:ext>
                <a:ext uri="{FF2B5EF4-FFF2-40B4-BE49-F238E27FC236}">
                  <a16:creationId xmlns:a16="http://schemas.microsoft.com/office/drawing/2014/main" id="{00000000-0008-0000-0100-00009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12700</xdr:rowOff>
        </xdr:from>
        <xdr:to>
          <xdr:col>15</xdr:col>
          <xdr:colOff>342900</xdr:colOff>
          <xdr:row>4</xdr:row>
          <xdr:rowOff>190500</xdr:rowOff>
        </xdr:to>
        <xdr:sp macro="" textlink="">
          <xdr:nvSpPr>
            <xdr:cNvPr id="1940" name="Button 916" hidden="1">
              <a:extLst>
                <a:ext uri="{63B3BB69-23CF-44E3-9099-C40C66FF867C}">
                  <a14:compatExt spid="_x0000_s1940"/>
                </a:ext>
                <a:ext uri="{FF2B5EF4-FFF2-40B4-BE49-F238E27FC236}">
                  <a16:creationId xmlns:a16="http://schemas.microsoft.com/office/drawing/2014/main" id="{00000000-0008-0000-0100-00009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12700</xdr:rowOff>
        </xdr:from>
        <xdr:to>
          <xdr:col>17</xdr:col>
          <xdr:colOff>330200</xdr:colOff>
          <xdr:row>4</xdr:row>
          <xdr:rowOff>190500</xdr:rowOff>
        </xdr:to>
        <xdr:sp macro="" textlink="">
          <xdr:nvSpPr>
            <xdr:cNvPr id="1941" name="Button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12700</xdr:rowOff>
        </xdr:from>
        <xdr:to>
          <xdr:col>15</xdr:col>
          <xdr:colOff>342900</xdr:colOff>
          <xdr:row>5</xdr:row>
          <xdr:rowOff>190500</xdr:rowOff>
        </xdr:to>
        <xdr:sp macro="" textlink="">
          <xdr:nvSpPr>
            <xdr:cNvPr id="1942" name="Button 918" hidden="1">
              <a:extLst>
                <a:ext uri="{63B3BB69-23CF-44E3-9099-C40C66FF867C}">
                  <a14:compatExt spid="_x0000_s1942"/>
                </a:ex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12700</xdr:rowOff>
        </xdr:from>
        <xdr:to>
          <xdr:col>17</xdr:col>
          <xdr:colOff>330200</xdr:colOff>
          <xdr:row>5</xdr:row>
          <xdr:rowOff>190500</xdr:rowOff>
        </xdr:to>
        <xdr:sp macro="" textlink="">
          <xdr:nvSpPr>
            <xdr:cNvPr id="1943" name="Button 919" hidden="1">
              <a:extLst>
                <a:ext uri="{63B3BB69-23CF-44E3-9099-C40C66FF867C}">
                  <a14:compatExt spid="_x0000_s1943"/>
                </a:ex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12700</xdr:rowOff>
        </xdr:from>
        <xdr:to>
          <xdr:col>15</xdr:col>
          <xdr:colOff>342900</xdr:colOff>
          <xdr:row>6</xdr:row>
          <xdr:rowOff>190500</xdr:rowOff>
        </xdr:to>
        <xdr:sp macro="" textlink="">
          <xdr:nvSpPr>
            <xdr:cNvPr id="1944" name="Button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1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12700</xdr:rowOff>
        </xdr:from>
        <xdr:to>
          <xdr:col>17</xdr:col>
          <xdr:colOff>330200</xdr:colOff>
          <xdr:row>6</xdr:row>
          <xdr:rowOff>190500</xdr:rowOff>
        </xdr:to>
        <xdr:sp macro="" textlink="">
          <xdr:nvSpPr>
            <xdr:cNvPr id="1945" name="Button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1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12700</xdr:rowOff>
        </xdr:from>
        <xdr:to>
          <xdr:col>15</xdr:col>
          <xdr:colOff>342900</xdr:colOff>
          <xdr:row>7</xdr:row>
          <xdr:rowOff>190500</xdr:rowOff>
        </xdr:to>
        <xdr:sp macro="" textlink="">
          <xdr:nvSpPr>
            <xdr:cNvPr id="1946" name="Button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1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12700</xdr:rowOff>
        </xdr:from>
        <xdr:to>
          <xdr:col>17</xdr:col>
          <xdr:colOff>330200</xdr:colOff>
          <xdr:row>7</xdr:row>
          <xdr:rowOff>190500</xdr:rowOff>
        </xdr:to>
        <xdr:sp macro="" textlink="">
          <xdr:nvSpPr>
            <xdr:cNvPr id="1947" name="Button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1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12700</xdr:rowOff>
        </xdr:from>
        <xdr:to>
          <xdr:col>15</xdr:col>
          <xdr:colOff>342900</xdr:colOff>
          <xdr:row>8</xdr:row>
          <xdr:rowOff>190500</xdr:rowOff>
        </xdr:to>
        <xdr:sp macro="" textlink="">
          <xdr:nvSpPr>
            <xdr:cNvPr id="1948" name="Button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1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12700</xdr:rowOff>
        </xdr:from>
        <xdr:to>
          <xdr:col>17</xdr:col>
          <xdr:colOff>330200</xdr:colOff>
          <xdr:row>8</xdr:row>
          <xdr:rowOff>190500</xdr:rowOff>
        </xdr:to>
        <xdr:sp macro="" textlink="">
          <xdr:nvSpPr>
            <xdr:cNvPr id="1949" name="Button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1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12700</xdr:rowOff>
        </xdr:from>
        <xdr:to>
          <xdr:col>15</xdr:col>
          <xdr:colOff>342900</xdr:colOff>
          <xdr:row>9</xdr:row>
          <xdr:rowOff>190500</xdr:rowOff>
        </xdr:to>
        <xdr:sp macro="" textlink="">
          <xdr:nvSpPr>
            <xdr:cNvPr id="1950" name="Button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1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12700</xdr:rowOff>
        </xdr:from>
        <xdr:to>
          <xdr:col>17</xdr:col>
          <xdr:colOff>330200</xdr:colOff>
          <xdr:row>9</xdr:row>
          <xdr:rowOff>190500</xdr:rowOff>
        </xdr:to>
        <xdr:sp macro="" textlink="">
          <xdr:nvSpPr>
            <xdr:cNvPr id="1951" name="Button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1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12700</xdr:rowOff>
        </xdr:from>
        <xdr:to>
          <xdr:col>15</xdr:col>
          <xdr:colOff>342900</xdr:colOff>
          <xdr:row>10</xdr:row>
          <xdr:rowOff>190500</xdr:rowOff>
        </xdr:to>
        <xdr:sp macro="" textlink="">
          <xdr:nvSpPr>
            <xdr:cNvPr id="1952" name="Button 928" hidden="1">
              <a:extLst>
                <a:ext uri="{63B3BB69-23CF-44E3-9099-C40C66FF867C}">
                  <a14:compatExt spid="_x0000_s1952"/>
                </a:ext>
                <a:ext uri="{FF2B5EF4-FFF2-40B4-BE49-F238E27FC236}">
                  <a16:creationId xmlns:a16="http://schemas.microsoft.com/office/drawing/2014/main" id="{00000000-0008-0000-0100-0000A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12700</xdr:rowOff>
        </xdr:from>
        <xdr:to>
          <xdr:col>17</xdr:col>
          <xdr:colOff>330200</xdr:colOff>
          <xdr:row>10</xdr:row>
          <xdr:rowOff>190500</xdr:rowOff>
        </xdr:to>
        <xdr:sp macro="" textlink="">
          <xdr:nvSpPr>
            <xdr:cNvPr id="1953" name="Button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1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12700</xdr:rowOff>
        </xdr:from>
        <xdr:to>
          <xdr:col>15</xdr:col>
          <xdr:colOff>342900</xdr:colOff>
          <xdr:row>11</xdr:row>
          <xdr:rowOff>190500</xdr:rowOff>
        </xdr:to>
        <xdr:sp macro="" textlink="">
          <xdr:nvSpPr>
            <xdr:cNvPr id="1954" name="Button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1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12700</xdr:rowOff>
        </xdr:from>
        <xdr:to>
          <xdr:col>17</xdr:col>
          <xdr:colOff>330200</xdr:colOff>
          <xdr:row>11</xdr:row>
          <xdr:rowOff>190500</xdr:rowOff>
        </xdr:to>
        <xdr:sp macro="" textlink="">
          <xdr:nvSpPr>
            <xdr:cNvPr id="1955" name="Button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1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12700</xdr:rowOff>
        </xdr:from>
        <xdr:to>
          <xdr:col>15</xdr:col>
          <xdr:colOff>342900</xdr:colOff>
          <xdr:row>12</xdr:row>
          <xdr:rowOff>190500</xdr:rowOff>
        </xdr:to>
        <xdr:sp macro="" textlink="">
          <xdr:nvSpPr>
            <xdr:cNvPr id="1956" name="Button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12700</xdr:rowOff>
        </xdr:from>
        <xdr:to>
          <xdr:col>17</xdr:col>
          <xdr:colOff>330200</xdr:colOff>
          <xdr:row>12</xdr:row>
          <xdr:rowOff>190500</xdr:rowOff>
        </xdr:to>
        <xdr:sp macro="" textlink="">
          <xdr:nvSpPr>
            <xdr:cNvPr id="1957" name="Button 933" hidden="1">
              <a:extLst>
                <a:ext uri="{63B3BB69-23CF-44E3-9099-C40C66FF867C}">
                  <a14:compatExt spid="_x0000_s1957"/>
                </a:ext>
                <a:ext uri="{FF2B5EF4-FFF2-40B4-BE49-F238E27FC236}">
                  <a16:creationId xmlns:a16="http://schemas.microsoft.com/office/drawing/2014/main" id="{00000000-0008-0000-0100-0000A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12700</xdr:rowOff>
        </xdr:from>
        <xdr:to>
          <xdr:col>15</xdr:col>
          <xdr:colOff>342900</xdr:colOff>
          <xdr:row>13</xdr:row>
          <xdr:rowOff>190500</xdr:rowOff>
        </xdr:to>
        <xdr:sp macro="" textlink="">
          <xdr:nvSpPr>
            <xdr:cNvPr id="1958" name="Button 934" hidden="1">
              <a:extLst>
                <a:ext uri="{63B3BB69-23CF-44E3-9099-C40C66FF867C}">
                  <a14:compatExt spid="_x0000_s1958"/>
                </a:ext>
                <a:ext uri="{FF2B5EF4-FFF2-40B4-BE49-F238E27FC236}">
                  <a16:creationId xmlns:a16="http://schemas.microsoft.com/office/drawing/2014/main" id="{00000000-0008-0000-0100-0000A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12700</xdr:rowOff>
        </xdr:from>
        <xdr:to>
          <xdr:col>17</xdr:col>
          <xdr:colOff>330200</xdr:colOff>
          <xdr:row>13</xdr:row>
          <xdr:rowOff>190500</xdr:rowOff>
        </xdr:to>
        <xdr:sp macro="" textlink="">
          <xdr:nvSpPr>
            <xdr:cNvPr id="1959" name="Button 935" hidden="1">
              <a:extLst>
                <a:ext uri="{63B3BB69-23CF-44E3-9099-C40C66FF867C}">
                  <a14:compatExt spid="_x0000_s1959"/>
                </a:ext>
                <a:ext uri="{FF2B5EF4-FFF2-40B4-BE49-F238E27FC236}">
                  <a16:creationId xmlns:a16="http://schemas.microsoft.com/office/drawing/2014/main" id="{00000000-0008-0000-0100-0000A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12700</xdr:rowOff>
        </xdr:from>
        <xdr:to>
          <xdr:col>15</xdr:col>
          <xdr:colOff>342900</xdr:colOff>
          <xdr:row>14</xdr:row>
          <xdr:rowOff>190500</xdr:rowOff>
        </xdr:to>
        <xdr:sp macro="" textlink="">
          <xdr:nvSpPr>
            <xdr:cNvPr id="1960" name="Button 936" hidden="1">
              <a:extLst>
                <a:ext uri="{63B3BB69-23CF-44E3-9099-C40C66FF867C}">
                  <a14:compatExt spid="_x0000_s1960"/>
                </a:ext>
                <a:ext uri="{FF2B5EF4-FFF2-40B4-BE49-F238E27FC236}">
                  <a16:creationId xmlns:a16="http://schemas.microsoft.com/office/drawing/2014/main" id="{00000000-0008-0000-0100-0000A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12700</xdr:rowOff>
        </xdr:from>
        <xdr:to>
          <xdr:col>17</xdr:col>
          <xdr:colOff>330200</xdr:colOff>
          <xdr:row>14</xdr:row>
          <xdr:rowOff>190500</xdr:rowOff>
        </xdr:to>
        <xdr:sp macro="" textlink="">
          <xdr:nvSpPr>
            <xdr:cNvPr id="1961" name="Button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1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12700</xdr:rowOff>
        </xdr:from>
        <xdr:to>
          <xdr:col>15</xdr:col>
          <xdr:colOff>342900</xdr:colOff>
          <xdr:row>22</xdr:row>
          <xdr:rowOff>190500</xdr:rowOff>
        </xdr:to>
        <xdr:sp macro="" textlink="">
          <xdr:nvSpPr>
            <xdr:cNvPr id="1962" name="Button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1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12700</xdr:rowOff>
        </xdr:from>
        <xdr:to>
          <xdr:col>17</xdr:col>
          <xdr:colOff>330200</xdr:colOff>
          <xdr:row>22</xdr:row>
          <xdr:rowOff>190500</xdr:rowOff>
        </xdr:to>
        <xdr:sp macro="" textlink="">
          <xdr:nvSpPr>
            <xdr:cNvPr id="1963" name="Button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1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12700</xdr:rowOff>
        </xdr:from>
        <xdr:to>
          <xdr:col>15</xdr:col>
          <xdr:colOff>342900</xdr:colOff>
          <xdr:row>23</xdr:row>
          <xdr:rowOff>190500</xdr:rowOff>
        </xdr:to>
        <xdr:sp macro="" textlink="">
          <xdr:nvSpPr>
            <xdr:cNvPr id="1964" name="Button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1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12700</xdr:rowOff>
        </xdr:from>
        <xdr:to>
          <xdr:col>17</xdr:col>
          <xdr:colOff>330200</xdr:colOff>
          <xdr:row>23</xdr:row>
          <xdr:rowOff>190500</xdr:rowOff>
        </xdr:to>
        <xdr:sp macro="" textlink="">
          <xdr:nvSpPr>
            <xdr:cNvPr id="1965" name="Button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1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12700</xdr:rowOff>
        </xdr:from>
        <xdr:to>
          <xdr:col>15</xdr:col>
          <xdr:colOff>342900</xdr:colOff>
          <xdr:row>24</xdr:row>
          <xdr:rowOff>190500</xdr:rowOff>
        </xdr:to>
        <xdr:sp macro="" textlink="">
          <xdr:nvSpPr>
            <xdr:cNvPr id="1966" name="Button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1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12700</xdr:rowOff>
        </xdr:from>
        <xdr:to>
          <xdr:col>17</xdr:col>
          <xdr:colOff>330200</xdr:colOff>
          <xdr:row>24</xdr:row>
          <xdr:rowOff>190500</xdr:rowOff>
        </xdr:to>
        <xdr:sp macro="" textlink="">
          <xdr:nvSpPr>
            <xdr:cNvPr id="1967" name="Button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1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12700</xdr:rowOff>
        </xdr:from>
        <xdr:to>
          <xdr:col>15</xdr:col>
          <xdr:colOff>342900</xdr:colOff>
          <xdr:row>25</xdr:row>
          <xdr:rowOff>190500</xdr:rowOff>
        </xdr:to>
        <xdr:sp macro="" textlink="">
          <xdr:nvSpPr>
            <xdr:cNvPr id="1968" name="Button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1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12700</xdr:rowOff>
        </xdr:from>
        <xdr:to>
          <xdr:col>17</xdr:col>
          <xdr:colOff>330200</xdr:colOff>
          <xdr:row>25</xdr:row>
          <xdr:rowOff>190500</xdr:rowOff>
        </xdr:to>
        <xdr:sp macro="" textlink="">
          <xdr:nvSpPr>
            <xdr:cNvPr id="1969" name="Button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1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12700</xdr:rowOff>
        </xdr:from>
        <xdr:to>
          <xdr:col>15</xdr:col>
          <xdr:colOff>342900</xdr:colOff>
          <xdr:row>26</xdr:row>
          <xdr:rowOff>190500</xdr:rowOff>
        </xdr:to>
        <xdr:sp macro="" textlink="">
          <xdr:nvSpPr>
            <xdr:cNvPr id="1970" name="Button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1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12700</xdr:rowOff>
        </xdr:from>
        <xdr:to>
          <xdr:col>17</xdr:col>
          <xdr:colOff>330200</xdr:colOff>
          <xdr:row>26</xdr:row>
          <xdr:rowOff>190500</xdr:rowOff>
        </xdr:to>
        <xdr:sp macro="" textlink="">
          <xdr:nvSpPr>
            <xdr:cNvPr id="1971" name="Button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1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12700</xdr:rowOff>
        </xdr:from>
        <xdr:to>
          <xdr:col>15</xdr:col>
          <xdr:colOff>342900</xdr:colOff>
          <xdr:row>27</xdr:row>
          <xdr:rowOff>190500</xdr:rowOff>
        </xdr:to>
        <xdr:sp macro="" textlink="">
          <xdr:nvSpPr>
            <xdr:cNvPr id="1972" name="Button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1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12700</xdr:rowOff>
        </xdr:from>
        <xdr:to>
          <xdr:col>17</xdr:col>
          <xdr:colOff>330200</xdr:colOff>
          <xdr:row>27</xdr:row>
          <xdr:rowOff>190500</xdr:rowOff>
        </xdr:to>
        <xdr:sp macro="" textlink="">
          <xdr:nvSpPr>
            <xdr:cNvPr id="1973" name="Button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1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12700</xdr:rowOff>
        </xdr:from>
        <xdr:to>
          <xdr:col>15</xdr:col>
          <xdr:colOff>342900</xdr:colOff>
          <xdr:row>28</xdr:row>
          <xdr:rowOff>190500</xdr:rowOff>
        </xdr:to>
        <xdr:sp macro="" textlink="">
          <xdr:nvSpPr>
            <xdr:cNvPr id="1974" name="Button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1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12700</xdr:rowOff>
        </xdr:from>
        <xdr:to>
          <xdr:col>17</xdr:col>
          <xdr:colOff>330200</xdr:colOff>
          <xdr:row>28</xdr:row>
          <xdr:rowOff>190500</xdr:rowOff>
        </xdr:to>
        <xdr:sp macro="" textlink="">
          <xdr:nvSpPr>
            <xdr:cNvPr id="1975" name="Button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1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12700</xdr:rowOff>
        </xdr:from>
        <xdr:to>
          <xdr:col>15</xdr:col>
          <xdr:colOff>342900</xdr:colOff>
          <xdr:row>29</xdr:row>
          <xdr:rowOff>190500</xdr:rowOff>
        </xdr:to>
        <xdr:sp macro="" textlink="">
          <xdr:nvSpPr>
            <xdr:cNvPr id="1976" name="Button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1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12700</xdr:rowOff>
        </xdr:from>
        <xdr:to>
          <xdr:col>17</xdr:col>
          <xdr:colOff>330200</xdr:colOff>
          <xdr:row>29</xdr:row>
          <xdr:rowOff>190500</xdr:rowOff>
        </xdr:to>
        <xdr:sp macro="" textlink="">
          <xdr:nvSpPr>
            <xdr:cNvPr id="1977" name="Button 953" hidden="1">
              <a:extLst>
                <a:ext uri="{63B3BB69-23CF-44E3-9099-C40C66FF867C}">
                  <a14:compatExt spid="_x0000_s1977"/>
                </a:ext>
                <a:ext uri="{FF2B5EF4-FFF2-40B4-BE49-F238E27FC236}">
                  <a16:creationId xmlns:a16="http://schemas.microsoft.com/office/drawing/2014/main" id="{00000000-0008-0000-0100-0000B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12700</xdr:rowOff>
        </xdr:from>
        <xdr:to>
          <xdr:col>15</xdr:col>
          <xdr:colOff>342900</xdr:colOff>
          <xdr:row>30</xdr:row>
          <xdr:rowOff>190500</xdr:rowOff>
        </xdr:to>
        <xdr:sp macro="" textlink="">
          <xdr:nvSpPr>
            <xdr:cNvPr id="1978" name="Button 954" hidden="1">
              <a:extLst>
                <a:ext uri="{63B3BB69-23CF-44E3-9099-C40C66FF867C}">
                  <a14:compatExt spid="_x0000_s1978"/>
                </a:ext>
                <a:ext uri="{FF2B5EF4-FFF2-40B4-BE49-F238E27FC236}">
                  <a16:creationId xmlns:a16="http://schemas.microsoft.com/office/drawing/2014/main" id="{00000000-0008-0000-0100-0000B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12700</xdr:rowOff>
        </xdr:from>
        <xdr:to>
          <xdr:col>17</xdr:col>
          <xdr:colOff>330200</xdr:colOff>
          <xdr:row>30</xdr:row>
          <xdr:rowOff>190500</xdr:rowOff>
        </xdr:to>
        <xdr:sp macro="" textlink="">
          <xdr:nvSpPr>
            <xdr:cNvPr id="1979" name="Button 955" hidden="1">
              <a:extLst>
                <a:ext uri="{63B3BB69-23CF-44E3-9099-C40C66FF867C}">
                  <a14:compatExt spid="_x0000_s1979"/>
                </a:ext>
                <a:ext uri="{FF2B5EF4-FFF2-40B4-BE49-F238E27FC236}">
                  <a16:creationId xmlns:a16="http://schemas.microsoft.com/office/drawing/2014/main" id="{00000000-0008-0000-0100-0000B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12700</xdr:rowOff>
        </xdr:from>
        <xdr:to>
          <xdr:col>15</xdr:col>
          <xdr:colOff>342900</xdr:colOff>
          <xdr:row>31</xdr:row>
          <xdr:rowOff>190500</xdr:rowOff>
        </xdr:to>
        <xdr:sp macro="" textlink="">
          <xdr:nvSpPr>
            <xdr:cNvPr id="1980" name="Button 956" hidden="1">
              <a:extLst>
                <a:ext uri="{63B3BB69-23CF-44E3-9099-C40C66FF867C}">
                  <a14:compatExt spid="_x0000_s1980"/>
                </a:ext>
                <a:ext uri="{FF2B5EF4-FFF2-40B4-BE49-F238E27FC236}">
                  <a16:creationId xmlns:a16="http://schemas.microsoft.com/office/drawing/2014/main" id="{00000000-0008-0000-0100-0000B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12700</xdr:rowOff>
        </xdr:from>
        <xdr:to>
          <xdr:col>17</xdr:col>
          <xdr:colOff>330200</xdr:colOff>
          <xdr:row>31</xdr:row>
          <xdr:rowOff>190500</xdr:rowOff>
        </xdr:to>
        <xdr:sp macro="" textlink="">
          <xdr:nvSpPr>
            <xdr:cNvPr id="1981" name="Button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1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12700</xdr:rowOff>
        </xdr:from>
        <xdr:to>
          <xdr:col>15</xdr:col>
          <xdr:colOff>342900</xdr:colOff>
          <xdr:row>32</xdr:row>
          <xdr:rowOff>190500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12700</xdr:rowOff>
        </xdr:from>
        <xdr:to>
          <xdr:col>17</xdr:col>
          <xdr:colOff>330200</xdr:colOff>
          <xdr:row>32</xdr:row>
          <xdr:rowOff>190500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12700</xdr:rowOff>
        </xdr:from>
        <xdr:to>
          <xdr:col>15</xdr:col>
          <xdr:colOff>342900</xdr:colOff>
          <xdr:row>33</xdr:row>
          <xdr:rowOff>190500</xdr:rowOff>
        </xdr:to>
        <xdr:sp macro="" textlink="">
          <xdr:nvSpPr>
            <xdr:cNvPr id="1984" name="Button 960" hidden="1">
              <a:extLst>
                <a:ext uri="{63B3BB69-23CF-44E3-9099-C40C66FF867C}">
                  <a14:compatExt spid="_x0000_s1984"/>
                </a:ext>
                <a:ext uri="{FF2B5EF4-FFF2-40B4-BE49-F238E27FC236}">
                  <a16:creationId xmlns:a16="http://schemas.microsoft.com/office/drawing/2014/main" id="{00000000-0008-0000-0100-0000C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12700</xdr:rowOff>
        </xdr:from>
        <xdr:to>
          <xdr:col>17</xdr:col>
          <xdr:colOff>330200</xdr:colOff>
          <xdr:row>33</xdr:row>
          <xdr:rowOff>190500</xdr:rowOff>
        </xdr:to>
        <xdr:sp macro="" textlink="">
          <xdr:nvSpPr>
            <xdr:cNvPr id="1985" name="Button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12700</xdr:rowOff>
        </xdr:from>
        <xdr:to>
          <xdr:col>15</xdr:col>
          <xdr:colOff>342900</xdr:colOff>
          <xdr:row>34</xdr:row>
          <xdr:rowOff>190500</xdr:rowOff>
        </xdr:to>
        <xdr:sp macro="" textlink="">
          <xdr:nvSpPr>
            <xdr:cNvPr id="1986" name="Button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1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12700</xdr:rowOff>
        </xdr:from>
        <xdr:to>
          <xdr:col>17</xdr:col>
          <xdr:colOff>330200</xdr:colOff>
          <xdr:row>34</xdr:row>
          <xdr:rowOff>190500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12700</xdr:rowOff>
        </xdr:from>
        <xdr:to>
          <xdr:col>15</xdr:col>
          <xdr:colOff>342900</xdr:colOff>
          <xdr:row>35</xdr:row>
          <xdr:rowOff>190500</xdr:rowOff>
        </xdr:to>
        <xdr:sp macro="" textlink="">
          <xdr:nvSpPr>
            <xdr:cNvPr id="1988" name="Button 964" hidden="1">
              <a:extLst>
                <a:ext uri="{63B3BB69-23CF-44E3-9099-C40C66FF867C}">
                  <a14:compatExt spid="_x0000_s1988"/>
                </a:ext>
                <a:ext uri="{FF2B5EF4-FFF2-40B4-BE49-F238E27FC236}">
                  <a16:creationId xmlns:a16="http://schemas.microsoft.com/office/drawing/2014/main" id="{00000000-0008-0000-0100-0000C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12700</xdr:rowOff>
        </xdr:from>
        <xdr:to>
          <xdr:col>17</xdr:col>
          <xdr:colOff>330200</xdr:colOff>
          <xdr:row>35</xdr:row>
          <xdr:rowOff>190500</xdr:rowOff>
        </xdr:to>
        <xdr:sp macro="" textlink="">
          <xdr:nvSpPr>
            <xdr:cNvPr id="1989" name="Button 965" hidden="1">
              <a:extLst>
                <a:ext uri="{63B3BB69-23CF-44E3-9099-C40C66FF867C}">
                  <a14:compatExt spid="_x0000_s1989"/>
                </a:ext>
                <a:ext uri="{FF2B5EF4-FFF2-40B4-BE49-F238E27FC236}">
                  <a16:creationId xmlns:a16="http://schemas.microsoft.com/office/drawing/2014/main" id="{00000000-0008-0000-0100-0000C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12700</xdr:rowOff>
        </xdr:from>
        <xdr:to>
          <xdr:col>15</xdr:col>
          <xdr:colOff>342900</xdr:colOff>
          <xdr:row>36</xdr:row>
          <xdr:rowOff>190500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1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12700</xdr:rowOff>
        </xdr:from>
        <xdr:to>
          <xdr:col>17</xdr:col>
          <xdr:colOff>330200</xdr:colOff>
          <xdr:row>36</xdr:row>
          <xdr:rowOff>190500</xdr:rowOff>
        </xdr:to>
        <xdr:sp macro="" textlink="">
          <xdr:nvSpPr>
            <xdr:cNvPr id="1991" name="Button 967" hidden="1">
              <a:extLst>
                <a:ext uri="{63B3BB69-23CF-44E3-9099-C40C66FF867C}">
                  <a14:compatExt spid="_x0000_s1991"/>
                </a:ext>
                <a:ext uri="{FF2B5EF4-FFF2-40B4-BE49-F238E27FC236}">
                  <a16:creationId xmlns:a16="http://schemas.microsoft.com/office/drawing/2014/main" id="{00000000-0008-0000-0100-0000C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12700</xdr:rowOff>
        </xdr:from>
        <xdr:to>
          <xdr:col>15</xdr:col>
          <xdr:colOff>342900</xdr:colOff>
          <xdr:row>15</xdr:row>
          <xdr:rowOff>190500</xdr:rowOff>
        </xdr:to>
        <xdr:sp macro="" textlink="">
          <xdr:nvSpPr>
            <xdr:cNvPr id="1992" name="Button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1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12700</xdr:rowOff>
        </xdr:from>
        <xdr:to>
          <xdr:col>17</xdr:col>
          <xdr:colOff>330200</xdr:colOff>
          <xdr:row>15</xdr:row>
          <xdr:rowOff>190500</xdr:rowOff>
        </xdr:to>
        <xdr:sp macro="" textlink="">
          <xdr:nvSpPr>
            <xdr:cNvPr id="1993" name="Button 969" hidden="1">
              <a:extLst>
                <a:ext uri="{63B3BB69-23CF-44E3-9099-C40C66FF867C}">
                  <a14:compatExt spid="_x0000_s1993"/>
                </a:ext>
                <a:ext uri="{FF2B5EF4-FFF2-40B4-BE49-F238E27FC236}">
                  <a16:creationId xmlns:a16="http://schemas.microsoft.com/office/drawing/2014/main" id="{00000000-0008-0000-0100-0000C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12700</xdr:rowOff>
        </xdr:from>
        <xdr:to>
          <xdr:col>15</xdr:col>
          <xdr:colOff>342900</xdr:colOff>
          <xdr:row>16</xdr:row>
          <xdr:rowOff>190500</xdr:rowOff>
        </xdr:to>
        <xdr:sp macro="" textlink="">
          <xdr:nvSpPr>
            <xdr:cNvPr id="1994" name="Button 970" hidden="1">
              <a:extLst>
                <a:ext uri="{63B3BB69-23CF-44E3-9099-C40C66FF867C}">
                  <a14:compatExt spid="_x0000_s1994"/>
                </a:ext>
                <a:ext uri="{FF2B5EF4-FFF2-40B4-BE49-F238E27FC236}">
                  <a16:creationId xmlns:a16="http://schemas.microsoft.com/office/drawing/2014/main" id="{00000000-0008-0000-0100-0000C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12700</xdr:rowOff>
        </xdr:from>
        <xdr:to>
          <xdr:col>17</xdr:col>
          <xdr:colOff>330200</xdr:colOff>
          <xdr:row>16</xdr:row>
          <xdr:rowOff>190500</xdr:rowOff>
        </xdr:to>
        <xdr:sp macro="" textlink="">
          <xdr:nvSpPr>
            <xdr:cNvPr id="1995" name="Button 971" hidden="1">
              <a:extLst>
                <a:ext uri="{63B3BB69-23CF-44E3-9099-C40C66FF867C}">
                  <a14:compatExt spid="_x0000_s1995"/>
                </a:ext>
                <a:ext uri="{FF2B5EF4-FFF2-40B4-BE49-F238E27FC236}">
                  <a16:creationId xmlns:a16="http://schemas.microsoft.com/office/drawing/2014/main" id="{00000000-0008-0000-0100-0000C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12700</xdr:rowOff>
        </xdr:from>
        <xdr:to>
          <xdr:col>15</xdr:col>
          <xdr:colOff>342900</xdr:colOff>
          <xdr:row>17</xdr:row>
          <xdr:rowOff>190500</xdr:rowOff>
        </xdr:to>
        <xdr:sp macro="" textlink="">
          <xdr:nvSpPr>
            <xdr:cNvPr id="1996" name="Button 972" hidden="1">
              <a:extLst>
                <a:ext uri="{63B3BB69-23CF-44E3-9099-C40C66FF867C}">
                  <a14:compatExt spid="_x0000_s1996"/>
                </a:ext>
                <a:ext uri="{FF2B5EF4-FFF2-40B4-BE49-F238E27FC236}">
                  <a16:creationId xmlns:a16="http://schemas.microsoft.com/office/drawing/2014/main" id="{00000000-0008-0000-0100-0000C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12700</xdr:rowOff>
        </xdr:from>
        <xdr:to>
          <xdr:col>17</xdr:col>
          <xdr:colOff>330200</xdr:colOff>
          <xdr:row>17</xdr:row>
          <xdr:rowOff>190500</xdr:rowOff>
        </xdr:to>
        <xdr:sp macro="" textlink="">
          <xdr:nvSpPr>
            <xdr:cNvPr id="1997" name="Button 973" hidden="1">
              <a:extLst>
                <a:ext uri="{63B3BB69-23CF-44E3-9099-C40C66FF867C}">
                  <a14:compatExt spid="_x0000_s1997"/>
                </a:ext>
                <a:ext uri="{FF2B5EF4-FFF2-40B4-BE49-F238E27FC236}">
                  <a16:creationId xmlns:a16="http://schemas.microsoft.com/office/drawing/2014/main" id="{00000000-0008-0000-0100-0000C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12700</xdr:rowOff>
        </xdr:from>
        <xdr:to>
          <xdr:col>15</xdr:col>
          <xdr:colOff>342900</xdr:colOff>
          <xdr:row>18</xdr:row>
          <xdr:rowOff>190500</xdr:rowOff>
        </xdr:to>
        <xdr:sp macro="" textlink="">
          <xdr:nvSpPr>
            <xdr:cNvPr id="1998" name="Button 974" hidden="1">
              <a:extLst>
                <a:ext uri="{63B3BB69-23CF-44E3-9099-C40C66FF867C}">
                  <a14:compatExt spid="_x0000_s1998"/>
                </a:ext>
                <a:ext uri="{FF2B5EF4-FFF2-40B4-BE49-F238E27FC236}">
                  <a16:creationId xmlns:a16="http://schemas.microsoft.com/office/drawing/2014/main" id="{00000000-0008-0000-0100-0000C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12700</xdr:rowOff>
        </xdr:from>
        <xdr:to>
          <xdr:col>17</xdr:col>
          <xdr:colOff>330200</xdr:colOff>
          <xdr:row>18</xdr:row>
          <xdr:rowOff>190500</xdr:rowOff>
        </xdr:to>
        <xdr:sp macro="" textlink="">
          <xdr:nvSpPr>
            <xdr:cNvPr id="1999" name="Button 975" hidden="1">
              <a:extLst>
                <a:ext uri="{63B3BB69-23CF-44E3-9099-C40C66FF867C}">
                  <a14:compatExt spid="_x0000_s1999"/>
                </a:ext>
                <a:ext uri="{FF2B5EF4-FFF2-40B4-BE49-F238E27FC236}">
                  <a16:creationId xmlns:a16="http://schemas.microsoft.com/office/drawing/2014/main" id="{00000000-0008-0000-0100-0000C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12700</xdr:rowOff>
        </xdr:from>
        <xdr:to>
          <xdr:col>18</xdr:col>
          <xdr:colOff>342900</xdr:colOff>
          <xdr:row>4</xdr:row>
          <xdr:rowOff>190500</xdr:rowOff>
        </xdr:to>
        <xdr:sp macro="" textlink="">
          <xdr:nvSpPr>
            <xdr:cNvPr id="2000" name="Button 976" hidden="1">
              <a:extLst>
                <a:ext uri="{63B3BB69-23CF-44E3-9099-C40C66FF867C}">
                  <a14:compatExt spid="_x0000_s2000"/>
                </a:ext>
                <a:ext uri="{FF2B5EF4-FFF2-40B4-BE49-F238E27FC236}">
                  <a16:creationId xmlns:a16="http://schemas.microsoft.com/office/drawing/2014/main" id="{00000000-0008-0000-0100-0000D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12700</xdr:rowOff>
        </xdr:from>
        <xdr:to>
          <xdr:col>20</xdr:col>
          <xdr:colOff>330200</xdr:colOff>
          <xdr:row>4</xdr:row>
          <xdr:rowOff>190500</xdr:rowOff>
        </xdr:to>
        <xdr:sp macro="" textlink="">
          <xdr:nvSpPr>
            <xdr:cNvPr id="2001" name="Button 977" hidden="1">
              <a:extLst>
                <a:ext uri="{63B3BB69-23CF-44E3-9099-C40C66FF867C}">
                  <a14:compatExt spid="_x0000_s2001"/>
                </a:ext>
                <a:ext uri="{FF2B5EF4-FFF2-40B4-BE49-F238E27FC236}">
                  <a16:creationId xmlns:a16="http://schemas.microsoft.com/office/drawing/2014/main" id="{00000000-0008-0000-0100-0000D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12700</xdr:rowOff>
        </xdr:from>
        <xdr:to>
          <xdr:col>18</xdr:col>
          <xdr:colOff>342900</xdr:colOff>
          <xdr:row>5</xdr:row>
          <xdr:rowOff>190500</xdr:rowOff>
        </xdr:to>
        <xdr:sp macro="" textlink="">
          <xdr:nvSpPr>
            <xdr:cNvPr id="2002" name="Button 978" hidden="1">
              <a:extLst>
                <a:ext uri="{63B3BB69-23CF-44E3-9099-C40C66FF867C}">
                  <a14:compatExt spid="_x0000_s2002"/>
                </a:ext>
                <a:ext uri="{FF2B5EF4-FFF2-40B4-BE49-F238E27FC236}">
                  <a16:creationId xmlns:a16="http://schemas.microsoft.com/office/drawing/2014/main" id="{00000000-0008-0000-0100-0000D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12700</xdr:rowOff>
        </xdr:from>
        <xdr:to>
          <xdr:col>20</xdr:col>
          <xdr:colOff>330200</xdr:colOff>
          <xdr:row>5</xdr:row>
          <xdr:rowOff>190500</xdr:rowOff>
        </xdr:to>
        <xdr:sp macro="" textlink="">
          <xdr:nvSpPr>
            <xdr:cNvPr id="2003" name="Button 979" hidden="1">
              <a:extLst>
                <a:ext uri="{63B3BB69-23CF-44E3-9099-C40C66FF867C}">
                  <a14:compatExt spid="_x0000_s2003"/>
                </a:ext>
                <a:ext uri="{FF2B5EF4-FFF2-40B4-BE49-F238E27FC236}">
                  <a16:creationId xmlns:a16="http://schemas.microsoft.com/office/drawing/2014/main" id="{00000000-0008-0000-0100-0000D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12700</xdr:rowOff>
        </xdr:from>
        <xdr:to>
          <xdr:col>18</xdr:col>
          <xdr:colOff>342900</xdr:colOff>
          <xdr:row>6</xdr:row>
          <xdr:rowOff>190500</xdr:rowOff>
        </xdr:to>
        <xdr:sp macro="" textlink="">
          <xdr:nvSpPr>
            <xdr:cNvPr id="2004" name="Button 980" hidden="1">
              <a:extLst>
                <a:ext uri="{63B3BB69-23CF-44E3-9099-C40C66FF867C}">
                  <a14:compatExt spid="_x0000_s2004"/>
                </a:ext>
                <a:ext uri="{FF2B5EF4-FFF2-40B4-BE49-F238E27FC236}">
                  <a16:creationId xmlns:a16="http://schemas.microsoft.com/office/drawing/2014/main" id="{00000000-0008-0000-0100-0000D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12700</xdr:rowOff>
        </xdr:from>
        <xdr:to>
          <xdr:col>20</xdr:col>
          <xdr:colOff>330200</xdr:colOff>
          <xdr:row>6</xdr:row>
          <xdr:rowOff>190500</xdr:rowOff>
        </xdr:to>
        <xdr:sp macro="" textlink="">
          <xdr:nvSpPr>
            <xdr:cNvPr id="2005" name="Button 981" hidden="1">
              <a:extLst>
                <a:ext uri="{63B3BB69-23CF-44E3-9099-C40C66FF867C}">
                  <a14:compatExt spid="_x0000_s2005"/>
                </a:ext>
                <a:ext uri="{FF2B5EF4-FFF2-40B4-BE49-F238E27FC236}">
                  <a16:creationId xmlns:a16="http://schemas.microsoft.com/office/drawing/2014/main" id="{00000000-0008-0000-0100-0000D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12700</xdr:rowOff>
        </xdr:from>
        <xdr:to>
          <xdr:col>18</xdr:col>
          <xdr:colOff>342900</xdr:colOff>
          <xdr:row>7</xdr:row>
          <xdr:rowOff>190500</xdr:rowOff>
        </xdr:to>
        <xdr:sp macro="" textlink="">
          <xdr:nvSpPr>
            <xdr:cNvPr id="2006" name="Button 982" hidden="1">
              <a:extLst>
                <a:ext uri="{63B3BB69-23CF-44E3-9099-C40C66FF867C}">
                  <a14:compatExt spid="_x0000_s2006"/>
                </a:ext>
                <a:ext uri="{FF2B5EF4-FFF2-40B4-BE49-F238E27FC236}">
                  <a16:creationId xmlns:a16="http://schemas.microsoft.com/office/drawing/2014/main" id="{00000000-0008-0000-0100-0000D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12700</xdr:rowOff>
        </xdr:from>
        <xdr:to>
          <xdr:col>20</xdr:col>
          <xdr:colOff>330200</xdr:colOff>
          <xdr:row>7</xdr:row>
          <xdr:rowOff>190500</xdr:rowOff>
        </xdr:to>
        <xdr:sp macro="" textlink="">
          <xdr:nvSpPr>
            <xdr:cNvPr id="2007" name="Button 983" hidden="1">
              <a:extLst>
                <a:ext uri="{63B3BB69-23CF-44E3-9099-C40C66FF867C}">
                  <a14:compatExt spid="_x0000_s2007"/>
                </a:ext>
                <a:ext uri="{FF2B5EF4-FFF2-40B4-BE49-F238E27FC236}">
                  <a16:creationId xmlns:a16="http://schemas.microsoft.com/office/drawing/2014/main" id="{00000000-0008-0000-0100-0000D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12700</xdr:rowOff>
        </xdr:from>
        <xdr:to>
          <xdr:col>18</xdr:col>
          <xdr:colOff>342900</xdr:colOff>
          <xdr:row>8</xdr:row>
          <xdr:rowOff>190500</xdr:rowOff>
        </xdr:to>
        <xdr:sp macro="" textlink="">
          <xdr:nvSpPr>
            <xdr:cNvPr id="2008" name="Button 984" hidden="1">
              <a:extLst>
                <a:ext uri="{63B3BB69-23CF-44E3-9099-C40C66FF867C}">
                  <a14:compatExt spid="_x0000_s2008"/>
                </a:ext>
                <a:ext uri="{FF2B5EF4-FFF2-40B4-BE49-F238E27FC236}">
                  <a16:creationId xmlns:a16="http://schemas.microsoft.com/office/drawing/2014/main" id="{00000000-0008-0000-0100-0000D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12700</xdr:rowOff>
        </xdr:from>
        <xdr:to>
          <xdr:col>20</xdr:col>
          <xdr:colOff>330200</xdr:colOff>
          <xdr:row>8</xdr:row>
          <xdr:rowOff>190500</xdr:rowOff>
        </xdr:to>
        <xdr:sp macro="" textlink="">
          <xdr:nvSpPr>
            <xdr:cNvPr id="2009" name="Button 985" hidden="1">
              <a:extLst>
                <a:ext uri="{63B3BB69-23CF-44E3-9099-C40C66FF867C}">
                  <a14:compatExt spid="_x0000_s2009"/>
                </a:ext>
                <a:ext uri="{FF2B5EF4-FFF2-40B4-BE49-F238E27FC236}">
                  <a16:creationId xmlns:a16="http://schemas.microsoft.com/office/drawing/2014/main" id="{00000000-0008-0000-0100-0000D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12700</xdr:rowOff>
        </xdr:from>
        <xdr:to>
          <xdr:col>18</xdr:col>
          <xdr:colOff>342900</xdr:colOff>
          <xdr:row>9</xdr:row>
          <xdr:rowOff>190500</xdr:rowOff>
        </xdr:to>
        <xdr:sp macro="" textlink="">
          <xdr:nvSpPr>
            <xdr:cNvPr id="2010" name="Button 986" hidden="1">
              <a:extLst>
                <a:ext uri="{63B3BB69-23CF-44E3-9099-C40C66FF867C}">
                  <a14:compatExt spid="_x0000_s2010"/>
                </a:ext>
                <a:ext uri="{FF2B5EF4-FFF2-40B4-BE49-F238E27FC236}">
                  <a16:creationId xmlns:a16="http://schemas.microsoft.com/office/drawing/2014/main" id="{00000000-0008-0000-0100-0000D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12700</xdr:rowOff>
        </xdr:from>
        <xdr:to>
          <xdr:col>20</xdr:col>
          <xdr:colOff>330200</xdr:colOff>
          <xdr:row>9</xdr:row>
          <xdr:rowOff>190500</xdr:rowOff>
        </xdr:to>
        <xdr:sp macro="" textlink="">
          <xdr:nvSpPr>
            <xdr:cNvPr id="2011" name="Button 987" hidden="1">
              <a:extLst>
                <a:ext uri="{63B3BB69-23CF-44E3-9099-C40C66FF867C}">
                  <a14:compatExt spid="_x0000_s2011"/>
                </a:ext>
                <a:ext uri="{FF2B5EF4-FFF2-40B4-BE49-F238E27FC236}">
                  <a16:creationId xmlns:a16="http://schemas.microsoft.com/office/drawing/2014/main" id="{00000000-0008-0000-0100-0000D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12700</xdr:rowOff>
        </xdr:from>
        <xdr:to>
          <xdr:col>18</xdr:col>
          <xdr:colOff>342900</xdr:colOff>
          <xdr:row>10</xdr:row>
          <xdr:rowOff>190500</xdr:rowOff>
        </xdr:to>
        <xdr:sp macro="" textlink="">
          <xdr:nvSpPr>
            <xdr:cNvPr id="2012" name="Button 988" hidden="1">
              <a:extLst>
                <a:ext uri="{63B3BB69-23CF-44E3-9099-C40C66FF867C}">
                  <a14:compatExt spid="_x0000_s2012"/>
                </a:ext>
                <a:ext uri="{FF2B5EF4-FFF2-40B4-BE49-F238E27FC236}">
                  <a16:creationId xmlns:a16="http://schemas.microsoft.com/office/drawing/2014/main" id="{00000000-0008-0000-0100-0000D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12700</xdr:rowOff>
        </xdr:from>
        <xdr:to>
          <xdr:col>20</xdr:col>
          <xdr:colOff>330200</xdr:colOff>
          <xdr:row>10</xdr:row>
          <xdr:rowOff>190500</xdr:rowOff>
        </xdr:to>
        <xdr:sp macro="" textlink="">
          <xdr:nvSpPr>
            <xdr:cNvPr id="2013" name="Button 989" hidden="1">
              <a:extLst>
                <a:ext uri="{63B3BB69-23CF-44E3-9099-C40C66FF867C}">
                  <a14:compatExt spid="_x0000_s2013"/>
                </a:ext>
                <a:ext uri="{FF2B5EF4-FFF2-40B4-BE49-F238E27FC236}">
                  <a16:creationId xmlns:a16="http://schemas.microsoft.com/office/drawing/2014/main" id="{00000000-0008-0000-0100-0000D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12700</xdr:rowOff>
        </xdr:from>
        <xdr:to>
          <xdr:col>18</xdr:col>
          <xdr:colOff>342900</xdr:colOff>
          <xdr:row>11</xdr:row>
          <xdr:rowOff>190500</xdr:rowOff>
        </xdr:to>
        <xdr:sp macro="" textlink="">
          <xdr:nvSpPr>
            <xdr:cNvPr id="2014" name="Button 990" hidden="1">
              <a:extLst>
                <a:ext uri="{63B3BB69-23CF-44E3-9099-C40C66FF867C}">
                  <a14:compatExt spid="_x0000_s2014"/>
                </a:ext>
                <a:ext uri="{FF2B5EF4-FFF2-40B4-BE49-F238E27FC236}">
                  <a16:creationId xmlns:a16="http://schemas.microsoft.com/office/drawing/2014/main" id="{00000000-0008-0000-0100-0000D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12700</xdr:rowOff>
        </xdr:from>
        <xdr:to>
          <xdr:col>20</xdr:col>
          <xdr:colOff>330200</xdr:colOff>
          <xdr:row>11</xdr:row>
          <xdr:rowOff>190500</xdr:rowOff>
        </xdr:to>
        <xdr:sp macro="" textlink="">
          <xdr:nvSpPr>
            <xdr:cNvPr id="2015" name="Button 991" hidden="1">
              <a:extLst>
                <a:ext uri="{63B3BB69-23CF-44E3-9099-C40C66FF867C}">
                  <a14:compatExt spid="_x0000_s2015"/>
                </a:ext>
                <a:ext uri="{FF2B5EF4-FFF2-40B4-BE49-F238E27FC236}">
                  <a16:creationId xmlns:a16="http://schemas.microsoft.com/office/drawing/2014/main" id="{00000000-0008-0000-0100-0000D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12700</xdr:rowOff>
        </xdr:from>
        <xdr:to>
          <xdr:col>18</xdr:col>
          <xdr:colOff>342900</xdr:colOff>
          <xdr:row>12</xdr:row>
          <xdr:rowOff>190500</xdr:rowOff>
        </xdr:to>
        <xdr:sp macro="" textlink="">
          <xdr:nvSpPr>
            <xdr:cNvPr id="2016" name="Button 992" hidden="1">
              <a:extLst>
                <a:ext uri="{63B3BB69-23CF-44E3-9099-C40C66FF867C}">
                  <a14:compatExt spid="_x0000_s2016"/>
                </a:ext>
                <a:ext uri="{FF2B5EF4-FFF2-40B4-BE49-F238E27FC236}">
                  <a16:creationId xmlns:a16="http://schemas.microsoft.com/office/drawing/2014/main" id="{00000000-0008-0000-0100-0000E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12700</xdr:rowOff>
        </xdr:from>
        <xdr:to>
          <xdr:col>20</xdr:col>
          <xdr:colOff>330200</xdr:colOff>
          <xdr:row>12</xdr:row>
          <xdr:rowOff>190500</xdr:rowOff>
        </xdr:to>
        <xdr:sp macro="" textlink="">
          <xdr:nvSpPr>
            <xdr:cNvPr id="2017" name="Button 993" hidden="1">
              <a:extLst>
                <a:ext uri="{63B3BB69-23CF-44E3-9099-C40C66FF867C}">
                  <a14:compatExt spid="_x0000_s2017"/>
                </a:ext>
                <a:ext uri="{FF2B5EF4-FFF2-40B4-BE49-F238E27FC236}">
                  <a16:creationId xmlns:a16="http://schemas.microsoft.com/office/drawing/2014/main" id="{00000000-0008-0000-0100-0000E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12700</xdr:rowOff>
        </xdr:from>
        <xdr:to>
          <xdr:col>18</xdr:col>
          <xdr:colOff>342900</xdr:colOff>
          <xdr:row>13</xdr:row>
          <xdr:rowOff>190500</xdr:rowOff>
        </xdr:to>
        <xdr:sp macro="" textlink="">
          <xdr:nvSpPr>
            <xdr:cNvPr id="2018" name="Button 994" hidden="1">
              <a:extLst>
                <a:ext uri="{63B3BB69-23CF-44E3-9099-C40C66FF867C}">
                  <a14:compatExt spid="_x0000_s2018"/>
                </a:ext>
                <a:ext uri="{FF2B5EF4-FFF2-40B4-BE49-F238E27FC236}">
                  <a16:creationId xmlns:a16="http://schemas.microsoft.com/office/drawing/2014/main" id="{00000000-0008-0000-0100-0000E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12700</xdr:rowOff>
        </xdr:from>
        <xdr:to>
          <xdr:col>20</xdr:col>
          <xdr:colOff>330200</xdr:colOff>
          <xdr:row>13</xdr:row>
          <xdr:rowOff>190500</xdr:rowOff>
        </xdr:to>
        <xdr:sp macro="" textlink="">
          <xdr:nvSpPr>
            <xdr:cNvPr id="2019" name="Button 995" hidden="1">
              <a:extLst>
                <a:ext uri="{63B3BB69-23CF-44E3-9099-C40C66FF867C}">
                  <a14:compatExt spid="_x0000_s2019"/>
                </a:ext>
                <a:ext uri="{FF2B5EF4-FFF2-40B4-BE49-F238E27FC236}">
                  <a16:creationId xmlns:a16="http://schemas.microsoft.com/office/drawing/2014/main" id="{00000000-0008-0000-0100-0000E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12700</xdr:rowOff>
        </xdr:from>
        <xdr:to>
          <xdr:col>18</xdr:col>
          <xdr:colOff>342900</xdr:colOff>
          <xdr:row>14</xdr:row>
          <xdr:rowOff>190500</xdr:rowOff>
        </xdr:to>
        <xdr:sp macro="" textlink="">
          <xdr:nvSpPr>
            <xdr:cNvPr id="2020" name="Button 996" hidden="1">
              <a:extLst>
                <a:ext uri="{63B3BB69-23CF-44E3-9099-C40C66FF867C}">
                  <a14:compatExt spid="_x0000_s2020"/>
                </a:ext>
                <a:ext uri="{FF2B5EF4-FFF2-40B4-BE49-F238E27FC236}">
                  <a16:creationId xmlns:a16="http://schemas.microsoft.com/office/drawing/2014/main" id="{00000000-0008-0000-0100-0000E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12700</xdr:rowOff>
        </xdr:from>
        <xdr:to>
          <xdr:col>20</xdr:col>
          <xdr:colOff>330200</xdr:colOff>
          <xdr:row>14</xdr:row>
          <xdr:rowOff>190500</xdr:rowOff>
        </xdr:to>
        <xdr:sp macro="" textlink="">
          <xdr:nvSpPr>
            <xdr:cNvPr id="2021" name="Button 997" hidden="1">
              <a:extLst>
                <a:ext uri="{63B3BB69-23CF-44E3-9099-C40C66FF867C}">
                  <a14:compatExt spid="_x0000_s2021"/>
                </a:ext>
                <a:ext uri="{FF2B5EF4-FFF2-40B4-BE49-F238E27FC236}">
                  <a16:creationId xmlns:a16="http://schemas.microsoft.com/office/drawing/2014/main" id="{00000000-0008-0000-0100-0000E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12700</xdr:rowOff>
        </xdr:from>
        <xdr:to>
          <xdr:col>18</xdr:col>
          <xdr:colOff>342900</xdr:colOff>
          <xdr:row>22</xdr:row>
          <xdr:rowOff>190500</xdr:rowOff>
        </xdr:to>
        <xdr:sp macro="" textlink="">
          <xdr:nvSpPr>
            <xdr:cNvPr id="2022" name="Button 998" hidden="1">
              <a:extLst>
                <a:ext uri="{63B3BB69-23CF-44E3-9099-C40C66FF867C}">
                  <a14:compatExt spid="_x0000_s2022"/>
                </a:ext>
                <a:ext uri="{FF2B5EF4-FFF2-40B4-BE49-F238E27FC236}">
                  <a16:creationId xmlns:a16="http://schemas.microsoft.com/office/drawing/2014/main" id="{00000000-0008-0000-0100-0000E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12700</xdr:rowOff>
        </xdr:from>
        <xdr:to>
          <xdr:col>20</xdr:col>
          <xdr:colOff>330200</xdr:colOff>
          <xdr:row>22</xdr:row>
          <xdr:rowOff>190500</xdr:rowOff>
        </xdr:to>
        <xdr:sp macro="" textlink="">
          <xdr:nvSpPr>
            <xdr:cNvPr id="2023" name="Button 999" hidden="1">
              <a:extLst>
                <a:ext uri="{63B3BB69-23CF-44E3-9099-C40C66FF867C}">
                  <a14:compatExt spid="_x0000_s2023"/>
                </a:ext>
                <a:ext uri="{FF2B5EF4-FFF2-40B4-BE49-F238E27FC236}">
                  <a16:creationId xmlns:a16="http://schemas.microsoft.com/office/drawing/2014/main" id="{00000000-0008-0000-0100-0000E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12700</xdr:rowOff>
        </xdr:from>
        <xdr:to>
          <xdr:col>18</xdr:col>
          <xdr:colOff>342900</xdr:colOff>
          <xdr:row>23</xdr:row>
          <xdr:rowOff>190500</xdr:rowOff>
        </xdr:to>
        <xdr:sp macro="" textlink="">
          <xdr:nvSpPr>
            <xdr:cNvPr id="2024" name="Button 1000" hidden="1">
              <a:extLst>
                <a:ext uri="{63B3BB69-23CF-44E3-9099-C40C66FF867C}">
                  <a14:compatExt spid="_x0000_s2024"/>
                </a:ext>
                <a:ext uri="{FF2B5EF4-FFF2-40B4-BE49-F238E27FC236}">
                  <a16:creationId xmlns:a16="http://schemas.microsoft.com/office/drawing/2014/main" id="{00000000-0008-0000-0100-0000E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12700</xdr:rowOff>
        </xdr:from>
        <xdr:to>
          <xdr:col>20</xdr:col>
          <xdr:colOff>330200</xdr:colOff>
          <xdr:row>23</xdr:row>
          <xdr:rowOff>190500</xdr:rowOff>
        </xdr:to>
        <xdr:sp macro="" textlink="">
          <xdr:nvSpPr>
            <xdr:cNvPr id="2025" name="Button 1001" hidden="1">
              <a:extLst>
                <a:ext uri="{63B3BB69-23CF-44E3-9099-C40C66FF867C}">
                  <a14:compatExt spid="_x0000_s2025"/>
                </a:ext>
                <a:ext uri="{FF2B5EF4-FFF2-40B4-BE49-F238E27FC236}">
                  <a16:creationId xmlns:a16="http://schemas.microsoft.com/office/drawing/2014/main" id="{00000000-0008-0000-0100-0000E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12700</xdr:rowOff>
        </xdr:from>
        <xdr:to>
          <xdr:col>18</xdr:col>
          <xdr:colOff>342900</xdr:colOff>
          <xdr:row>24</xdr:row>
          <xdr:rowOff>190500</xdr:rowOff>
        </xdr:to>
        <xdr:sp macro="" textlink="">
          <xdr:nvSpPr>
            <xdr:cNvPr id="2026" name="Button 1002" hidden="1">
              <a:extLst>
                <a:ext uri="{63B3BB69-23CF-44E3-9099-C40C66FF867C}">
                  <a14:compatExt spid="_x0000_s2026"/>
                </a:ext>
                <a:ext uri="{FF2B5EF4-FFF2-40B4-BE49-F238E27FC236}">
                  <a16:creationId xmlns:a16="http://schemas.microsoft.com/office/drawing/2014/main" id="{00000000-0008-0000-0100-0000E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12700</xdr:rowOff>
        </xdr:from>
        <xdr:to>
          <xdr:col>20</xdr:col>
          <xdr:colOff>330200</xdr:colOff>
          <xdr:row>24</xdr:row>
          <xdr:rowOff>190500</xdr:rowOff>
        </xdr:to>
        <xdr:sp macro="" textlink="">
          <xdr:nvSpPr>
            <xdr:cNvPr id="2027" name="Button 1003" hidden="1">
              <a:extLst>
                <a:ext uri="{63B3BB69-23CF-44E3-9099-C40C66FF867C}">
                  <a14:compatExt spid="_x0000_s2027"/>
                </a:ext>
                <a:ext uri="{FF2B5EF4-FFF2-40B4-BE49-F238E27FC236}">
                  <a16:creationId xmlns:a16="http://schemas.microsoft.com/office/drawing/2014/main" id="{00000000-0008-0000-0100-0000E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12700</xdr:rowOff>
        </xdr:from>
        <xdr:to>
          <xdr:col>18</xdr:col>
          <xdr:colOff>342900</xdr:colOff>
          <xdr:row>25</xdr:row>
          <xdr:rowOff>190500</xdr:rowOff>
        </xdr:to>
        <xdr:sp macro="" textlink="">
          <xdr:nvSpPr>
            <xdr:cNvPr id="2028" name="Button 1004" hidden="1">
              <a:extLst>
                <a:ext uri="{63B3BB69-23CF-44E3-9099-C40C66FF867C}">
                  <a14:compatExt spid="_x0000_s2028"/>
                </a:ext>
                <a:ext uri="{FF2B5EF4-FFF2-40B4-BE49-F238E27FC236}">
                  <a16:creationId xmlns:a16="http://schemas.microsoft.com/office/drawing/2014/main" id="{00000000-0008-0000-0100-0000E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12700</xdr:rowOff>
        </xdr:from>
        <xdr:to>
          <xdr:col>20</xdr:col>
          <xdr:colOff>330200</xdr:colOff>
          <xdr:row>25</xdr:row>
          <xdr:rowOff>190500</xdr:rowOff>
        </xdr:to>
        <xdr:sp macro="" textlink="">
          <xdr:nvSpPr>
            <xdr:cNvPr id="2029" name="Button 1005" hidden="1">
              <a:extLst>
                <a:ext uri="{63B3BB69-23CF-44E3-9099-C40C66FF867C}">
                  <a14:compatExt spid="_x0000_s2029"/>
                </a:ext>
                <a:ext uri="{FF2B5EF4-FFF2-40B4-BE49-F238E27FC236}">
                  <a16:creationId xmlns:a16="http://schemas.microsoft.com/office/drawing/2014/main" id="{00000000-0008-0000-0100-0000E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12700</xdr:rowOff>
        </xdr:from>
        <xdr:to>
          <xdr:col>18</xdr:col>
          <xdr:colOff>342900</xdr:colOff>
          <xdr:row>26</xdr:row>
          <xdr:rowOff>190500</xdr:rowOff>
        </xdr:to>
        <xdr:sp macro="" textlink="">
          <xdr:nvSpPr>
            <xdr:cNvPr id="2030" name="Button 1006" hidden="1">
              <a:extLst>
                <a:ext uri="{63B3BB69-23CF-44E3-9099-C40C66FF867C}">
                  <a14:compatExt spid="_x0000_s2030"/>
                </a:ext>
                <a:ext uri="{FF2B5EF4-FFF2-40B4-BE49-F238E27FC236}">
                  <a16:creationId xmlns:a16="http://schemas.microsoft.com/office/drawing/2014/main" id="{00000000-0008-0000-0100-0000E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12700</xdr:rowOff>
        </xdr:from>
        <xdr:to>
          <xdr:col>20</xdr:col>
          <xdr:colOff>330200</xdr:colOff>
          <xdr:row>26</xdr:row>
          <xdr:rowOff>190500</xdr:rowOff>
        </xdr:to>
        <xdr:sp macro="" textlink="">
          <xdr:nvSpPr>
            <xdr:cNvPr id="2031" name="Button 1007" hidden="1">
              <a:extLst>
                <a:ext uri="{63B3BB69-23CF-44E3-9099-C40C66FF867C}">
                  <a14:compatExt spid="_x0000_s2031"/>
                </a:ext>
                <a:ext uri="{FF2B5EF4-FFF2-40B4-BE49-F238E27FC236}">
                  <a16:creationId xmlns:a16="http://schemas.microsoft.com/office/drawing/2014/main" id="{00000000-0008-0000-0100-0000E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12700</xdr:rowOff>
        </xdr:from>
        <xdr:to>
          <xdr:col>18</xdr:col>
          <xdr:colOff>342900</xdr:colOff>
          <xdr:row>27</xdr:row>
          <xdr:rowOff>190500</xdr:rowOff>
        </xdr:to>
        <xdr:sp macro="" textlink="">
          <xdr:nvSpPr>
            <xdr:cNvPr id="2032" name="Button 1008" hidden="1">
              <a:extLst>
                <a:ext uri="{63B3BB69-23CF-44E3-9099-C40C66FF867C}">
                  <a14:compatExt spid="_x0000_s2032"/>
                </a:ext>
                <a:ext uri="{FF2B5EF4-FFF2-40B4-BE49-F238E27FC236}">
                  <a16:creationId xmlns:a16="http://schemas.microsoft.com/office/drawing/2014/main" id="{00000000-0008-0000-0100-0000F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12700</xdr:rowOff>
        </xdr:from>
        <xdr:to>
          <xdr:col>20</xdr:col>
          <xdr:colOff>330200</xdr:colOff>
          <xdr:row>27</xdr:row>
          <xdr:rowOff>190500</xdr:rowOff>
        </xdr:to>
        <xdr:sp macro="" textlink="">
          <xdr:nvSpPr>
            <xdr:cNvPr id="2033" name="Button 1009" hidden="1">
              <a:extLst>
                <a:ext uri="{63B3BB69-23CF-44E3-9099-C40C66FF867C}">
                  <a14:compatExt spid="_x0000_s2033"/>
                </a:ext>
                <a:ext uri="{FF2B5EF4-FFF2-40B4-BE49-F238E27FC236}">
                  <a16:creationId xmlns:a16="http://schemas.microsoft.com/office/drawing/2014/main" id="{00000000-0008-0000-0100-0000F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12700</xdr:rowOff>
        </xdr:from>
        <xdr:to>
          <xdr:col>18</xdr:col>
          <xdr:colOff>342900</xdr:colOff>
          <xdr:row>28</xdr:row>
          <xdr:rowOff>190500</xdr:rowOff>
        </xdr:to>
        <xdr:sp macro="" textlink="">
          <xdr:nvSpPr>
            <xdr:cNvPr id="2034" name="Button 1010" hidden="1">
              <a:extLst>
                <a:ext uri="{63B3BB69-23CF-44E3-9099-C40C66FF867C}">
                  <a14:compatExt spid="_x0000_s2034"/>
                </a:ext>
                <a:ext uri="{FF2B5EF4-FFF2-40B4-BE49-F238E27FC236}">
                  <a16:creationId xmlns:a16="http://schemas.microsoft.com/office/drawing/2014/main" id="{00000000-0008-0000-0100-0000F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12700</xdr:rowOff>
        </xdr:from>
        <xdr:to>
          <xdr:col>20</xdr:col>
          <xdr:colOff>330200</xdr:colOff>
          <xdr:row>28</xdr:row>
          <xdr:rowOff>190500</xdr:rowOff>
        </xdr:to>
        <xdr:sp macro="" textlink="">
          <xdr:nvSpPr>
            <xdr:cNvPr id="2035" name="Button 1011" hidden="1">
              <a:extLst>
                <a:ext uri="{63B3BB69-23CF-44E3-9099-C40C66FF867C}">
                  <a14:compatExt spid="_x0000_s2035"/>
                </a:ext>
                <a:ext uri="{FF2B5EF4-FFF2-40B4-BE49-F238E27FC236}">
                  <a16:creationId xmlns:a16="http://schemas.microsoft.com/office/drawing/2014/main" id="{00000000-0008-0000-0100-0000F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12700</xdr:rowOff>
        </xdr:from>
        <xdr:to>
          <xdr:col>18</xdr:col>
          <xdr:colOff>342900</xdr:colOff>
          <xdr:row>29</xdr:row>
          <xdr:rowOff>190500</xdr:rowOff>
        </xdr:to>
        <xdr:sp macro="" textlink="">
          <xdr:nvSpPr>
            <xdr:cNvPr id="2036" name="Button 1012" hidden="1">
              <a:extLst>
                <a:ext uri="{63B3BB69-23CF-44E3-9099-C40C66FF867C}">
                  <a14:compatExt spid="_x0000_s2036"/>
                </a:ext>
                <a:ext uri="{FF2B5EF4-FFF2-40B4-BE49-F238E27FC236}">
                  <a16:creationId xmlns:a16="http://schemas.microsoft.com/office/drawing/2014/main" id="{00000000-0008-0000-0100-0000F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12700</xdr:rowOff>
        </xdr:from>
        <xdr:to>
          <xdr:col>20</xdr:col>
          <xdr:colOff>330200</xdr:colOff>
          <xdr:row>29</xdr:row>
          <xdr:rowOff>190500</xdr:rowOff>
        </xdr:to>
        <xdr:sp macro="" textlink="">
          <xdr:nvSpPr>
            <xdr:cNvPr id="2037" name="Button 1013" hidden="1">
              <a:extLst>
                <a:ext uri="{63B3BB69-23CF-44E3-9099-C40C66FF867C}">
                  <a14:compatExt spid="_x0000_s2037"/>
                </a:ext>
                <a:ext uri="{FF2B5EF4-FFF2-40B4-BE49-F238E27FC236}">
                  <a16:creationId xmlns:a16="http://schemas.microsoft.com/office/drawing/2014/main" id="{00000000-0008-0000-0100-0000F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12700</xdr:rowOff>
        </xdr:from>
        <xdr:to>
          <xdr:col>18</xdr:col>
          <xdr:colOff>342900</xdr:colOff>
          <xdr:row>30</xdr:row>
          <xdr:rowOff>190500</xdr:rowOff>
        </xdr:to>
        <xdr:sp macro="" textlink="">
          <xdr:nvSpPr>
            <xdr:cNvPr id="2038" name="Button 1014" hidden="1">
              <a:extLst>
                <a:ext uri="{63B3BB69-23CF-44E3-9099-C40C66FF867C}">
                  <a14:compatExt spid="_x0000_s2038"/>
                </a:ext>
                <a:ext uri="{FF2B5EF4-FFF2-40B4-BE49-F238E27FC236}">
                  <a16:creationId xmlns:a16="http://schemas.microsoft.com/office/drawing/2014/main" id="{00000000-0008-0000-0100-0000F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12700</xdr:rowOff>
        </xdr:from>
        <xdr:to>
          <xdr:col>20</xdr:col>
          <xdr:colOff>330200</xdr:colOff>
          <xdr:row>30</xdr:row>
          <xdr:rowOff>190500</xdr:rowOff>
        </xdr:to>
        <xdr:sp macro="" textlink="">
          <xdr:nvSpPr>
            <xdr:cNvPr id="2039" name="Button 1015" hidden="1">
              <a:extLst>
                <a:ext uri="{63B3BB69-23CF-44E3-9099-C40C66FF867C}">
                  <a14:compatExt spid="_x0000_s2039"/>
                </a:ext>
                <a:ext uri="{FF2B5EF4-FFF2-40B4-BE49-F238E27FC236}">
                  <a16:creationId xmlns:a16="http://schemas.microsoft.com/office/drawing/2014/main" id="{00000000-0008-0000-0100-0000F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12700</xdr:rowOff>
        </xdr:from>
        <xdr:to>
          <xdr:col>18</xdr:col>
          <xdr:colOff>342900</xdr:colOff>
          <xdr:row>31</xdr:row>
          <xdr:rowOff>190500</xdr:rowOff>
        </xdr:to>
        <xdr:sp macro="" textlink="">
          <xdr:nvSpPr>
            <xdr:cNvPr id="2040" name="Button 1016" hidden="1">
              <a:extLst>
                <a:ext uri="{63B3BB69-23CF-44E3-9099-C40C66FF867C}">
                  <a14:compatExt spid="_x0000_s2040"/>
                </a:ext>
                <a:ext uri="{FF2B5EF4-FFF2-40B4-BE49-F238E27FC236}">
                  <a16:creationId xmlns:a16="http://schemas.microsoft.com/office/drawing/2014/main" id="{00000000-0008-0000-0100-0000F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12700</xdr:rowOff>
        </xdr:from>
        <xdr:to>
          <xdr:col>20</xdr:col>
          <xdr:colOff>330200</xdr:colOff>
          <xdr:row>31</xdr:row>
          <xdr:rowOff>190500</xdr:rowOff>
        </xdr:to>
        <xdr:sp macro="" textlink="">
          <xdr:nvSpPr>
            <xdr:cNvPr id="2041" name="Button 1017" hidden="1">
              <a:extLst>
                <a:ext uri="{63B3BB69-23CF-44E3-9099-C40C66FF867C}">
                  <a14:compatExt spid="_x0000_s2041"/>
                </a:ext>
                <a:ext uri="{FF2B5EF4-FFF2-40B4-BE49-F238E27FC236}">
                  <a16:creationId xmlns:a16="http://schemas.microsoft.com/office/drawing/2014/main" id="{00000000-0008-0000-0100-0000F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12700</xdr:rowOff>
        </xdr:from>
        <xdr:to>
          <xdr:col>18</xdr:col>
          <xdr:colOff>342900</xdr:colOff>
          <xdr:row>32</xdr:row>
          <xdr:rowOff>190500</xdr:rowOff>
        </xdr:to>
        <xdr:sp macro="" textlink="">
          <xdr:nvSpPr>
            <xdr:cNvPr id="2042" name="Button 1018" hidden="1">
              <a:extLst>
                <a:ext uri="{63B3BB69-23CF-44E3-9099-C40C66FF867C}">
                  <a14:compatExt spid="_x0000_s2042"/>
                </a:ext>
                <a:ext uri="{FF2B5EF4-FFF2-40B4-BE49-F238E27FC236}">
                  <a16:creationId xmlns:a16="http://schemas.microsoft.com/office/drawing/2014/main" id="{00000000-0008-0000-0100-0000F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12700</xdr:rowOff>
        </xdr:from>
        <xdr:to>
          <xdr:col>20</xdr:col>
          <xdr:colOff>330200</xdr:colOff>
          <xdr:row>32</xdr:row>
          <xdr:rowOff>190500</xdr:rowOff>
        </xdr:to>
        <xdr:sp macro="" textlink="">
          <xdr:nvSpPr>
            <xdr:cNvPr id="2043" name="Button 1019" hidden="1">
              <a:extLst>
                <a:ext uri="{63B3BB69-23CF-44E3-9099-C40C66FF867C}">
                  <a14:compatExt spid="_x0000_s2043"/>
                </a:ext>
                <a:ext uri="{FF2B5EF4-FFF2-40B4-BE49-F238E27FC236}">
                  <a16:creationId xmlns:a16="http://schemas.microsoft.com/office/drawing/2014/main" id="{00000000-0008-0000-0100-0000F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12700</xdr:rowOff>
        </xdr:from>
        <xdr:to>
          <xdr:col>18</xdr:col>
          <xdr:colOff>342900</xdr:colOff>
          <xdr:row>33</xdr:row>
          <xdr:rowOff>190500</xdr:rowOff>
        </xdr:to>
        <xdr:sp macro="" textlink="">
          <xdr:nvSpPr>
            <xdr:cNvPr id="2044" name="Button 1020" hidden="1">
              <a:extLst>
                <a:ext uri="{63B3BB69-23CF-44E3-9099-C40C66FF867C}">
                  <a14:compatExt spid="_x0000_s2044"/>
                </a:ext>
                <a:ext uri="{FF2B5EF4-FFF2-40B4-BE49-F238E27FC236}">
                  <a16:creationId xmlns:a16="http://schemas.microsoft.com/office/drawing/2014/main" id="{00000000-0008-0000-0100-0000F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12700</xdr:rowOff>
        </xdr:from>
        <xdr:to>
          <xdr:col>20</xdr:col>
          <xdr:colOff>330200</xdr:colOff>
          <xdr:row>33</xdr:row>
          <xdr:rowOff>190500</xdr:rowOff>
        </xdr:to>
        <xdr:sp macro="" textlink="">
          <xdr:nvSpPr>
            <xdr:cNvPr id="2045" name="Button 1021" hidden="1">
              <a:extLst>
                <a:ext uri="{63B3BB69-23CF-44E3-9099-C40C66FF867C}">
                  <a14:compatExt spid="_x0000_s2045"/>
                </a:ext>
                <a:ext uri="{FF2B5EF4-FFF2-40B4-BE49-F238E27FC236}">
                  <a16:creationId xmlns:a16="http://schemas.microsoft.com/office/drawing/2014/main" id="{00000000-0008-0000-0100-0000F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12700</xdr:rowOff>
        </xdr:from>
        <xdr:to>
          <xdr:col>18</xdr:col>
          <xdr:colOff>342900</xdr:colOff>
          <xdr:row>34</xdr:row>
          <xdr:rowOff>190500</xdr:rowOff>
        </xdr:to>
        <xdr:sp macro="" textlink="">
          <xdr:nvSpPr>
            <xdr:cNvPr id="2046" name="Button 1022" hidden="1">
              <a:extLst>
                <a:ext uri="{63B3BB69-23CF-44E3-9099-C40C66FF867C}">
                  <a14:compatExt spid="_x0000_s2046"/>
                </a:ext>
                <a:ext uri="{FF2B5EF4-FFF2-40B4-BE49-F238E27FC236}">
                  <a16:creationId xmlns:a16="http://schemas.microsoft.com/office/drawing/2014/main" id="{00000000-0008-0000-0100-0000F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12700</xdr:rowOff>
        </xdr:from>
        <xdr:to>
          <xdr:col>20</xdr:col>
          <xdr:colOff>330200</xdr:colOff>
          <xdr:row>34</xdr:row>
          <xdr:rowOff>190500</xdr:rowOff>
        </xdr:to>
        <xdr:sp macro="" textlink="">
          <xdr:nvSpPr>
            <xdr:cNvPr id="2047" name="Button 1023" hidden="1">
              <a:extLst>
                <a:ext uri="{63B3BB69-23CF-44E3-9099-C40C66FF867C}">
                  <a14:compatExt spid="_x0000_s2047"/>
                </a:ext>
                <a:ext uri="{FF2B5EF4-FFF2-40B4-BE49-F238E27FC236}">
                  <a16:creationId xmlns:a16="http://schemas.microsoft.com/office/drawing/2014/main" id="{00000000-0008-0000-0100-0000F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12700</xdr:rowOff>
        </xdr:from>
        <xdr:to>
          <xdr:col>18</xdr:col>
          <xdr:colOff>342900</xdr:colOff>
          <xdr:row>35</xdr:row>
          <xdr:rowOff>190500</xdr:rowOff>
        </xdr:to>
        <xdr:sp macro="" textlink="">
          <xdr:nvSpPr>
            <xdr:cNvPr id="3072" name="Button 1024" hidden="1">
              <a:extLst>
                <a:ext uri="{63B3BB69-23CF-44E3-9099-C40C66FF867C}">
                  <a14:compatExt spid="_x0000_s3072"/>
                </a:ext>
                <a:ext uri="{FF2B5EF4-FFF2-40B4-BE49-F238E27FC236}">
                  <a16:creationId xmlns:a16="http://schemas.microsoft.com/office/drawing/2014/main" id="{00000000-0008-0000-0100-00000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12700</xdr:rowOff>
        </xdr:from>
        <xdr:to>
          <xdr:col>20</xdr:col>
          <xdr:colOff>330200</xdr:colOff>
          <xdr:row>35</xdr:row>
          <xdr:rowOff>190500</xdr:rowOff>
        </xdr:to>
        <xdr:sp macro="" textlink="">
          <xdr:nvSpPr>
            <xdr:cNvPr id="3073" name="Button 1025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12700</xdr:rowOff>
        </xdr:from>
        <xdr:to>
          <xdr:col>18</xdr:col>
          <xdr:colOff>342900</xdr:colOff>
          <xdr:row>36</xdr:row>
          <xdr:rowOff>190500</xdr:rowOff>
        </xdr:to>
        <xdr:sp macro="" textlink="">
          <xdr:nvSpPr>
            <xdr:cNvPr id="3074" name="Button 1026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12700</xdr:rowOff>
        </xdr:from>
        <xdr:to>
          <xdr:col>20</xdr:col>
          <xdr:colOff>330200</xdr:colOff>
          <xdr:row>36</xdr:row>
          <xdr:rowOff>190500</xdr:rowOff>
        </xdr:to>
        <xdr:sp macro="" textlink="">
          <xdr:nvSpPr>
            <xdr:cNvPr id="3075" name="Button 1027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12700</xdr:rowOff>
        </xdr:from>
        <xdr:to>
          <xdr:col>18</xdr:col>
          <xdr:colOff>342900</xdr:colOff>
          <xdr:row>15</xdr:row>
          <xdr:rowOff>190500</xdr:rowOff>
        </xdr:to>
        <xdr:sp macro="" textlink="">
          <xdr:nvSpPr>
            <xdr:cNvPr id="3076" name="Button 1028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12700</xdr:rowOff>
        </xdr:from>
        <xdr:to>
          <xdr:col>20</xdr:col>
          <xdr:colOff>330200</xdr:colOff>
          <xdr:row>15</xdr:row>
          <xdr:rowOff>190500</xdr:rowOff>
        </xdr:to>
        <xdr:sp macro="" textlink="">
          <xdr:nvSpPr>
            <xdr:cNvPr id="3077" name="Button 1029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12700</xdr:rowOff>
        </xdr:from>
        <xdr:to>
          <xdr:col>18</xdr:col>
          <xdr:colOff>342900</xdr:colOff>
          <xdr:row>16</xdr:row>
          <xdr:rowOff>190500</xdr:rowOff>
        </xdr:to>
        <xdr:sp macro="" textlink="">
          <xdr:nvSpPr>
            <xdr:cNvPr id="3078" name="Button 1030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12700</xdr:rowOff>
        </xdr:from>
        <xdr:to>
          <xdr:col>20</xdr:col>
          <xdr:colOff>330200</xdr:colOff>
          <xdr:row>16</xdr:row>
          <xdr:rowOff>190500</xdr:rowOff>
        </xdr:to>
        <xdr:sp macro="" textlink="">
          <xdr:nvSpPr>
            <xdr:cNvPr id="3079" name="Button 103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12700</xdr:rowOff>
        </xdr:from>
        <xdr:to>
          <xdr:col>18</xdr:col>
          <xdr:colOff>342900</xdr:colOff>
          <xdr:row>17</xdr:row>
          <xdr:rowOff>190500</xdr:rowOff>
        </xdr:to>
        <xdr:sp macro="" textlink="">
          <xdr:nvSpPr>
            <xdr:cNvPr id="3080" name="Button 1032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12700</xdr:rowOff>
        </xdr:from>
        <xdr:to>
          <xdr:col>20</xdr:col>
          <xdr:colOff>330200</xdr:colOff>
          <xdr:row>17</xdr:row>
          <xdr:rowOff>190500</xdr:rowOff>
        </xdr:to>
        <xdr:sp macro="" textlink="">
          <xdr:nvSpPr>
            <xdr:cNvPr id="3081" name="Button 1033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12700</xdr:rowOff>
        </xdr:from>
        <xdr:to>
          <xdr:col>18</xdr:col>
          <xdr:colOff>342900</xdr:colOff>
          <xdr:row>18</xdr:row>
          <xdr:rowOff>190500</xdr:rowOff>
        </xdr:to>
        <xdr:sp macro="" textlink="">
          <xdr:nvSpPr>
            <xdr:cNvPr id="3082" name="Button 1034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12700</xdr:rowOff>
        </xdr:from>
        <xdr:to>
          <xdr:col>20</xdr:col>
          <xdr:colOff>330200</xdr:colOff>
          <xdr:row>18</xdr:row>
          <xdr:rowOff>190500</xdr:rowOff>
        </xdr:to>
        <xdr:sp macro="" textlink="">
          <xdr:nvSpPr>
            <xdr:cNvPr id="3083" name="Button 1035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4</xdr:row>
          <xdr:rowOff>12700</xdr:rowOff>
        </xdr:from>
        <xdr:to>
          <xdr:col>21</xdr:col>
          <xdr:colOff>342900</xdr:colOff>
          <xdr:row>4</xdr:row>
          <xdr:rowOff>190500</xdr:rowOff>
        </xdr:to>
        <xdr:sp macro="" textlink="">
          <xdr:nvSpPr>
            <xdr:cNvPr id="3084" name="Button 1036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4</xdr:row>
          <xdr:rowOff>12700</xdr:rowOff>
        </xdr:from>
        <xdr:to>
          <xdr:col>23</xdr:col>
          <xdr:colOff>330200</xdr:colOff>
          <xdr:row>4</xdr:row>
          <xdr:rowOff>190500</xdr:rowOff>
        </xdr:to>
        <xdr:sp macro="" textlink="">
          <xdr:nvSpPr>
            <xdr:cNvPr id="3085" name="Button 1037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5</xdr:row>
          <xdr:rowOff>12700</xdr:rowOff>
        </xdr:from>
        <xdr:to>
          <xdr:col>21</xdr:col>
          <xdr:colOff>342900</xdr:colOff>
          <xdr:row>5</xdr:row>
          <xdr:rowOff>190500</xdr:rowOff>
        </xdr:to>
        <xdr:sp macro="" textlink="">
          <xdr:nvSpPr>
            <xdr:cNvPr id="3086" name="Button 1038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5</xdr:row>
          <xdr:rowOff>12700</xdr:rowOff>
        </xdr:from>
        <xdr:to>
          <xdr:col>23</xdr:col>
          <xdr:colOff>330200</xdr:colOff>
          <xdr:row>5</xdr:row>
          <xdr:rowOff>190500</xdr:rowOff>
        </xdr:to>
        <xdr:sp macro="" textlink="">
          <xdr:nvSpPr>
            <xdr:cNvPr id="3087" name="Button 1039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6</xdr:row>
          <xdr:rowOff>12700</xdr:rowOff>
        </xdr:from>
        <xdr:to>
          <xdr:col>21</xdr:col>
          <xdr:colOff>342900</xdr:colOff>
          <xdr:row>6</xdr:row>
          <xdr:rowOff>190500</xdr:rowOff>
        </xdr:to>
        <xdr:sp macro="" textlink="">
          <xdr:nvSpPr>
            <xdr:cNvPr id="3088" name="Button 1040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6</xdr:row>
          <xdr:rowOff>12700</xdr:rowOff>
        </xdr:from>
        <xdr:to>
          <xdr:col>23</xdr:col>
          <xdr:colOff>330200</xdr:colOff>
          <xdr:row>6</xdr:row>
          <xdr:rowOff>190500</xdr:rowOff>
        </xdr:to>
        <xdr:sp macro="" textlink="">
          <xdr:nvSpPr>
            <xdr:cNvPr id="3089" name="Button 1041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7</xdr:row>
          <xdr:rowOff>12700</xdr:rowOff>
        </xdr:from>
        <xdr:to>
          <xdr:col>21</xdr:col>
          <xdr:colOff>342900</xdr:colOff>
          <xdr:row>7</xdr:row>
          <xdr:rowOff>190500</xdr:rowOff>
        </xdr:to>
        <xdr:sp macro="" textlink="">
          <xdr:nvSpPr>
            <xdr:cNvPr id="3090" name="Button 1042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7</xdr:row>
          <xdr:rowOff>12700</xdr:rowOff>
        </xdr:from>
        <xdr:to>
          <xdr:col>23</xdr:col>
          <xdr:colOff>330200</xdr:colOff>
          <xdr:row>7</xdr:row>
          <xdr:rowOff>190500</xdr:rowOff>
        </xdr:to>
        <xdr:sp macro="" textlink="">
          <xdr:nvSpPr>
            <xdr:cNvPr id="3091" name="Button 1043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8</xdr:row>
          <xdr:rowOff>12700</xdr:rowOff>
        </xdr:from>
        <xdr:to>
          <xdr:col>21</xdr:col>
          <xdr:colOff>342900</xdr:colOff>
          <xdr:row>8</xdr:row>
          <xdr:rowOff>190500</xdr:rowOff>
        </xdr:to>
        <xdr:sp macro="" textlink="">
          <xdr:nvSpPr>
            <xdr:cNvPr id="3092" name="Button 1044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8</xdr:row>
          <xdr:rowOff>12700</xdr:rowOff>
        </xdr:from>
        <xdr:to>
          <xdr:col>23</xdr:col>
          <xdr:colOff>330200</xdr:colOff>
          <xdr:row>8</xdr:row>
          <xdr:rowOff>190500</xdr:rowOff>
        </xdr:to>
        <xdr:sp macro="" textlink="">
          <xdr:nvSpPr>
            <xdr:cNvPr id="3093" name="Button 1045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9</xdr:row>
          <xdr:rowOff>12700</xdr:rowOff>
        </xdr:from>
        <xdr:to>
          <xdr:col>21</xdr:col>
          <xdr:colOff>342900</xdr:colOff>
          <xdr:row>9</xdr:row>
          <xdr:rowOff>190500</xdr:rowOff>
        </xdr:to>
        <xdr:sp macro="" textlink="">
          <xdr:nvSpPr>
            <xdr:cNvPr id="3094" name="Button 1046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9</xdr:row>
          <xdr:rowOff>12700</xdr:rowOff>
        </xdr:from>
        <xdr:to>
          <xdr:col>23</xdr:col>
          <xdr:colOff>330200</xdr:colOff>
          <xdr:row>9</xdr:row>
          <xdr:rowOff>190500</xdr:rowOff>
        </xdr:to>
        <xdr:sp macro="" textlink="">
          <xdr:nvSpPr>
            <xdr:cNvPr id="3095" name="Button 1047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10</xdr:row>
          <xdr:rowOff>12700</xdr:rowOff>
        </xdr:from>
        <xdr:to>
          <xdr:col>21</xdr:col>
          <xdr:colOff>342900</xdr:colOff>
          <xdr:row>10</xdr:row>
          <xdr:rowOff>190500</xdr:rowOff>
        </xdr:to>
        <xdr:sp macro="" textlink="">
          <xdr:nvSpPr>
            <xdr:cNvPr id="3096" name="Button 1048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10</xdr:row>
          <xdr:rowOff>12700</xdr:rowOff>
        </xdr:from>
        <xdr:to>
          <xdr:col>23</xdr:col>
          <xdr:colOff>330200</xdr:colOff>
          <xdr:row>10</xdr:row>
          <xdr:rowOff>190500</xdr:rowOff>
        </xdr:to>
        <xdr:sp macro="" textlink="">
          <xdr:nvSpPr>
            <xdr:cNvPr id="3097" name="Button 1049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11</xdr:row>
          <xdr:rowOff>12700</xdr:rowOff>
        </xdr:from>
        <xdr:to>
          <xdr:col>21</xdr:col>
          <xdr:colOff>342900</xdr:colOff>
          <xdr:row>11</xdr:row>
          <xdr:rowOff>190500</xdr:rowOff>
        </xdr:to>
        <xdr:sp macro="" textlink="">
          <xdr:nvSpPr>
            <xdr:cNvPr id="3098" name="Button 1050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11</xdr:row>
          <xdr:rowOff>12700</xdr:rowOff>
        </xdr:from>
        <xdr:to>
          <xdr:col>23</xdr:col>
          <xdr:colOff>330200</xdr:colOff>
          <xdr:row>11</xdr:row>
          <xdr:rowOff>190500</xdr:rowOff>
        </xdr:to>
        <xdr:sp macro="" textlink="">
          <xdr:nvSpPr>
            <xdr:cNvPr id="3099" name="Button 1051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12</xdr:row>
          <xdr:rowOff>12700</xdr:rowOff>
        </xdr:from>
        <xdr:to>
          <xdr:col>21</xdr:col>
          <xdr:colOff>342900</xdr:colOff>
          <xdr:row>12</xdr:row>
          <xdr:rowOff>190500</xdr:rowOff>
        </xdr:to>
        <xdr:sp macro="" textlink="">
          <xdr:nvSpPr>
            <xdr:cNvPr id="3100" name="Button 1052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12</xdr:row>
          <xdr:rowOff>12700</xdr:rowOff>
        </xdr:from>
        <xdr:to>
          <xdr:col>23</xdr:col>
          <xdr:colOff>330200</xdr:colOff>
          <xdr:row>12</xdr:row>
          <xdr:rowOff>190500</xdr:rowOff>
        </xdr:to>
        <xdr:sp macro="" textlink="">
          <xdr:nvSpPr>
            <xdr:cNvPr id="3101" name="Button 1053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13</xdr:row>
          <xdr:rowOff>12700</xdr:rowOff>
        </xdr:from>
        <xdr:to>
          <xdr:col>21</xdr:col>
          <xdr:colOff>342900</xdr:colOff>
          <xdr:row>13</xdr:row>
          <xdr:rowOff>190500</xdr:rowOff>
        </xdr:to>
        <xdr:sp macro="" textlink="">
          <xdr:nvSpPr>
            <xdr:cNvPr id="3102" name="Button 1054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13</xdr:row>
          <xdr:rowOff>12700</xdr:rowOff>
        </xdr:from>
        <xdr:to>
          <xdr:col>23</xdr:col>
          <xdr:colOff>330200</xdr:colOff>
          <xdr:row>13</xdr:row>
          <xdr:rowOff>190500</xdr:rowOff>
        </xdr:to>
        <xdr:sp macro="" textlink="">
          <xdr:nvSpPr>
            <xdr:cNvPr id="3103" name="Button 1055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14</xdr:row>
          <xdr:rowOff>12700</xdr:rowOff>
        </xdr:from>
        <xdr:to>
          <xdr:col>21</xdr:col>
          <xdr:colOff>342900</xdr:colOff>
          <xdr:row>14</xdr:row>
          <xdr:rowOff>190500</xdr:rowOff>
        </xdr:to>
        <xdr:sp macro="" textlink="">
          <xdr:nvSpPr>
            <xdr:cNvPr id="3104" name="Button 1056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14</xdr:row>
          <xdr:rowOff>12700</xdr:rowOff>
        </xdr:from>
        <xdr:to>
          <xdr:col>23</xdr:col>
          <xdr:colOff>330200</xdr:colOff>
          <xdr:row>14</xdr:row>
          <xdr:rowOff>190500</xdr:rowOff>
        </xdr:to>
        <xdr:sp macro="" textlink="">
          <xdr:nvSpPr>
            <xdr:cNvPr id="3105" name="Button 1057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22</xdr:row>
          <xdr:rowOff>12700</xdr:rowOff>
        </xdr:from>
        <xdr:to>
          <xdr:col>21</xdr:col>
          <xdr:colOff>342900</xdr:colOff>
          <xdr:row>22</xdr:row>
          <xdr:rowOff>190500</xdr:rowOff>
        </xdr:to>
        <xdr:sp macro="" textlink="">
          <xdr:nvSpPr>
            <xdr:cNvPr id="3106" name="Button 1058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22</xdr:row>
          <xdr:rowOff>12700</xdr:rowOff>
        </xdr:from>
        <xdr:to>
          <xdr:col>23</xdr:col>
          <xdr:colOff>330200</xdr:colOff>
          <xdr:row>22</xdr:row>
          <xdr:rowOff>190500</xdr:rowOff>
        </xdr:to>
        <xdr:sp macro="" textlink="">
          <xdr:nvSpPr>
            <xdr:cNvPr id="3107" name="Button 1059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23</xdr:row>
          <xdr:rowOff>12700</xdr:rowOff>
        </xdr:from>
        <xdr:to>
          <xdr:col>21</xdr:col>
          <xdr:colOff>342900</xdr:colOff>
          <xdr:row>23</xdr:row>
          <xdr:rowOff>190500</xdr:rowOff>
        </xdr:to>
        <xdr:sp macro="" textlink="">
          <xdr:nvSpPr>
            <xdr:cNvPr id="3108" name="Button 1060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23</xdr:row>
          <xdr:rowOff>12700</xdr:rowOff>
        </xdr:from>
        <xdr:to>
          <xdr:col>23</xdr:col>
          <xdr:colOff>330200</xdr:colOff>
          <xdr:row>23</xdr:row>
          <xdr:rowOff>190500</xdr:rowOff>
        </xdr:to>
        <xdr:sp macro="" textlink="">
          <xdr:nvSpPr>
            <xdr:cNvPr id="3109" name="Button 1061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24</xdr:row>
          <xdr:rowOff>12700</xdr:rowOff>
        </xdr:from>
        <xdr:to>
          <xdr:col>21</xdr:col>
          <xdr:colOff>342900</xdr:colOff>
          <xdr:row>24</xdr:row>
          <xdr:rowOff>190500</xdr:rowOff>
        </xdr:to>
        <xdr:sp macro="" textlink="">
          <xdr:nvSpPr>
            <xdr:cNvPr id="3110" name="Button 1062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24</xdr:row>
          <xdr:rowOff>12700</xdr:rowOff>
        </xdr:from>
        <xdr:to>
          <xdr:col>23</xdr:col>
          <xdr:colOff>330200</xdr:colOff>
          <xdr:row>24</xdr:row>
          <xdr:rowOff>190500</xdr:rowOff>
        </xdr:to>
        <xdr:sp macro="" textlink="">
          <xdr:nvSpPr>
            <xdr:cNvPr id="3111" name="Button 1063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25</xdr:row>
          <xdr:rowOff>12700</xdr:rowOff>
        </xdr:from>
        <xdr:to>
          <xdr:col>21</xdr:col>
          <xdr:colOff>342900</xdr:colOff>
          <xdr:row>25</xdr:row>
          <xdr:rowOff>190500</xdr:rowOff>
        </xdr:to>
        <xdr:sp macro="" textlink="">
          <xdr:nvSpPr>
            <xdr:cNvPr id="3112" name="Button 1064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25</xdr:row>
          <xdr:rowOff>12700</xdr:rowOff>
        </xdr:from>
        <xdr:to>
          <xdr:col>23</xdr:col>
          <xdr:colOff>330200</xdr:colOff>
          <xdr:row>25</xdr:row>
          <xdr:rowOff>190500</xdr:rowOff>
        </xdr:to>
        <xdr:sp macro="" textlink="">
          <xdr:nvSpPr>
            <xdr:cNvPr id="3113" name="Button 1065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26</xdr:row>
          <xdr:rowOff>12700</xdr:rowOff>
        </xdr:from>
        <xdr:to>
          <xdr:col>21</xdr:col>
          <xdr:colOff>342900</xdr:colOff>
          <xdr:row>26</xdr:row>
          <xdr:rowOff>190500</xdr:rowOff>
        </xdr:to>
        <xdr:sp macro="" textlink="">
          <xdr:nvSpPr>
            <xdr:cNvPr id="3114" name="Button 1066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26</xdr:row>
          <xdr:rowOff>12700</xdr:rowOff>
        </xdr:from>
        <xdr:to>
          <xdr:col>23</xdr:col>
          <xdr:colOff>330200</xdr:colOff>
          <xdr:row>26</xdr:row>
          <xdr:rowOff>190500</xdr:rowOff>
        </xdr:to>
        <xdr:sp macro="" textlink="">
          <xdr:nvSpPr>
            <xdr:cNvPr id="3115" name="Button 1067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27</xdr:row>
          <xdr:rowOff>12700</xdr:rowOff>
        </xdr:from>
        <xdr:to>
          <xdr:col>21</xdr:col>
          <xdr:colOff>342900</xdr:colOff>
          <xdr:row>27</xdr:row>
          <xdr:rowOff>190500</xdr:rowOff>
        </xdr:to>
        <xdr:sp macro="" textlink="">
          <xdr:nvSpPr>
            <xdr:cNvPr id="3116" name="Button 1068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27</xdr:row>
          <xdr:rowOff>12700</xdr:rowOff>
        </xdr:from>
        <xdr:to>
          <xdr:col>23</xdr:col>
          <xdr:colOff>330200</xdr:colOff>
          <xdr:row>27</xdr:row>
          <xdr:rowOff>190500</xdr:rowOff>
        </xdr:to>
        <xdr:sp macro="" textlink="">
          <xdr:nvSpPr>
            <xdr:cNvPr id="3117" name="Button 1069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28</xdr:row>
          <xdr:rowOff>12700</xdr:rowOff>
        </xdr:from>
        <xdr:to>
          <xdr:col>21</xdr:col>
          <xdr:colOff>342900</xdr:colOff>
          <xdr:row>28</xdr:row>
          <xdr:rowOff>190500</xdr:rowOff>
        </xdr:to>
        <xdr:sp macro="" textlink="">
          <xdr:nvSpPr>
            <xdr:cNvPr id="3118" name="Button 1070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28</xdr:row>
          <xdr:rowOff>12700</xdr:rowOff>
        </xdr:from>
        <xdr:to>
          <xdr:col>23</xdr:col>
          <xdr:colOff>330200</xdr:colOff>
          <xdr:row>28</xdr:row>
          <xdr:rowOff>190500</xdr:rowOff>
        </xdr:to>
        <xdr:sp macro="" textlink="">
          <xdr:nvSpPr>
            <xdr:cNvPr id="3119" name="Button 1071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29</xdr:row>
          <xdr:rowOff>12700</xdr:rowOff>
        </xdr:from>
        <xdr:to>
          <xdr:col>21</xdr:col>
          <xdr:colOff>342900</xdr:colOff>
          <xdr:row>29</xdr:row>
          <xdr:rowOff>190500</xdr:rowOff>
        </xdr:to>
        <xdr:sp macro="" textlink="">
          <xdr:nvSpPr>
            <xdr:cNvPr id="3120" name="Button 1072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29</xdr:row>
          <xdr:rowOff>12700</xdr:rowOff>
        </xdr:from>
        <xdr:to>
          <xdr:col>23</xdr:col>
          <xdr:colOff>330200</xdr:colOff>
          <xdr:row>29</xdr:row>
          <xdr:rowOff>190500</xdr:rowOff>
        </xdr:to>
        <xdr:sp macro="" textlink="">
          <xdr:nvSpPr>
            <xdr:cNvPr id="3121" name="Button 1073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30</xdr:row>
          <xdr:rowOff>12700</xdr:rowOff>
        </xdr:from>
        <xdr:to>
          <xdr:col>21</xdr:col>
          <xdr:colOff>342900</xdr:colOff>
          <xdr:row>30</xdr:row>
          <xdr:rowOff>190500</xdr:rowOff>
        </xdr:to>
        <xdr:sp macro="" textlink="">
          <xdr:nvSpPr>
            <xdr:cNvPr id="3122" name="Button 1074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30</xdr:row>
          <xdr:rowOff>12700</xdr:rowOff>
        </xdr:from>
        <xdr:to>
          <xdr:col>23</xdr:col>
          <xdr:colOff>330200</xdr:colOff>
          <xdr:row>30</xdr:row>
          <xdr:rowOff>190500</xdr:rowOff>
        </xdr:to>
        <xdr:sp macro="" textlink="">
          <xdr:nvSpPr>
            <xdr:cNvPr id="3123" name="Button 1075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31</xdr:row>
          <xdr:rowOff>12700</xdr:rowOff>
        </xdr:from>
        <xdr:to>
          <xdr:col>21</xdr:col>
          <xdr:colOff>342900</xdr:colOff>
          <xdr:row>31</xdr:row>
          <xdr:rowOff>190500</xdr:rowOff>
        </xdr:to>
        <xdr:sp macro="" textlink="">
          <xdr:nvSpPr>
            <xdr:cNvPr id="3124" name="Button 1076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31</xdr:row>
          <xdr:rowOff>12700</xdr:rowOff>
        </xdr:from>
        <xdr:to>
          <xdr:col>23</xdr:col>
          <xdr:colOff>330200</xdr:colOff>
          <xdr:row>31</xdr:row>
          <xdr:rowOff>190500</xdr:rowOff>
        </xdr:to>
        <xdr:sp macro="" textlink="">
          <xdr:nvSpPr>
            <xdr:cNvPr id="3125" name="Button 1077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32</xdr:row>
          <xdr:rowOff>12700</xdr:rowOff>
        </xdr:from>
        <xdr:to>
          <xdr:col>21</xdr:col>
          <xdr:colOff>342900</xdr:colOff>
          <xdr:row>32</xdr:row>
          <xdr:rowOff>190500</xdr:rowOff>
        </xdr:to>
        <xdr:sp macro="" textlink="">
          <xdr:nvSpPr>
            <xdr:cNvPr id="3126" name="Button 1078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32</xdr:row>
          <xdr:rowOff>12700</xdr:rowOff>
        </xdr:from>
        <xdr:to>
          <xdr:col>23</xdr:col>
          <xdr:colOff>330200</xdr:colOff>
          <xdr:row>32</xdr:row>
          <xdr:rowOff>190500</xdr:rowOff>
        </xdr:to>
        <xdr:sp macro="" textlink="">
          <xdr:nvSpPr>
            <xdr:cNvPr id="3127" name="Button 1079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33</xdr:row>
          <xdr:rowOff>12700</xdr:rowOff>
        </xdr:from>
        <xdr:to>
          <xdr:col>21</xdr:col>
          <xdr:colOff>342900</xdr:colOff>
          <xdr:row>33</xdr:row>
          <xdr:rowOff>190500</xdr:rowOff>
        </xdr:to>
        <xdr:sp macro="" textlink="">
          <xdr:nvSpPr>
            <xdr:cNvPr id="3128" name="Button 1080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33</xdr:row>
          <xdr:rowOff>12700</xdr:rowOff>
        </xdr:from>
        <xdr:to>
          <xdr:col>23</xdr:col>
          <xdr:colOff>330200</xdr:colOff>
          <xdr:row>33</xdr:row>
          <xdr:rowOff>190500</xdr:rowOff>
        </xdr:to>
        <xdr:sp macro="" textlink="">
          <xdr:nvSpPr>
            <xdr:cNvPr id="3129" name="Button 108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34</xdr:row>
          <xdr:rowOff>12700</xdr:rowOff>
        </xdr:from>
        <xdr:to>
          <xdr:col>21</xdr:col>
          <xdr:colOff>342900</xdr:colOff>
          <xdr:row>34</xdr:row>
          <xdr:rowOff>190500</xdr:rowOff>
        </xdr:to>
        <xdr:sp macro="" textlink="">
          <xdr:nvSpPr>
            <xdr:cNvPr id="3130" name="Button 1082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34</xdr:row>
          <xdr:rowOff>12700</xdr:rowOff>
        </xdr:from>
        <xdr:to>
          <xdr:col>23</xdr:col>
          <xdr:colOff>330200</xdr:colOff>
          <xdr:row>34</xdr:row>
          <xdr:rowOff>190500</xdr:rowOff>
        </xdr:to>
        <xdr:sp macro="" textlink="">
          <xdr:nvSpPr>
            <xdr:cNvPr id="3131" name="Button 1083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35</xdr:row>
          <xdr:rowOff>12700</xdr:rowOff>
        </xdr:from>
        <xdr:to>
          <xdr:col>21</xdr:col>
          <xdr:colOff>342900</xdr:colOff>
          <xdr:row>35</xdr:row>
          <xdr:rowOff>190500</xdr:rowOff>
        </xdr:to>
        <xdr:sp macro="" textlink="">
          <xdr:nvSpPr>
            <xdr:cNvPr id="3132" name="Button 1084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35</xdr:row>
          <xdr:rowOff>12700</xdr:rowOff>
        </xdr:from>
        <xdr:to>
          <xdr:col>23</xdr:col>
          <xdr:colOff>330200</xdr:colOff>
          <xdr:row>35</xdr:row>
          <xdr:rowOff>190500</xdr:rowOff>
        </xdr:to>
        <xdr:sp macro="" textlink="">
          <xdr:nvSpPr>
            <xdr:cNvPr id="3133" name="Button 1085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36</xdr:row>
          <xdr:rowOff>12700</xdr:rowOff>
        </xdr:from>
        <xdr:to>
          <xdr:col>21</xdr:col>
          <xdr:colOff>342900</xdr:colOff>
          <xdr:row>36</xdr:row>
          <xdr:rowOff>190500</xdr:rowOff>
        </xdr:to>
        <xdr:sp macro="" textlink="">
          <xdr:nvSpPr>
            <xdr:cNvPr id="3134" name="Button 1086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36</xdr:row>
          <xdr:rowOff>12700</xdr:rowOff>
        </xdr:from>
        <xdr:to>
          <xdr:col>23</xdr:col>
          <xdr:colOff>330200</xdr:colOff>
          <xdr:row>36</xdr:row>
          <xdr:rowOff>190500</xdr:rowOff>
        </xdr:to>
        <xdr:sp macro="" textlink="">
          <xdr:nvSpPr>
            <xdr:cNvPr id="3135" name="Button 1087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15</xdr:row>
          <xdr:rowOff>12700</xdr:rowOff>
        </xdr:from>
        <xdr:to>
          <xdr:col>21</xdr:col>
          <xdr:colOff>342900</xdr:colOff>
          <xdr:row>15</xdr:row>
          <xdr:rowOff>190500</xdr:rowOff>
        </xdr:to>
        <xdr:sp macro="" textlink="">
          <xdr:nvSpPr>
            <xdr:cNvPr id="3136" name="Button 1088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15</xdr:row>
          <xdr:rowOff>12700</xdr:rowOff>
        </xdr:from>
        <xdr:to>
          <xdr:col>23</xdr:col>
          <xdr:colOff>330200</xdr:colOff>
          <xdr:row>15</xdr:row>
          <xdr:rowOff>190500</xdr:rowOff>
        </xdr:to>
        <xdr:sp macro="" textlink="">
          <xdr:nvSpPr>
            <xdr:cNvPr id="3137" name="Button 1089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16</xdr:row>
          <xdr:rowOff>12700</xdr:rowOff>
        </xdr:from>
        <xdr:to>
          <xdr:col>21</xdr:col>
          <xdr:colOff>342900</xdr:colOff>
          <xdr:row>16</xdr:row>
          <xdr:rowOff>190500</xdr:rowOff>
        </xdr:to>
        <xdr:sp macro="" textlink="">
          <xdr:nvSpPr>
            <xdr:cNvPr id="3138" name="Button 1090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16</xdr:row>
          <xdr:rowOff>12700</xdr:rowOff>
        </xdr:from>
        <xdr:to>
          <xdr:col>23</xdr:col>
          <xdr:colOff>330200</xdr:colOff>
          <xdr:row>16</xdr:row>
          <xdr:rowOff>190500</xdr:rowOff>
        </xdr:to>
        <xdr:sp macro="" textlink="">
          <xdr:nvSpPr>
            <xdr:cNvPr id="3139" name="Button 1091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17</xdr:row>
          <xdr:rowOff>12700</xdr:rowOff>
        </xdr:from>
        <xdr:to>
          <xdr:col>21</xdr:col>
          <xdr:colOff>342900</xdr:colOff>
          <xdr:row>17</xdr:row>
          <xdr:rowOff>190500</xdr:rowOff>
        </xdr:to>
        <xdr:sp macro="" textlink="">
          <xdr:nvSpPr>
            <xdr:cNvPr id="3140" name="Button 1092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17</xdr:row>
          <xdr:rowOff>12700</xdr:rowOff>
        </xdr:from>
        <xdr:to>
          <xdr:col>23</xdr:col>
          <xdr:colOff>330200</xdr:colOff>
          <xdr:row>17</xdr:row>
          <xdr:rowOff>190500</xdr:rowOff>
        </xdr:to>
        <xdr:sp macro="" textlink="">
          <xdr:nvSpPr>
            <xdr:cNvPr id="3141" name="Button 1093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18</xdr:row>
          <xdr:rowOff>12700</xdr:rowOff>
        </xdr:from>
        <xdr:to>
          <xdr:col>21</xdr:col>
          <xdr:colOff>342900</xdr:colOff>
          <xdr:row>18</xdr:row>
          <xdr:rowOff>190500</xdr:rowOff>
        </xdr:to>
        <xdr:sp macro="" textlink="">
          <xdr:nvSpPr>
            <xdr:cNvPr id="3142" name="Button 1094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18</xdr:row>
          <xdr:rowOff>12700</xdr:rowOff>
        </xdr:from>
        <xdr:to>
          <xdr:col>23</xdr:col>
          <xdr:colOff>330200</xdr:colOff>
          <xdr:row>18</xdr:row>
          <xdr:rowOff>190500</xdr:rowOff>
        </xdr:to>
        <xdr:sp macro="" textlink="">
          <xdr:nvSpPr>
            <xdr:cNvPr id="3143" name="Button 1095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281349</xdr:colOff>
      <xdr:row>20</xdr:row>
      <xdr:rowOff>112213</xdr:rowOff>
    </xdr:from>
    <xdr:to>
      <xdr:col>25</xdr:col>
      <xdr:colOff>307629</xdr:colOff>
      <xdr:row>20</xdr:row>
      <xdr:rowOff>168373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14:cNvPr>
            <xdr14:cNvContentPartPr/>
          </xdr14:nvContentPartPr>
          <xdr14:nvPr macro=""/>
          <xdr14:xfrm>
            <a:off x="12423960" y="3668213"/>
            <a:ext cx="26280" cy="56160"/>
          </xdr14:xfrm>
        </xdr:contentPart>
      </mc:Choice>
      <mc:Fallback xmlns="">
        <xdr:pic>
          <xdr:nvPicPr>
            <xdr:cNvPr id="2" name="Ink 1">
              <a:extLst>
                <a:ext uri="{FF2B5EF4-FFF2-40B4-BE49-F238E27FC236}">
                  <a16:creationId xmlns:a16="http://schemas.microsoft.com/office/drawing/2014/main" id="{F8EEC24C-3DE4-8E8C-5D1E-981980576CA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2414960" y="3659573"/>
              <a:ext cx="43920" cy="73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208730</xdr:colOff>
      <xdr:row>4</xdr:row>
      <xdr:rowOff>29443</xdr:rowOff>
    </xdr:from>
    <xdr:to>
      <xdr:col>8</xdr:col>
      <xdr:colOff>236450</xdr:colOff>
      <xdr:row>4</xdr:row>
      <xdr:rowOff>66883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3" name="Ink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14:cNvPr>
            <xdr14:cNvContentPartPr/>
          </xdr14:nvContentPartPr>
          <xdr14:nvPr macro=""/>
          <xdr14:xfrm>
            <a:off x="4812480" y="426318"/>
            <a:ext cx="27720" cy="37440"/>
          </xdr14:xfrm>
        </xdr:contentPart>
      </mc:Choice>
      <mc:Fallback xmlns="">
        <xdr:pic>
          <xdr:nvPicPr>
            <xdr:cNvPr id="3" name="Ink 2">
              <a:extLst>
                <a:ext uri="{FF2B5EF4-FFF2-40B4-BE49-F238E27FC236}">
                  <a16:creationId xmlns:a16="http://schemas.microsoft.com/office/drawing/2014/main" id="{EE8E1A1C-69DE-BA34-3BFC-0285ECEEADB6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4803480" y="417318"/>
              <a:ext cx="45360" cy="5508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215900</xdr:colOff>
      <xdr:row>0</xdr:row>
      <xdr:rowOff>190500</xdr:rowOff>
    </xdr:from>
    <xdr:to>
      <xdr:col>16</xdr:col>
      <xdr:colOff>342900</xdr:colOff>
      <xdr:row>13</xdr:row>
      <xdr:rowOff>88900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7632700" y="190500"/>
          <a:ext cx="5905500" cy="2540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So this sheet</a:t>
          </a:r>
          <a:r>
            <a:rPr lang="en-US" sz="2000" baseline="0"/>
            <a:t> is where you put in the roster info. Just fill it in like the example data. You can ignore column B &amp; G, they are helper functions so that the other sheets run smooth. It will fill in automatically (unless B goes past 100 rows, then just copy the formula and paste it in the extra rows).</a:t>
          </a:r>
          <a:endParaRPr lang="en-US" sz="2000"/>
        </a:p>
      </xdr:txBody>
    </xdr:sp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2-06-25T01:17:23.62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52 6729 0 0,'-1'-49'447'0'0,"4"47"-971"0"0,3 6 67 0 0,2 7-95 0 0,0 6-455 0 0,-1 0 0 0 0,6 20 0 0 0,5 14-932 0 0,-9-33 1264 0 0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2-06-25T01:20:19.63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55 760 0 0,'1'-2'27'0'0,"2"-4"9"0"0,-1 0-1 0 0,1 0 1 0 0,0 0-1 0 0,1 0 1 0 0,4-6-1 0 0,-7 12-39 0 0,0-1 0 0 0,0 0 0 0 0,-1 0 0 0 0,1 0 0 0 0,0 0 0 0 0,0 1 1 0 0,0-1-1 0 0,0 0 0 0 0,0 1 0 0 0,0-1 0 0 0,0 1 0 0 0,0-1 0 0 0,0 1 0 0 0,0 0 0 0 0,0-1 0 0 0,0 1 0 0 0,1 0 0 0 0,-1 0 0 0 0,0 0 0 0 0,0-1 1 0 0,0 1-1 0 0,0 0 0 0 0,0 1 0 0 0,1-1 0 0 0,-1 0 0 0 0,0 0 0 0 0,0 0 0 0 0,0 1 0 0 0,0-1 0 0 0,0 1 0 0 0,0-1 0 0 0,0 1 0 0 0,0-1 0 0 0,0 1 1 0 0,0-1-1 0 0,0 1 0 0 0,0 0 0 0 0,1 0 0 0 0,-1 1-5 0 0,0-1-1 0 0,0 1 1 0 0,0-1 0 0 0,0 1 0 0 0,0 0 0 0 0,0-1 0 0 0,0 1-1 0 0,-1 0 1 0 0,1-1 0 0 0,-1 1 0 0 0,1 0 0 0 0,-1 0 0 0 0,0 0-1 0 0,1-1 1 0 0,-1 1 0 0 0,0 0 0 0 0,0 0 0 0 0,0 0-1 0 0,-1 0 1 0 0,1-1 0 0 0,0 1 0 0 0,-1 2 0 0 0,-13 40-175 0 0,10-35-260 0 0</inkml:trace>
</inkml: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99" Type="http://schemas.openxmlformats.org/officeDocument/2006/relationships/ctrlProp" Target="../ctrlProps/ctrlProp296.xml"/><Relationship Id="rId21" Type="http://schemas.openxmlformats.org/officeDocument/2006/relationships/ctrlProp" Target="../ctrlProps/ctrlProp18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324" Type="http://schemas.openxmlformats.org/officeDocument/2006/relationships/ctrlProp" Target="../ctrlProps/ctrlProp321.xml"/><Relationship Id="rId366" Type="http://schemas.openxmlformats.org/officeDocument/2006/relationships/ctrlProp" Target="../ctrlProps/ctrlProp363.xml"/><Relationship Id="rId170" Type="http://schemas.openxmlformats.org/officeDocument/2006/relationships/ctrlProp" Target="../ctrlProps/ctrlProp167.xml"/><Relationship Id="rId226" Type="http://schemas.openxmlformats.org/officeDocument/2006/relationships/ctrlProp" Target="../ctrlProps/ctrlProp223.xml"/><Relationship Id="rId268" Type="http://schemas.openxmlformats.org/officeDocument/2006/relationships/ctrlProp" Target="../ctrlProps/ctrlProp265.xml"/><Relationship Id="rId32" Type="http://schemas.openxmlformats.org/officeDocument/2006/relationships/ctrlProp" Target="../ctrlProps/ctrlProp29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335" Type="http://schemas.openxmlformats.org/officeDocument/2006/relationships/ctrlProp" Target="../ctrlProps/ctrlProp332.xml"/><Relationship Id="rId377" Type="http://schemas.openxmlformats.org/officeDocument/2006/relationships/ctrlProp" Target="../ctrlProps/ctrlProp374.xml"/><Relationship Id="rId5" Type="http://schemas.openxmlformats.org/officeDocument/2006/relationships/ctrlProp" Target="../ctrlProps/ctrlProp2.xml"/><Relationship Id="rId181" Type="http://schemas.openxmlformats.org/officeDocument/2006/relationships/ctrlProp" Target="../ctrlProps/ctrlProp178.xml"/><Relationship Id="rId237" Type="http://schemas.openxmlformats.org/officeDocument/2006/relationships/ctrlProp" Target="../ctrlProps/ctrlProp234.xml"/><Relationship Id="rId402" Type="http://schemas.openxmlformats.org/officeDocument/2006/relationships/ctrlProp" Target="../ctrlProps/ctrlProp399.xml"/><Relationship Id="rId279" Type="http://schemas.openxmlformats.org/officeDocument/2006/relationships/ctrlProp" Target="../ctrlProps/ctrlProp276.xml"/><Relationship Id="rId43" Type="http://schemas.openxmlformats.org/officeDocument/2006/relationships/ctrlProp" Target="../ctrlProps/ctrlProp40.xml"/><Relationship Id="rId139" Type="http://schemas.openxmlformats.org/officeDocument/2006/relationships/ctrlProp" Target="../ctrlProps/ctrlProp136.xml"/><Relationship Id="rId290" Type="http://schemas.openxmlformats.org/officeDocument/2006/relationships/ctrlProp" Target="../ctrlProps/ctrlProp287.xml"/><Relationship Id="rId304" Type="http://schemas.openxmlformats.org/officeDocument/2006/relationships/ctrlProp" Target="../ctrlProps/ctrlProp301.xml"/><Relationship Id="rId346" Type="http://schemas.openxmlformats.org/officeDocument/2006/relationships/ctrlProp" Target="../ctrlProps/ctrlProp343.xml"/><Relationship Id="rId388" Type="http://schemas.openxmlformats.org/officeDocument/2006/relationships/ctrlProp" Target="../ctrlProps/ctrlProp385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413" Type="http://schemas.openxmlformats.org/officeDocument/2006/relationships/ctrlProp" Target="../ctrlProps/ctrlProp410.xml"/><Relationship Id="rId248" Type="http://schemas.openxmlformats.org/officeDocument/2006/relationships/ctrlProp" Target="../ctrlProps/ctrlProp245.xml"/><Relationship Id="rId12" Type="http://schemas.openxmlformats.org/officeDocument/2006/relationships/ctrlProp" Target="../ctrlProps/ctrlProp9.xml"/><Relationship Id="rId108" Type="http://schemas.openxmlformats.org/officeDocument/2006/relationships/ctrlProp" Target="../ctrlProps/ctrlProp105.xml"/><Relationship Id="rId315" Type="http://schemas.openxmlformats.org/officeDocument/2006/relationships/ctrlProp" Target="../ctrlProps/ctrlProp312.xml"/><Relationship Id="rId357" Type="http://schemas.openxmlformats.org/officeDocument/2006/relationships/ctrlProp" Target="../ctrlProps/ctrlProp354.xml"/><Relationship Id="rId54" Type="http://schemas.openxmlformats.org/officeDocument/2006/relationships/ctrlProp" Target="../ctrlProps/ctrlProp51.xml"/><Relationship Id="rId96" Type="http://schemas.openxmlformats.org/officeDocument/2006/relationships/ctrlProp" Target="../ctrlProps/ctrlProp93.xml"/><Relationship Id="rId161" Type="http://schemas.openxmlformats.org/officeDocument/2006/relationships/ctrlProp" Target="../ctrlProps/ctrlProp158.xml"/><Relationship Id="rId217" Type="http://schemas.openxmlformats.org/officeDocument/2006/relationships/ctrlProp" Target="../ctrlProps/ctrlProp214.xml"/><Relationship Id="rId399" Type="http://schemas.openxmlformats.org/officeDocument/2006/relationships/ctrlProp" Target="../ctrlProps/ctrlProp396.xml"/><Relationship Id="rId259" Type="http://schemas.openxmlformats.org/officeDocument/2006/relationships/ctrlProp" Target="../ctrlProps/ctrlProp256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270" Type="http://schemas.openxmlformats.org/officeDocument/2006/relationships/ctrlProp" Target="../ctrlProps/ctrlProp267.xml"/><Relationship Id="rId326" Type="http://schemas.openxmlformats.org/officeDocument/2006/relationships/ctrlProp" Target="../ctrlProps/ctrlProp323.xml"/><Relationship Id="rId65" Type="http://schemas.openxmlformats.org/officeDocument/2006/relationships/ctrlProp" Target="../ctrlProps/ctrlProp62.xml"/><Relationship Id="rId130" Type="http://schemas.openxmlformats.org/officeDocument/2006/relationships/ctrlProp" Target="../ctrlProps/ctrlProp127.xml"/><Relationship Id="rId368" Type="http://schemas.openxmlformats.org/officeDocument/2006/relationships/ctrlProp" Target="../ctrlProps/ctrlProp365.xml"/><Relationship Id="rId172" Type="http://schemas.openxmlformats.org/officeDocument/2006/relationships/ctrlProp" Target="../ctrlProps/ctrlProp169.xml"/><Relationship Id="rId228" Type="http://schemas.openxmlformats.org/officeDocument/2006/relationships/ctrlProp" Target="../ctrlProps/ctrlProp225.xml"/><Relationship Id="rId281" Type="http://schemas.openxmlformats.org/officeDocument/2006/relationships/ctrlProp" Target="../ctrlProps/ctrlProp278.xml"/><Relationship Id="rId337" Type="http://schemas.openxmlformats.org/officeDocument/2006/relationships/ctrlProp" Target="../ctrlProps/ctrlProp334.xml"/><Relationship Id="rId34" Type="http://schemas.openxmlformats.org/officeDocument/2006/relationships/ctrlProp" Target="../ctrlProps/ctrlProp31.xml"/><Relationship Id="rId76" Type="http://schemas.openxmlformats.org/officeDocument/2006/relationships/ctrlProp" Target="../ctrlProps/ctrlProp73.xml"/><Relationship Id="rId141" Type="http://schemas.openxmlformats.org/officeDocument/2006/relationships/ctrlProp" Target="../ctrlProps/ctrlProp138.xml"/><Relationship Id="rId379" Type="http://schemas.openxmlformats.org/officeDocument/2006/relationships/ctrlProp" Target="../ctrlProps/ctrlProp376.xml"/><Relationship Id="rId7" Type="http://schemas.openxmlformats.org/officeDocument/2006/relationships/ctrlProp" Target="../ctrlProps/ctrlProp4.xml"/><Relationship Id="rId183" Type="http://schemas.openxmlformats.org/officeDocument/2006/relationships/ctrlProp" Target="../ctrlProps/ctrlProp180.xml"/><Relationship Id="rId239" Type="http://schemas.openxmlformats.org/officeDocument/2006/relationships/ctrlProp" Target="../ctrlProps/ctrlProp236.xml"/><Relationship Id="rId390" Type="http://schemas.openxmlformats.org/officeDocument/2006/relationships/ctrlProp" Target="../ctrlProps/ctrlProp387.xml"/><Relationship Id="rId404" Type="http://schemas.openxmlformats.org/officeDocument/2006/relationships/ctrlProp" Target="../ctrlProps/ctrlProp401.xml"/><Relationship Id="rId250" Type="http://schemas.openxmlformats.org/officeDocument/2006/relationships/ctrlProp" Target="../ctrlProps/ctrlProp247.xml"/><Relationship Id="rId292" Type="http://schemas.openxmlformats.org/officeDocument/2006/relationships/ctrlProp" Target="../ctrlProps/ctrlProp289.xml"/><Relationship Id="rId306" Type="http://schemas.openxmlformats.org/officeDocument/2006/relationships/ctrlProp" Target="../ctrlProps/ctrlProp303.xml"/><Relationship Id="rId45" Type="http://schemas.openxmlformats.org/officeDocument/2006/relationships/ctrlProp" Target="../ctrlProps/ctrlProp42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348" Type="http://schemas.openxmlformats.org/officeDocument/2006/relationships/ctrlProp" Target="../ctrlProps/ctrlProp345.xml"/><Relationship Id="rId152" Type="http://schemas.openxmlformats.org/officeDocument/2006/relationships/ctrlProp" Target="../ctrlProps/ctrlProp149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415" Type="http://schemas.openxmlformats.org/officeDocument/2006/relationships/ctrlProp" Target="../ctrlProps/ctrlProp412.xml"/><Relationship Id="rId261" Type="http://schemas.openxmlformats.org/officeDocument/2006/relationships/ctrlProp" Target="../ctrlProps/ctrlProp258.xml"/><Relationship Id="rId14" Type="http://schemas.openxmlformats.org/officeDocument/2006/relationships/ctrlProp" Target="../ctrlProps/ctrlProp11.xml"/><Relationship Id="rId56" Type="http://schemas.openxmlformats.org/officeDocument/2006/relationships/ctrlProp" Target="../ctrlProps/ctrlProp53.xml"/><Relationship Id="rId317" Type="http://schemas.openxmlformats.org/officeDocument/2006/relationships/ctrlProp" Target="../ctrlProps/ctrlProp314.xml"/><Relationship Id="rId359" Type="http://schemas.openxmlformats.org/officeDocument/2006/relationships/ctrlProp" Target="../ctrlProps/ctrlProp356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63" Type="http://schemas.openxmlformats.org/officeDocument/2006/relationships/ctrlProp" Target="../ctrlProps/ctrlProp160.xml"/><Relationship Id="rId219" Type="http://schemas.openxmlformats.org/officeDocument/2006/relationships/ctrlProp" Target="../ctrlProps/ctrlProp216.xml"/><Relationship Id="rId370" Type="http://schemas.openxmlformats.org/officeDocument/2006/relationships/ctrlProp" Target="../ctrlProps/ctrlProp367.xml"/><Relationship Id="rId230" Type="http://schemas.openxmlformats.org/officeDocument/2006/relationships/ctrlProp" Target="../ctrlProps/ctrlProp227.xml"/><Relationship Id="rId25" Type="http://schemas.openxmlformats.org/officeDocument/2006/relationships/ctrlProp" Target="../ctrlProps/ctrlProp22.xml"/><Relationship Id="rId67" Type="http://schemas.openxmlformats.org/officeDocument/2006/relationships/ctrlProp" Target="../ctrlProps/ctrlProp64.xml"/><Relationship Id="rId272" Type="http://schemas.openxmlformats.org/officeDocument/2006/relationships/ctrlProp" Target="../ctrlProps/ctrlProp269.xml"/><Relationship Id="rId328" Type="http://schemas.openxmlformats.org/officeDocument/2006/relationships/ctrlProp" Target="../ctrlProps/ctrlProp325.xml"/><Relationship Id="rId132" Type="http://schemas.openxmlformats.org/officeDocument/2006/relationships/ctrlProp" Target="../ctrlProps/ctrlProp129.xml"/><Relationship Id="rId174" Type="http://schemas.openxmlformats.org/officeDocument/2006/relationships/ctrlProp" Target="../ctrlProps/ctrlProp171.xml"/><Relationship Id="rId381" Type="http://schemas.openxmlformats.org/officeDocument/2006/relationships/ctrlProp" Target="../ctrlProps/ctrlProp378.xml"/><Relationship Id="rId241" Type="http://schemas.openxmlformats.org/officeDocument/2006/relationships/ctrlProp" Target="../ctrlProps/ctrlProp238.xml"/><Relationship Id="rId36" Type="http://schemas.openxmlformats.org/officeDocument/2006/relationships/ctrlProp" Target="../ctrlProps/ctrlProp33.xml"/><Relationship Id="rId283" Type="http://schemas.openxmlformats.org/officeDocument/2006/relationships/ctrlProp" Target="../ctrlProps/ctrlProp280.xml"/><Relationship Id="rId339" Type="http://schemas.openxmlformats.org/officeDocument/2006/relationships/ctrlProp" Target="../ctrlProps/ctrlProp336.xml"/><Relationship Id="rId78" Type="http://schemas.openxmlformats.org/officeDocument/2006/relationships/ctrlProp" Target="../ctrlProps/ctrlProp75.xml"/><Relationship Id="rId101" Type="http://schemas.openxmlformats.org/officeDocument/2006/relationships/ctrlProp" Target="../ctrlProps/ctrlProp98.xml"/><Relationship Id="rId143" Type="http://schemas.openxmlformats.org/officeDocument/2006/relationships/ctrlProp" Target="../ctrlProps/ctrlProp140.xml"/><Relationship Id="rId185" Type="http://schemas.openxmlformats.org/officeDocument/2006/relationships/ctrlProp" Target="../ctrlProps/ctrlProp182.xml"/><Relationship Id="rId350" Type="http://schemas.openxmlformats.org/officeDocument/2006/relationships/ctrlProp" Target="../ctrlProps/ctrlProp347.xml"/><Relationship Id="rId406" Type="http://schemas.openxmlformats.org/officeDocument/2006/relationships/ctrlProp" Target="../ctrlProps/ctrlProp403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392" Type="http://schemas.openxmlformats.org/officeDocument/2006/relationships/ctrlProp" Target="../ctrlProps/ctrlProp389.xml"/><Relationship Id="rId252" Type="http://schemas.openxmlformats.org/officeDocument/2006/relationships/ctrlProp" Target="../ctrlProps/ctrlProp249.xml"/><Relationship Id="rId294" Type="http://schemas.openxmlformats.org/officeDocument/2006/relationships/ctrlProp" Target="../ctrlProps/ctrlProp291.xml"/><Relationship Id="rId308" Type="http://schemas.openxmlformats.org/officeDocument/2006/relationships/ctrlProp" Target="../ctrlProps/ctrlProp305.xml"/><Relationship Id="rId47" Type="http://schemas.openxmlformats.org/officeDocument/2006/relationships/ctrlProp" Target="../ctrlProps/ctrlProp44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54" Type="http://schemas.openxmlformats.org/officeDocument/2006/relationships/ctrlProp" Target="../ctrlProps/ctrlProp151.xml"/><Relationship Id="rId361" Type="http://schemas.openxmlformats.org/officeDocument/2006/relationships/ctrlProp" Target="../ctrlProps/ctrlProp358.xml"/><Relationship Id="rId196" Type="http://schemas.openxmlformats.org/officeDocument/2006/relationships/ctrlProp" Target="../ctrlProps/ctrlProp193.xml"/><Relationship Id="rId417" Type="http://schemas.openxmlformats.org/officeDocument/2006/relationships/ctrlProp" Target="../ctrlProps/ctrlProp414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63" Type="http://schemas.openxmlformats.org/officeDocument/2006/relationships/ctrlProp" Target="../ctrlProps/ctrlProp260.xml"/><Relationship Id="rId319" Type="http://schemas.openxmlformats.org/officeDocument/2006/relationships/ctrlProp" Target="../ctrlProps/ctrlProp316.xml"/><Relationship Id="rId58" Type="http://schemas.openxmlformats.org/officeDocument/2006/relationships/ctrlProp" Target="../ctrlProps/ctrlProp55.xml"/><Relationship Id="rId123" Type="http://schemas.openxmlformats.org/officeDocument/2006/relationships/ctrlProp" Target="../ctrlProps/ctrlProp120.xml"/><Relationship Id="rId330" Type="http://schemas.openxmlformats.org/officeDocument/2006/relationships/ctrlProp" Target="../ctrlProps/ctrlProp327.xml"/><Relationship Id="rId165" Type="http://schemas.openxmlformats.org/officeDocument/2006/relationships/ctrlProp" Target="../ctrlProps/ctrlProp162.xml"/><Relationship Id="rId372" Type="http://schemas.openxmlformats.org/officeDocument/2006/relationships/ctrlProp" Target="../ctrlProps/ctrlProp369.xml"/><Relationship Id="rId232" Type="http://schemas.openxmlformats.org/officeDocument/2006/relationships/ctrlProp" Target="../ctrlProps/ctrlProp229.xml"/><Relationship Id="rId274" Type="http://schemas.openxmlformats.org/officeDocument/2006/relationships/ctrlProp" Target="../ctrlProps/ctrlProp271.xml"/><Relationship Id="rId27" Type="http://schemas.openxmlformats.org/officeDocument/2006/relationships/ctrlProp" Target="../ctrlProps/ctrlProp24.xml"/><Relationship Id="rId69" Type="http://schemas.openxmlformats.org/officeDocument/2006/relationships/ctrlProp" Target="../ctrlProps/ctrlProp66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76" Type="http://schemas.openxmlformats.org/officeDocument/2006/relationships/ctrlProp" Target="../ctrlProps/ctrlProp173.xml"/><Relationship Id="rId341" Type="http://schemas.openxmlformats.org/officeDocument/2006/relationships/ctrlProp" Target="../ctrlProps/ctrlProp338.xml"/><Relationship Id="rId383" Type="http://schemas.openxmlformats.org/officeDocument/2006/relationships/ctrlProp" Target="../ctrlProps/ctrlProp380.xml"/><Relationship Id="rId201" Type="http://schemas.openxmlformats.org/officeDocument/2006/relationships/ctrlProp" Target="../ctrlProps/ctrlProp198.xml"/><Relationship Id="rId243" Type="http://schemas.openxmlformats.org/officeDocument/2006/relationships/ctrlProp" Target="../ctrlProps/ctrlProp240.xml"/><Relationship Id="rId285" Type="http://schemas.openxmlformats.org/officeDocument/2006/relationships/ctrlProp" Target="../ctrlProps/ctrlProp282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310" Type="http://schemas.openxmlformats.org/officeDocument/2006/relationships/ctrlProp" Target="../ctrlProps/ctrlProp307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331" Type="http://schemas.openxmlformats.org/officeDocument/2006/relationships/ctrlProp" Target="../ctrlProps/ctrlProp328.xml"/><Relationship Id="rId352" Type="http://schemas.openxmlformats.org/officeDocument/2006/relationships/ctrlProp" Target="../ctrlProps/ctrlProp349.xml"/><Relationship Id="rId373" Type="http://schemas.openxmlformats.org/officeDocument/2006/relationships/ctrlProp" Target="../ctrlProps/ctrlProp370.xml"/><Relationship Id="rId394" Type="http://schemas.openxmlformats.org/officeDocument/2006/relationships/ctrlProp" Target="../ctrlProps/ctrlProp391.xml"/><Relationship Id="rId408" Type="http://schemas.openxmlformats.org/officeDocument/2006/relationships/ctrlProp" Target="../ctrlProps/ctrlProp405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33" Type="http://schemas.openxmlformats.org/officeDocument/2006/relationships/ctrlProp" Target="../ctrlProps/ctrlProp230.xml"/><Relationship Id="rId254" Type="http://schemas.openxmlformats.org/officeDocument/2006/relationships/ctrlProp" Target="../ctrlProps/ctrlProp251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275" Type="http://schemas.openxmlformats.org/officeDocument/2006/relationships/ctrlProp" Target="../ctrlProps/ctrlProp272.xml"/><Relationship Id="rId296" Type="http://schemas.openxmlformats.org/officeDocument/2006/relationships/ctrlProp" Target="../ctrlProps/ctrlProp293.xml"/><Relationship Id="rId300" Type="http://schemas.openxmlformats.org/officeDocument/2006/relationships/ctrlProp" Target="../ctrlProps/ctrlProp297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321" Type="http://schemas.openxmlformats.org/officeDocument/2006/relationships/ctrlProp" Target="../ctrlProps/ctrlProp318.xml"/><Relationship Id="rId342" Type="http://schemas.openxmlformats.org/officeDocument/2006/relationships/ctrlProp" Target="../ctrlProps/ctrlProp339.xml"/><Relationship Id="rId363" Type="http://schemas.openxmlformats.org/officeDocument/2006/relationships/ctrlProp" Target="../ctrlProps/ctrlProp360.xml"/><Relationship Id="rId384" Type="http://schemas.openxmlformats.org/officeDocument/2006/relationships/ctrlProp" Target="../ctrlProps/ctrlProp381.xml"/><Relationship Id="rId419" Type="http://schemas.openxmlformats.org/officeDocument/2006/relationships/ctrlProp" Target="../ctrlProps/ctrlProp416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65" Type="http://schemas.openxmlformats.org/officeDocument/2006/relationships/ctrlProp" Target="../ctrlProps/ctrlProp262.xml"/><Relationship Id="rId286" Type="http://schemas.openxmlformats.org/officeDocument/2006/relationships/ctrlProp" Target="../ctrlProps/ctrlProp283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311" Type="http://schemas.openxmlformats.org/officeDocument/2006/relationships/ctrlProp" Target="../ctrlProps/ctrlProp308.xml"/><Relationship Id="rId332" Type="http://schemas.openxmlformats.org/officeDocument/2006/relationships/ctrlProp" Target="../ctrlProps/ctrlProp329.xml"/><Relationship Id="rId353" Type="http://schemas.openxmlformats.org/officeDocument/2006/relationships/ctrlProp" Target="../ctrlProps/ctrlProp350.xml"/><Relationship Id="rId374" Type="http://schemas.openxmlformats.org/officeDocument/2006/relationships/ctrlProp" Target="../ctrlProps/ctrlProp371.xml"/><Relationship Id="rId395" Type="http://schemas.openxmlformats.org/officeDocument/2006/relationships/ctrlProp" Target="../ctrlProps/ctrlProp392.xml"/><Relationship Id="rId409" Type="http://schemas.openxmlformats.org/officeDocument/2006/relationships/ctrlProp" Target="../ctrlProps/ctrlProp406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420" Type="http://schemas.openxmlformats.org/officeDocument/2006/relationships/ctrlProp" Target="../ctrlProps/ctrlProp417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55" Type="http://schemas.openxmlformats.org/officeDocument/2006/relationships/ctrlProp" Target="../ctrlProps/ctrlProp252.xml"/><Relationship Id="rId276" Type="http://schemas.openxmlformats.org/officeDocument/2006/relationships/ctrlProp" Target="../ctrlProps/ctrlProp273.xml"/><Relationship Id="rId297" Type="http://schemas.openxmlformats.org/officeDocument/2006/relationships/ctrlProp" Target="../ctrlProps/ctrlProp294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301" Type="http://schemas.openxmlformats.org/officeDocument/2006/relationships/ctrlProp" Target="../ctrlProps/ctrlProp298.xml"/><Relationship Id="rId322" Type="http://schemas.openxmlformats.org/officeDocument/2006/relationships/ctrlProp" Target="../ctrlProps/ctrlProp319.xml"/><Relationship Id="rId343" Type="http://schemas.openxmlformats.org/officeDocument/2006/relationships/ctrlProp" Target="../ctrlProps/ctrlProp340.xml"/><Relationship Id="rId364" Type="http://schemas.openxmlformats.org/officeDocument/2006/relationships/ctrlProp" Target="../ctrlProps/ctrlProp361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385" Type="http://schemas.openxmlformats.org/officeDocument/2006/relationships/ctrlProp" Target="../ctrlProps/ctrlProp382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5" Type="http://schemas.openxmlformats.org/officeDocument/2006/relationships/ctrlProp" Target="../ctrlProps/ctrlProp242.xml"/><Relationship Id="rId266" Type="http://schemas.openxmlformats.org/officeDocument/2006/relationships/ctrlProp" Target="../ctrlProps/ctrlProp263.xml"/><Relationship Id="rId287" Type="http://schemas.openxmlformats.org/officeDocument/2006/relationships/ctrlProp" Target="../ctrlProps/ctrlProp284.xml"/><Relationship Id="rId410" Type="http://schemas.openxmlformats.org/officeDocument/2006/relationships/ctrlProp" Target="../ctrlProps/ctrlProp407.xml"/><Relationship Id="rId30" Type="http://schemas.openxmlformats.org/officeDocument/2006/relationships/ctrlProp" Target="../ctrlProps/ctrlProp2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312" Type="http://schemas.openxmlformats.org/officeDocument/2006/relationships/ctrlProp" Target="../ctrlProps/ctrlProp309.xml"/><Relationship Id="rId333" Type="http://schemas.openxmlformats.org/officeDocument/2006/relationships/ctrlProp" Target="../ctrlProps/ctrlProp330.xml"/><Relationship Id="rId354" Type="http://schemas.openxmlformats.org/officeDocument/2006/relationships/ctrlProp" Target="../ctrlProps/ctrlProp351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75" Type="http://schemas.openxmlformats.org/officeDocument/2006/relationships/ctrlProp" Target="../ctrlProps/ctrlProp372.xml"/><Relationship Id="rId396" Type="http://schemas.openxmlformats.org/officeDocument/2006/relationships/ctrlProp" Target="../ctrlProps/ctrlProp393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5" Type="http://schemas.openxmlformats.org/officeDocument/2006/relationships/ctrlProp" Target="../ctrlProps/ctrlProp232.xml"/><Relationship Id="rId256" Type="http://schemas.openxmlformats.org/officeDocument/2006/relationships/ctrlProp" Target="../ctrlProps/ctrlProp253.xml"/><Relationship Id="rId277" Type="http://schemas.openxmlformats.org/officeDocument/2006/relationships/ctrlProp" Target="../ctrlProps/ctrlProp274.xml"/><Relationship Id="rId298" Type="http://schemas.openxmlformats.org/officeDocument/2006/relationships/ctrlProp" Target="../ctrlProps/ctrlProp295.xml"/><Relationship Id="rId400" Type="http://schemas.openxmlformats.org/officeDocument/2006/relationships/ctrlProp" Target="../ctrlProps/ctrlProp397.xml"/><Relationship Id="rId421" Type="http://schemas.openxmlformats.org/officeDocument/2006/relationships/ctrlProp" Target="../ctrlProps/ctrlProp418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302" Type="http://schemas.openxmlformats.org/officeDocument/2006/relationships/ctrlProp" Target="../ctrlProps/ctrlProp299.xml"/><Relationship Id="rId323" Type="http://schemas.openxmlformats.org/officeDocument/2006/relationships/ctrlProp" Target="../ctrlProps/ctrlProp320.xml"/><Relationship Id="rId344" Type="http://schemas.openxmlformats.org/officeDocument/2006/relationships/ctrlProp" Target="../ctrlProps/ctrlProp341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365" Type="http://schemas.openxmlformats.org/officeDocument/2006/relationships/ctrlProp" Target="../ctrlProps/ctrlProp362.xml"/><Relationship Id="rId386" Type="http://schemas.openxmlformats.org/officeDocument/2006/relationships/ctrlProp" Target="../ctrlProps/ctrlProp383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5" Type="http://schemas.openxmlformats.org/officeDocument/2006/relationships/ctrlProp" Target="../ctrlProps/ctrlProp222.xml"/><Relationship Id="rId246" Type="http://schemas.openxmlformats.org/officeDocument/2006/relationships/ctrlProp" Target="../ctrlProps/ctrlProp243.xml"/><Relationship Id="rId267" Type="http://schemas.openxmlformats.org/officeDocument/2006/relationships/ctrlProp" Target="../ctrlProps/ctrlProp264.xml"/><Relationship Id="rId288" Type="http://schemas.openxmlformats.org/officeDocument/2006/relationships/ctrlProp" Target="../ctrlProps/ctrlProp285.xml"/><Relationship Id="rId411" Type="http://schemas.openxmlformats.org/officeDocument/2006/relationships/ctrlProp" Target="../ctrlProps/ctrlProp408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313" Type="http://schemas.openxmlformats.org/officeDocument/2006/relationships/ctrlProp" Target="../ctrlProps/ctrlProp310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169" Type="http://schemas.openxmlformats.org/officeDocument/2006/relationships/ctrlProp" Target="../ctrlProps/ctrlProp166.xml"/><Relationship Id="rId334" Type="http://schemas.openxmlformats.org/officeDocument/2006/relationships/ctrlProp" Target="../ctrlProps/ctrlProp331.xml"/><Relationship Id="rId355" Type="http://schemas.openxmlformats.org/officeDocument/2006/relationships/ctrlProp" Target="../ctrlProps/ctrlProp352.xml"/><Relationship Id="rId376" Type="http://schemas.openxmlformats.org/officeDocument/2006/relationships/ctrlProp" Target="../ctrlProps/ctrlProp373.xml"/><Relationship Id="rId397" Type="http://schemas.openxmlformats.org/officeDocument/2006/relationships/ctrlProp" Target="../ctrlProps/ctrlProp394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278" Type="http://schemas.openxmlformats.org/officeDocument/2006/relationships/ctrlProp" Target="../ctrlProps/ctrlProp275.xml"/><Relationship Id="rId401" Type="http://schemas.openxmlformats.org/officeDocument/2006/relationships/ctrlProp" Target="../ctrlProps/ctrlProp398.xml"/><Relationship Id="rId422" Type="http://schemas.openxmlformats.org/officeDocument/2006/relationships/ctrlProp" Target="../ctrlProps/ctrlProp419.xml"/><Relationship Id="rId303" Type="http://schemas.openxmlformats.org/officeDocument/2006/relationships/ctrlProp" Target="../ctrlProps/ctrlProp300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345" Type="http://schemas.openxmlformats.org/officeDocument/2006/relationships/ctrlProp" Target="../ctrlProps/ctrlProp342.xml"/><Relationship Id="rId387" Type="http://schemas.openxmlformats.org/officeDocument/2006/relationships/ctrlProp" Target="../ctrlProps/ctrlProp384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Relationship Id="rId412" Type="http://schemas.openxmlformats.org/officeDocument/2006/relationships/ctrlProp" Target="../ctrlProps/ctrlProp409.xml"/><Relationship Id="rId107" Type="http://schemas.openxmlformats.org/officeDocument/2006/relationships/ctrlProp" Target="../ctrlProps/ctrlProp104.xml"/><Relationship Id="rId289" Type="http://schemas.openxmlformats.org/officeDocument/2006/relationships/ctrlProp" Target="../ctrlProps/ctrlProp286.xml"/><Relationship Id="rId11" Type="http://schemas.openxmlformats.org/officeDocument/2006/relationships/ctrlProp" Target="../ctrlProps/ctrlProp8.xml"/><Relationship Id="rId53" Type="http://schemas.openxmlformats.org/officeDocument/2006/relationships/ctrlProp" Target="../ctrlProps/ctrlProp50.xml"/><Relationship Id="rId149" Type="http://schemas.openxmlformats.org/officeDocument/2006/relationships/ctrlProp" Target="../ctrlProps/ctrlProp146.xml"/><Relationship Id="rId314" Type="http://schemas.openxmlformats.org/officeDocument/2006/relationships/ctrlProp" Target="../ctrlProps/ctrlProp311.xml"/><Relationship Id="rId356" Type="http://schemas.openxmlformats.org/officeDocument/2006/relationships/ctrlProp" Target="../ctrlProps/ctrlProp353.xml"/><Relationship Id="rId398" Type="http://schemas.openxmlformats.org/officeDocument/2006/relationships/ctrlProp" Target="../ctrlProps/ctrlProp395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216" Type="http://schemas.openxmlformats.org/officeDocument/2006/relationships/ctrlProp" Target="../ctrlProps/ctrlProp213.xml"/><Relationship Id="rId423" Type="http://schemas.openxmlformats.org/officeDocument/2006/relationships/ctrlProp" Target="../ctrlProps/ctrlProp420.xml"/><Relationship Id="rId258" Type="http://schemas.openxmlformats.org/officeDocument/2006/relationships/ctrlProp" Target="../ctrlProps/ctrlProp255.xml"/><Relationship Id="rId22" Type="http://schemas.openxmlformats.org/officeDocument/2006/relationships/ctrlProp" Target="../ctrlProps/ctrlProp19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325" Type="http://schemas.openxmlformats.org/officeDocument/2006/relationships/ctrlProp" Target="../ctrlProps/ctrlProp322.xml"/><Relationship Id="rId367" Type="http://schemas.openxmlformats.org/officeDocument/2006/relationships/ctrlProp" Target="../ctrlProps/ctrlProp364.xml"/><Relationship Id="rId171" Type="http://schemas.openxmlformats.org/officeDocument/2006/relationships/ctrlProp" Target="../ctrlProps/ctrlProp168.xml"/><Relationship Id="rId227" Type="http://schemas.openxmlformats.org/officeDocument/2006/relationships/ctrlProp" Target="../ctrlProps/ctrlProp224.xml"/><Relationship Id="rId269" Type="http://schemas.openxmlformats.org/officeDocument/2006/relationships/ctrlProp" Target="../ctrlProps/ctrlProp266.xml"/><Relationship Id="rId33" Type="http://schemas.openxmlformats.org/officeDocument/2006/relationships/ctrlProp" Target="../ctrlProps/ctrlProp30.xml"/><Relationship Id="rId129" Type="http://schemas.openxmlformats.org/officeDocument/2006/relationships/ctrlProp" Target="../ctrlProps/ctrlProp126.xml"/><Relationship Id="rId280" Type="http://schemas.openxmlformats.org/officeDocument/2006/relationships/ctrlProp" Target="../ctrlProps/ctrlProp277.xml"/><Relationship Id="rId336" Type="http://schemas.openxmlformats.org/officeDocument/2006/relationships/ctrlProp" Target="../ctrlProps/ctrlProp333.xml"/><Relationship Id="rId75" Type="http://schemas.openxmlformats.org/officeDocument/2006/relationships/ctrlProp" Target="../ctrlProps/ctrlProp72.xml"/><Relationship Id="rId140" Type="http://schemas.openxmlformats.org/officeDocument/2006/relationships/ctrlProp" Target="../ctrlProps/ctrlProp137.xml"/><Relationship Id="rId182" Type="http://schemas.openxmlformats.org/officeDocument/2006/relationships/ctrlProp" Target="../ctrlProps/ctrlProp179.xml"/><Relationship Id="rId378" Type="http://schemas.openxmlformats.org/officeDocument/2006/relationships/ctrlProp" Target="../ctrlProps/ctrlProp375.xml"/><Relationship Id="rId403" Type="http://schemas.openxmlformats.org/officeDocument/2006/relationships/ctrlProp" Target="../ctrlProps/ctrlProp400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91" Type="http://schemas.openxmlformats.org/officeDocument/2006/relationships/ctrlProp" Target="../ctrlProps/ctrlProp288.xml"/><Relationship Id="rId305" Type="http://schemas.openxmlformats.org/officeDocument/2006/relationships/ctrlProp" Target="../ctrlProps/ctrlProp302.xml"/><Relationship Id="rId347" Type="http://schemas.openxmlformats.org/officeDocument/2006/relationships/ctrlProp" Target="../ctrlProps/ctrlProp344.xml"/><Relationship Id="rId44" Type="http://schemas.openxmlformats.org/officeDocument/2006/relationships/ctrlProp" Target="../ctrlProps/ctrlProp41.xml"/><Relationship Id="rId86" Type="http://schemas.openxmlformats.org/officeDocument/2006/relationships/ctrlProp" Target="../ctrlProps/ctrlProp83.xml"/><Relationship Id="rId151" Type="http://schemas.openxmlformats.org/officeDocument/2006/relationships/ctrlProp" Target="../ctrlProps/ctrlProp148.xml"/><Relationship Id="rId389" Type="http://schemas.openxmlformats.org/officeDocument/2006/relationships/ctrlProp" Target="../ctrlProps/ctrlProp386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49" Type="http://schemas.openxmlformats.org/officeDocument/2006/relationships/ctrlProp" Target="../ctrlProps/ctrlProp246.xml"/><Relationship Id="rId414" Type="http://schemas.openxmlformats.org/officeDocument/2006/relationships/ctrlProp" Target="../ctrlProps/ctrlProp411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316" Type="http://schemas.openxmlformats.org/officeDocument/2006/relationships/ctrlProp" Target="../ctrlProps/ctrlProp313.xml"/><Relationship Id="rId55" Type="http://schemas.openxmlformats.org/officeDocument/2006/relationships/ctrlProp" Target="../ctrlProps/ctrlProp52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358" Type="http://schemas.openxmlformats.org/officeDocument/2006/relationships/ctrlProp" Target="../ctrlProps/ctrlProp355.xml"/><Relationship Id="rId162" Type="http://schemas.openxmlformats.org/officeDocument/2006/relationships/ctrlProp" Target="../ctrlProps/ctrlProp159.xml"/><Relationship Id="rId218" Type="http://schemas.openxmlformats.org/officeDocument/2006/relationships/ctrlProp" Target="../ctrlProps/ctrlProp215.xml"/><Relationship Id="rId271" Type="http://schemas.openxmlformats.org/officeDocument/2006/relationships/ctrlProp" Target="../ctrlProps/ctrlProp268.xml"/><Relationship Id="rId24" Type="http://schemas.openxmlformats.org/officeDocument/2006/relationships/ctrlProp" Target="../ctrlProps/ctrlProp21.xml"/><Relationship Id="rId66" Type="http://schemas.openxmlformats.org/officeDocument/2006/relationships/ctrlProp" Target="../ctrlProps/ctrlProp63.xml"/><Relationship Id="rId131" Type="http://schemas.openxmlformats.org/officeDocument/2006/relationships/ctrlProp" Target="../ctrlProps/ctrlProp128.xml"/><Relationship Id="rId327" Type="http://schemas.openxmlformats.org/officeDocument/2006/relationships/ctrlProp" Target="../ctrlProps/ctrlProp324.xml"/><Relationship Id="rId369" Type="http://schemas.openxmlformats.org/officeDocument/2006/relationships/ctrlProp" Target="../ctrlProps/ctrlProp366.xml"/><Relationship Id="rId173" Type="http://schemas.openxmlformats.org/officeDocument/2006/relationships/ctrlProp" Target="../ctrlProps/ctrlProp170.xml"/><Relationship Id="rId229" Type="http://schemas.openxmlformats.org/officeDocument/2006/relationships/ctrlProp" Target="../ctrlProps/ctrlProp226.xml"/><Relationship Id="rId380" Type="http://schemas.openxmlformats.org/officeDocument/2006/relationships/ctrlProp" Target="../ctrlProps/ctrlProp377.xml"/><Relationship Id="rId240" Type="http://schemas.openxmlformats.org/officeDocument/2006/relationships/ctrlProp" Target="../ctrlProps/ctrlProp237.xml"/><Relationship Id="rId35" Type="http://schemas.openxmlformats.org/officeDocument/2006/relationships/ctrlProp" Target="../ctrlProps/ctrlProp32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282" Type="http://schemas.openxmlformats.org/officeDocument/2006/relationships/ctrlProp" Target="../ctrlProps/ctrlProp279.xml"/><Relationship Id="rId338" Type="http://schemas.openxmlformats.org/officeDocument/2006/relationships/ctrlProp" Target="../ctrlProps/ctrlProp335.xml"/><Relationship Id="rId8" Type="http://schemas.openxmlformats.org/officeDocument/2006/relationships/ctrlProp" Target="../ctrlProps/ctrlProp5.xml"/><Relationship Id="rId142" Type="http://schemas.openxmlformats.org/officeDocument/2006/relationships/ctrlProp" Target="../ctrlProps/ctrlProp139.xml"/><Relationship Id="rId184" Type="http://schemas.openxmlformats.org/officeDocument/2006/relationships/ctrlProp" Target="../ctrlProps/ctrlProp181.xml"/><Relationship Id="rId391" Type="http://schemas.openxmlformats.org/officeDocument/2006/relationships/ctrlProp" Target="../ctrlProps/ctrlProp388.xml"/><Relationship Id="rId405" Type="http://schemas.openxmlformats.org/officeDocument/2006/relationships/ctrlProp" Target="../ctrlProps/ctrlProp402.xml"/><Relationship Id="rId251" Type="http://schemas.openxmlformats.org/officeDocument/2006/relationships/ctrlProp" Target="../ctrlProps/ctrlProp248.xml"/><Relationship Id="rId46" Type="http://schemas.openxmlformats.org/officeDocument/2006/relationships/ctrlProp" Target="../ctrlProps/ctrlProp43.xml"/><Relationship Id="rId293" Type="http://schemas.openxmlformats.org/officeDocument/2006/relationships/ctrlProp" Target="../ctrlProps/ctrlProp290.xml"/><Relationship Id="rId307" Type="http://schemas.openxmlformats.org/officeDocument/2006/relationships/ctrlProp" Target="../ctrlProps/ctrlProp304.xml"/><Relationship Id="rId349" Type="http://schemas.openxmlformats.org/officeDocument/2006/relationships/ctrlProp" Target="../ctrlProps/ctrlProp346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53" Type="http://schemas.openxmlformats.org/officeDocument/2006/relationships/ctrlProp" Target="../ctrlProps/ctrlProp150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360" Type="http://schemas.openxmlformats.org/officeDocument/2006/relationships/ctrlProp" Target="../ctrlProps/ctrlProp357.xml"/><Relationship Id="rId416" Type="http://schemas.openxmlformats.org/officeDocument/2006/relationships/ctrlProp" Target="../ctrlProps/ctrlProp413.xml"/><Relationship Id="rId220" Type="http://schemas.openxmlformats.org/officeDocument/2006/relationships/ctrlProp" Target="../ctrlProps/ctrlProp217.xml"/><Relationship Id="rId15" Type="http://schemas.openxmlformats.org/officeDocument/2006/relationships/ctrlProp" Target="../ctrlProps/ctrlProp12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318" Type="http://schemas.openxmlformats.org/officeDocument/2006/relationships/ctrlProp" Target="../ctrlProps/ctrlProp315.xml"/><Relationship Id="rId99" Type="http://schemas.openxmlformats.org/officeDocument/2006/relationships/ctrlProp" Target="../ctrlProps/ctrlProp96.xml"/><Relationship Id="rId122" Type="http://schemas.openxmlformats.org/officeDocument/2006/relationships/ctrlProp" Target="../ctrlProps/ctrlProp119.xml"/><Relationship Id="rId164" Type="http://schemas.openxmlformats.org/officeDocument/2006/relationships/ctrlProp" Target="../ctrlProps/ctrlProp161.xml"/><Relationship Id="rId371" Type="http://schemas.openxmlformats.org/officeDocument/2006/relationships/ctrlProp" Target="../ctrlProps/ctrlProp368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73" Type="http://schemas.openxmlformats.org/officeDocument/2006/relationships/ctrlProp" Target="../ctrlProps/ctrlProp270.xml"/><Relationship Id="rId329" Type="http://schemas.openxmlformats.org/officeDocument/2006/relationships/ctrlProp" Target="../ctrlProps/ctrlProp326.xml"/><Relationship Id="rId68" Type="http://schemas.openxmlformats.org/officeDocument/2006/relationships/ctrlProp" Target="../ctrlProps/ctrlProp65.xml"/><Relationship Id="rId133" Type="http://schemas.openxmlformats.org/officeDocument/2006/relationships/ctrlProp" Target="../ctrlProps/ctrlProp130.xml"/><Relationship Id="rId175" Type="http://schemas.openxmlformats.org/officeDocument/2006/relationships/ctrlProp" Target="../ctrlProps/ctrlProp172.xml"/><Relationship Id="rId340" Type="http://schemas.openxmlformats.org/officeDocument/2006/relationships/ctrlProp" Target="../ctrlProps/ctrlProp337.xml"/><Relationship Id="rId200" Type="http://schemas.openxmlformats.org/officeDocument/2006/relationships/ctrlProp" Target="../ctrlProps/ctrlProp197.xml"/><Relationship Id="rId382" Type="http://schemas.openxmlformats.org/officeDocument/2006/relationships/ctrlProp" Target="../ctrlProps/ctrlProp379.xml"/><Relationship Id="rId242" Type="http://schemas.openxmlformats.org/officeDocument/2006/relationships/ctrlProp" Target="../ctrlProps/ctrlProp239.xml"/><Relationship Id="rId284" Type="http://schemas.openxmlformats.org/officeDocument/2006/relationships/ctrlProp" Target="../ctrlProps/ctrlProp281.xml"/><Relationship Id="rId37" Type="http://schemas.openxmlformats.org/officeDocument/2006/relationships/ctrlProp" Target="../ctrlProps/ctrlProp34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86" Type="http://schemas.openxmlformats.org/officeDocument/2006/relationships/ctrlProp" Target="../ctrlProps/ctrlProp183.xml"/><Relationship Id="rId351" Type="http://schemas.openxmlformats.org/officeDocument/2006/relationships/ctrlProp" Target="../ctrlProps/ctrlProp348.xml"/><Relationship Id="rId393" Type="http://schemas.openxmlformats.org/officeDocument/2006/relationships/ctrlProp" Target="../ctrlProps/ctrlProp390.xml"/><Relationship Id="rId407" Type="http://schemas.openxmlformats.org/officeDocument/2006/relationships/ctrlProp" Target="../ctrlProps/ctrlProp404.xml"/><Relationship Id="rId211" Type="http://schemas.openxmlformats.org/officeDocument/2006/relationships/ctrlProp" Target="../ctrlProps/ctrlProp208.xml"/><Relationship Id="rId253" Type="http://schemas.openxmlformats.org/officeDocument/2006/relationships/ctrlProp" Target="../ctrlProps/ctrlProp250.xml"/><Relationship Id="rId295" Type="http://schemas.openxmlformats.org/officeDocument/2006/relationships/ctrlProp" Target="../ctrlProps/ctrlProp292.xml"/><Relationship Id="rId309" Type="http://schemas.openxmlformats.org/officeDocument/2006/relationships/ctrlProp" Target="../ctrlProps/ctrlProp306.xml"/><Relationship Id="rId48" Type="http://schemas.openxmlformats.org/officeDocument/2006/relationships/ctrlProp" Target="../ctrlProps/ctrlProp45.xml"/><Relationship Id="rId113" Type="http://schemas.openxmlformats.org/officeDocument/2006/relationships/ctrlProp" Target="../ctrlProps/ctrlProp110.xml"/><Relationship Id="rId320" Type="http://schemas.openxmlformats.org/officeDocument/2006/relationships/ctrlProp" Target="../ctrlProps/ctrlProp317.xml"/><Relationship Id="rId155" Type="http://schemas.openxmlformats.org/officeDocument/2006/relationships/ctrlProp" Target="../ctrlProps/ctrlProp152.xml"/><Relationship Id="rId197" Type="http://schemas.openxmlformats.org/officeDocument/2006/relationships/ctrlProp" Target="../ctrlProps/ctrlProp194.xml"/><Relationship Id="rId362" Type="http://schemas.openxmlformats.org/officeDocument/2006/relationships/ctrlProp" Target="../ctrlProps/ctrlProp359.xml"/><Relationship Id="rId418" Type="http://schemas.openxmlformats.org/officeDocument/2006/relationships/ctrlProp" Target="../ctrlProps/ctrlProp415.xml"/><Relationship Id="rId222" Type="http://schemas.openxmlformats.org/officeDocument/2006/relationships/ctrlProp" Target="../ctrlProps/ctrlProp219.xml"/><Relationship Id="rId264" Type="http://schemas.openxmlformats.org/officeDocument/2006/relationships/ctrlProp" Target="../ctrlProps/ctrlProp26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M37"/>
  <sheetViews>
    <sheetView tabSelected="1" workbookViewId="0">
      <selection activeCell="F3" sqref="F3"/>
    </sheetView>
  </sheetViews>
  <sheetFormatPr baseColWidth="10" defaultColWidth="10.6640625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3" x14ac:dyDescent="0.2">
      <c r="B1" s="2" t="s">
        <v>14</v>
      </c>
      <c r="F1" t="s">
        <v>7</v>
      </c>
      <c r="G1" t="str">
        <f>'Stats G1'!B3</f>
        <v>Team Bullock</v>
      </c>
    </row>
    <row r="2" spans="2:13" x14ac:dyDescent="0.2">
      <c r="B2" t="str">
        <f>G1</f>
        <v>Team Bullock</v>
      </c>
      <c r="D2" t="str">
        <f>G20</f>
        <v>Team Stan</v>
      </c>
      <c r="F2" t="s">
        <v>1</v>
      </c>
      <c r="G2" t="s">
        <v>2</v>
      </c>
      <c r="H2" t="s">
        <v>0</v>
      </c>
      <c r="I2" t="s">
        <v>23</v>
      </c>
      <c r="J2" t="s">
        <v>8</v>
      </c>
      <c r="K2" t="s">
        <v>9</v>
      </c>
      <c r="L2" t="s">
        <v>10</v>
      </c>
      <c r="M2" t="s">
        <v>27</v>
      </c>
    </row>
    <row r="3" spans="2:13" x14ac:dyDescent="0.2">
      <c r="B3">
        <f>I18</f>
        <v>135</v>
      </c>
      <c r="C3" s="3" t="s">
        <v>13</v>
      </c>
      <c r="D3" s="4">
        <f>I37</f>
        <v>99</v>
      </c>
      <c r="F3" t="str">
        <f>'Stats G1'!A5</f>
        <v>Tyus</v>
      </c>
      <c r="G3" t="str">
        <f>'Stats G1'!B5</f>
        <v>Jefferson</v>
      </c>
      <c r="H3">
        <f>'Stats G1'!C5</f>
        <v>3</v>
      </c>
      <c r="I3">
        <f>'Stats G1'!H5*2+'Stats G1'!N5*3+'Stats G1'!T5</f>
        <v>20</v>
      </c>
      <c r="J3" t="str">
        <f>SUM('Stats G1'!H5+'Stats G1'!N5)&amp;"-"&amp;SUM('Stats G1'!E5+'Stats G1'!K5)</f>
        <v>8-17</v>
      </c>
      <c r="K3" t="str">
        <f>SUM('Stats G1'!N5)&amp;"-"&amp;SUM('Stats G1'!K5)</f>
        <v>1-5</v>
      </c>
      <c r="L3" t="str">
        <f>SUM('Stats G1'!T5)&amp;"-"&amp;SUM('Stats G1'!Q5)</f>
        <v>3-3</v>
      </c>
      <c r="M3">
        <f>'Stats G1'!W5</f>
        <v>0</v>
      </c>
    </row>
    <row r="4" spans="2:13" x14ac:dyDescent="0.2">
      <c r="F4" t="str">
        <f>'Stats G1'!A6</f>
        <v>Jordan</v>
      </c>
      <c r="G4" t="str">
        <f>'Stats G1'!B6</f>
        <v>Loveridge</v>
      </c>
      <c r="H4">
        <f>'Stats G1'!C6</f>
        <v>21</v>
      </c>
      <c r="I4">
        <f>'Stats G1'!H6*2+'Stats G1'!N6*3+'Stats G1'!T6</f>
        <v>0</v>
      </c>
      <c r="J4" t="str">
        <f>SUM('Stats G1'!H6+'Stats G1'!N6)&amp;"-"&amp;SUM('Stats G1'!E6+'Stats G1'!K6)</f>
        <v>0-0</v>
      </c>
      <c r="K4" t="str">
        <f>SUM('Stats G1'!N6)&amp;"-"&amp;SUM('Stats G1'!K6)</f>
        <v>0-0</v>
      </c>
      <c r="L4" t="str">
        <f>SUM('Stats G1'!T6)&amp;"-"&amp;SUM('Stats G1'!Q6)</f>
        <v>0-0</v>
      </c>
      <c r="M4">
        <f>'Stats G1'!W6</f>
        <v>0</v>
      </c>
    </row>
    <row r="5" spans="2:13" x14ac:dyDescent="0.2">
      <c r="F5" t="str">
        <f>'Stats G1'!A7</f>
        <v>Kyndayl</v>
      </c>
      <c r="G5" t="str">
        <f>'Stats G1'!B7</f>
        <v>Hill</v>
      </c>
      <c r="H5">
        <f>'Stats G1'!C7</f>
        <v>15</v>
      </c>
      <c r="I5">
        <f>'Stats G1'!H7*2+'Stats G1'!N7*3+'Stats G1'!T7</f>
        <v>0</v>
      </c>
      <c r="J5" t="str">
        <f>SUM('Stats G1'!H7+'Stats G1'!N7)&amp;"-"&amp;SUM('Stats G1'!E7+'Stats G1'!K7)</f>
        <v>0-0</v>
      </c>
      <c r="K5" t="str">
        <f>SUM('Stats G1'!N7)&amp;"-"&amp;SUM('Stats G1'!K7)</f>
        <v>0-0</v>
      </c>
      <c r="L5" t="str">
        <f>SUM('Stats G1'!T7)&amp;"-"&amp;SUM('Stats G1'!Q7)</f>
        <v>0-0</v>
      </c>
      <c r="M5">
        <f>'Stats G1'!W7</f>
        <v>0</v>
      </c>
    </row>
    <row r="6" spans="2:13" x14ac:dyDescent="0.2">
      <c r="F6" t="str">
        <f>'Stats G1'!A8</f>
        <v>Duce</v>
      </c>
      <c r="G6" t="str">
        <f>'Stats G1'!B8</f>
        <v>Zaid</v>
      </c>
      <c r="H6">
        <f>'Stats G1'!C8</f>
        <v>5</v>
      </c>
      <c r="I6">
        <f>'Stats G1'!H8*2+'Stats G1'!N8*3+'Stats G1'!T8</f>
        <v>5</v>
      </c>
      <c r="J6" t="str">
        <f>SUM('Stats G1'!H8+'Stats G1'!N8)&amp;"-"&amp;SUM('Stats G1'!E8+'Stats G1'!K8)</f>
        <v>2-3</v>
      </c>
      <c r="K6" t="str">
        <f>SUM('Stats G1'!N8)&amp;"-"&amp;SUM('Stats G1'!K8)</f>
        <v>0-0</v>
      </c>
      <c r="L6" t="str">
        <f>SUM('Stats G1'!T8)&amp;"-"&amp;SUM('Stats G1'!Q8)</f>
        <v>1-2</v>
      </c>
      <c r="M6">
        <f>'Stats G1'!W8</f>
        <v>0</v>
      </c>
    </row>
    <row r="7" spans="2:13" x14ac:dyDescent="0.2">
      <c r="F7" t="str">
        <f>'Stats G1'!A9</f>
        <v>Charles</v>
      </c>
      <c r="G7" t="str">
        <f>'Stats G1'!B9</f>
        <v>Nann</v>
      </c>
      <c r="H7">
        <f>'Stats G1'!C9</f>
        <v>7</v>
      </c>
      <c r="I7">
        <f>'Stats G1'!H9*2+'Stats G1'!N9*3+'Stats G1'!T9</f>
        <v>9</v>
      </c>
      <c r="J7" t="str">
        <f>SUM('Stats G1'!H9+'Stats G1'!N9)&amp;"-"&amp;SUM('Stats G1'!E9+'Stats G1'!K9)</f>
        <v>4-6</v>
      </c>
      <c r="K7" t="str">
        <f>SUM('Stats G1'!N9)&amp;"-"&amp;SUM('Stats G1'!K9)</f>
        <v>1-1</v>
      </c>
      <c r="L7" t="str">
        <f>SUM('Stats G1'!T9)&amp;"-"&amp;SUM('Stats G1'!Q9)</f>
        <v>0-0</v>
      </c>
      <c r="M7">
        <f>'Stats G1'!W9</f>
        <v>0</v>
      </c>
    </row>
    <row r="8" spans="2:13" x14ac:dyDescent="0.2">
      <c r="F8" t="str">
        <f>'Stats G1'!A10</f>
        <v>Marqus</v>
      </c>
      <c r="G8" t="str">
        <f>'Stats G1'!B10</f>
        <v>Gilson</v>
      </c>
      <c r="H8">
        <f>'Stats G1'!C10</f>
        <v>24</v>
      </c>
      <c r="I8">
        <f>'Stats G1'!H10*2+'Stats G1'!N10*3+'Stats G1'!T10</f>
        <v>10</v>
      </c>
      <c r="J8" t="str">
        <f>SUM('Stats G1'!H10+'Stats G1'!N10)&amp;"-"&amp;SUM('Stats G1'!E10+'Stats G1'!K10)</f>
        <v>5-7</v>
      </c>
      <c r="K8" t="str">
        <f>SUM('Stats G1'!N10)&amp;"-"&amp;SUM('Stats G1'!K10)</f>
        <v>0-0</v>
      </c>
      <c r="L8" t="str">
        <f>SUM('Stats G1'!T10)&amp;"-"&amp;SUM('Stats G1'!Q10)</f>
        <v>0-0</v>
      </c>
      <c r="M8">
        <f>'Stats G1'!W10</f>
        <v>0</v>
      </c>
    </row>
    <row r="9" spans="2:13" x14ac:dyDescent="0.2">
      <c r="F9" t="str">
        <f>'Stats G1'!A11</f>
        <v>Ray</v>
      </c>
      <c r="G9" t="str">
        <f>'Stats G1'!B11</f>
        <v>Gallegos</v>
      </c>
      <c r="H9">
        <f>'Stats G1'!C11</f>
        <v>8</v>
      </c>
      <c r="I9">
        <f>'Stats G1'!H11*2+'Stats G1'!N11*3+'Stats G1'!T11</f>
        <v>0</v>
      </c>
      <c r="J9" t="str">
        <f>SUM('Stats G1'!H11+'Stats G1'!N11)&amp;"-"&amp;SUM('Stats G1'!E11+'Stats G1'!K11)</f>
        <v>0-0</v>
      </c>
      <c r="K9" t="str">
        <f>SUM('Stats G1'!N11)&amp;"-"&amp;SUM('Stats G1'!K11)</f>
        <v>0-0</v>
      </c>
      <c r="L9" t="str">
        <f>SUM('Stats G1'!T11)&amp;"-"&amp;SUM('Stats G1'!Q11)</f>
        <v>0-0</v>
      </c>
      <c r="M9">
        <f>'Stats G1'!W11</f>
        <v>0</v>
      </c>
    </row>
    <row r="10" spans="2:13" x14ac:dyDescent="0.2">
      <c r="F10" t="str">
        <f>'Stats G1'!A12</f>
        <v>Colton</v>
      </c>
      <c r="G10" t="str">
        <f>'Stats G1'!B12</f>
        <v>Burgon</v>
      </c>
      <c r="H10">
        <f>'Stats G1'!C12</f>
        <v>20</v>
      </c>
      <c r="I10">
        <f>'Stats G1'!H12*2+'Stats G1'!N12*3+'Stats G1'!T12</f>
        <v>16</v>
      </c>
      <c r="J10" t="str">
        <f>SUM('Stats G1'!H12+'Stats G1'!N12)&amp;"-"&amp;SUM('Stats G1'!E12+'Stats G1'!K12)</f>
        <v>8-13</v>
      </c>
      <c r="K10" t="str">
        <f>SUM('Stats G1'!N12)&amp;"-"&amp;SUM('Stats G1'!K12)</f>
        <v>0-0</v>
      </c>
      <c r="L10" t="str">
        <f>SUM('Stats G1'!T12)&amp;"-"&amp;SUM('Stats G1'!Q12)</f>
        <v>0-2</v>
      </c>
      <c r="M10">
        <f>'Stats G1'!W12</f>
        <v>0</v>
      </c>
    </row>
    <row r="11" spans="2:13" x14ac:dyDescent="0.2">
      <c r="F11" t="str">
        <f>'Stats G1'!A13</f>
        <v>Thomas</v>
      </c>
      <c r="G11" t="str">
        <f>'Stats G1'!B13</f>
        <v>Bullock</v>
      </c>
      <c r="H11">
        <f>'Stats G1'!C13</f>
        <v>22</v>
      </c>
      <c r="I11">
        <f>'Stats G1'!H13*2+'Stats G1'!N13*3+'Stats G1'!T13</f>
        <v>26</v>
      </c>
      <c r="J11" t="str">
        <f>SUM('Stats G1'!H13+'Stats G1'!N13)&amp;"-"&amp;SUM('Stats G1'!E13+'Stats G1'!K13)</f>
        <v>9-17</v>
      </c>
      <c r="K11" t="str">
        <f>SUM('Stats G1'!N13)&amp;"-"&amp;SUM('Stats G1'!K13)</f>
        <v>5-9</v>
      </c>
      <c r="L11" t="str">
        <f>SUM('Stats G1'!T13)&amp;"-"&amp;SUM('Stats G1'!Q13)</f>
        <v>3-4</v>
      </c>
      <c r="M11">
        <f>'Stats G1'!W13</f>
        <v>0</v>
      </c>
    </row>
    <row r="12" spans="2:13" x14ac:dyDescent="0.2">
      <c r="F12" t="str">
        <f>'Stats G1'!A14</f>
        <v>Tyler</v>
      </c>
      <c r="G12" t="str">
        <f>'Stats G1'!B14</f>
        <v>Burgess</v>
      </c>
      <c r="H12">
        <f>'Stats G1'!C14</f>
        <v>23</v>
      </c>
      <c r="I12">
        <f>'Stats G1'!H14*2+'Stats G1'!N14*3+'Stats G1'!T14</f>
        <v>9</v>
      </c>
      <c r="J12" t="str">
        <f>SUM('Stats G1'!H14+'Stats G1'!N14)&amp;"-"&amp;SUM('Stats G1'!E14+'Stats G1'!K14)</f>
        <v>4-4</v>
      </c>
      <c r="K12" t="str">
        <f>SUM('Stats G1'!N14)&amp;"-"&amp;SUM('Stats G1'!K14)</f>
        <v>1-1</v>
      </c>
      <c r="L12" t="str">
        <f>SUM('Stats G1'!T14)&amp;"-"&amp;SUM('Stats G1'!Q14)</f>
        <v>0-0</v>
      </c>
      <c r="M12">
        <f>'Stats G1'!W14</f>
        <v>0</v>
      </c>
    </row>
    <row r="13" spans="2:13" x14ac:dyDescent="0.2">
      <c r="F13" t="str">
        <f>'Stats G1'!A15</f>
        <v>Kentrell</v>
      </c>
      <c r="G13" t="str">
        <f>'Stats G1'!B15</f>
        <v>Barkley</v>
      </c>
      <c r="H13">
        <f>'Stats G1'!C15</f>
        <v>12</v>
      </c>
      <c r="I13">
        <f>'Stats G1'!H15*2+'Stats G1'!N15*3+'Stats G1'!T15</f>
        <v>36</v>
      </c>
      <c r="J13" t="str">
        <f>SUM('Stats G1'!H15+'Stats G1'!N15)&amp;"-"&amp;SUM('Stats G1'!E15+'Stats G1'!K15)</f>
        <v>13-19</v>
      </c>
      <c r="K13" t="str">
        <f>SUM('Stats G1'!N15)&amp;"-"&amp;SUM('Stats G1'!K15)</f>
        <v>2-3</v>
      </c>
      <c r="L13" t="str">
        <f>SUM('Stats G1'!T15)&amp;"-"&amp;SUM('Stats G1'!Q15)</f>
        <v>8-10</v>
      </c>
      <c r="M13">
        <f>'Stats G1'!W15</f>
        <v>0</v>
      </c>
    </row>
    <row r="14" spans="2:13" x14ac:dyDescent="0.2">
      <c r="F14" t="str">
        <f>'Stats G1'!A16</f>
        <v>Brenden</v>
      </c>
      <c r="G14" t="str">
        <f>'Stats G1'!B16</f>
        <v>Morris</v>
      </c>
      <c r="H14">
        <f>'Stats G1'!C16</f>
        <v>23</v>
      </c>
      <c r="I14">
        <f>'Stats G1'!H16*2+'Stats G1'!N16*3+'Stats G1'!T16</f>
        <v>2</v>
      </c>
      <c r="J14" t="str">
        <f>SUM('Stats G1'!H16+'Stats G1'!N16)&amp;"-"&amp;SUM('Stats G1'!E16+'Stats G1'!K16)</f>
        <v>0-0</v>
      </c>
      <c r="K14" t="str">
        <f>SUM('Stats G1'!N16)&amp;"-"&amp;SUM('Stats G1'!K16)</f>
        <v>0-0</v>
      </c>
      <c r="L14" t="str">
        <f>SUM('Stats G1'!T16)&amp;"-"&amp;SUM('Stats G1'!Q16)</f>
        <v>2-2</v>
      </c>
      <c r="M14">
        <f>'Stats G1'!W16</f>
        <v>0</v>
      </c>
    </row>
    <row r="15" spans="2:13" x14ac:dyDescent="0.2">
      <c r="F15" t="str">
        <f>'Stats G1'!A17</f>
        <v>?</v>
      </c>
      <c r="G15" t="str">
        <f>'Stats G1'!B17</f>
        <v>?</v>
      </c>
      <c r="H15">
        <f>'Stats G1'!C17</f>
        <v>10</v>
      </c>
      <c r="I15">
        <f>'Stats G1'!H17*2+'Stats G1'!N17*3+'Stats G1'!T17</f>
        <v>2</v>
      </c>
      <c r="J15" t="str">
        <f>SUM('Stats G1'!H17+'Stats G1'!N17)&amp;"-"&amp;SUM('Stats G1'!E17+'Stats G1'!K17)</f>
        <v>0-0</v>
      </c>
      <c r="K15" t="str">
        <f>SUM('Stats G1'!N17)&amp;"-"&amp;SUM('Stats G1'!K17)</f>
        <v>0-0</v>
      </c>
      <c r="L15" t="str">
        <f>SUM('Stats G1'!T17)&amp;"-"&amp;SUM('Stats G1'!Q17)</f>
        <v>2-3</v>
      </c>
      <c r="M15">
        <f>'Stats G1'!W17</f>
        <v>0</v>
      </c>
    </row>
    <row r="16" spans="2:13" x14ac:dyDescent="0.2">
      <c r="F16" t="str">
        <f>'Stats G1'!A18</f>
        <v>?</v>
      </c>
      <c r="G16" t="str">
        <f>'Stats G1'!B18</f>
        <v>?</v>
      </c>
      <c r="H16" t="str">
        <f>'Stats G1'!C18</f>
        <v/>
      </c>
      <c r="I16">
        <f>'Stats G1'!H18*2+'Stats G1'!N18*3+'Stats G1'!T18</f>
        <v>0</v>
      </c>
      <c r="J16" t="str">
        <f>SUM('Stats G1'!H18+'Stats G1'!N18)&amp;"-"&amp;SUM('Stats G1'!E18+'Stats G1'!K18)</f>
        <v>0-0</v>
      </c>
      <c r="K16" t="str">
        <f>SUM('Stats G1'!N18)&amp;"-"&amp;SUM('Stats G1'!K18)</f>
        <v>0-0</v>
      </c>
      <c r="L16" t="str">
        <f>SUM('Stats G1'!T18)&amp;"-"&amp;SUM('Stats G1'!Q18)</f>
        <v>0-0</v>
      </c>
      <c r="M16">
        <f>'Stats G1'!W18</f>
        <v>0</v>
      </c>
    </row>
    <row r="17" spans="6:13" x14ac:dyDescent="0.2">
      <c r="F17" t="str">
        <f>'Stats G1'!A19</f>
        <v>?</v>
      </c>
      <c r="G17" t="str">
        <f>'Stats G1'!B19</f>
        <v>?</v>
      </c>
      <c r="H17" t="str">
        <f>'Stats G1'!C19</f>
        <v/>
      </c>
      <c r="I17">
        <f>'Stats G1'!H19*2+'Stats G1'!N19*3+'Stats G1'!T19</f>
        <v>0</v>
      </c>
      <c r="J17" t="str">
        <f>SUM('Stats G1'!H19+'Stats G1'!N19)&amp;"-"&amp;SUM('Stats G1'!E19+'Stats G1'!K19)</f>
        <v>0-0</v>
      </c>
      <c r="K17" t="str">
        <f>SUM('Stats G1'!N19)&amp;"-"&amp;SUM('Stats G1'!K19)</f>
        <v>0-0</v>
      </c>
      <c r="L17" t="str">
        <f>SUM('Stats G1'!T19)&amp;"-"&amp;SUM('Stats G1'!Q19)</f>
        <v>0-0</v>
      </c>
      <c r="M17">
        <f>'Stats G1'!W19</f>
        <v>0</v>
      </c>
    </row>
    <row r="18" spans="6:13" x14ac:dyDescent="0.2">
      <c r="H18" s="2" t="s">
        <v>12</v>
      </c>
      <c r="I18">
        <f>SUM(I3:I17)</f>
        <v>135</v>
      </c>
      <c r="J18" t="str">
        <f>SUM('Stats G1'!H20+'Stats G1'!N20)&amp;"-"&amp;SUM('Stats G1'!E20+'Stats G1'!K20)</f>
        <v>53-86</v>
      </c>
      <c r="K18" t="str">
        <f>SUM('Stats G1'!N20)&amp;"-"&amp;SUM('Stats G1'!K20)</f>
        <v>10-19</v>
      </c>
      <c r="L18" t="str">
        <f>SUM('Stats G1'!T20)&amp;"-"&amp;SUM('Stats G1'!Q20)</f>
        <v>19-26</v>
      </c>
      <c r="M18">
        <f>SUM(M3:M17)</f>
        <v>0</v>
      </c>
    </row>
    <row r="20" spans="6:13" x14ac:dyDescent="0.2">
      <c r="F20" t="s">
        <v>11</v>
      </c>
      <c r="G20" t="str">
        <f>'Stats G1'!B21</f>
        <v>Team Stan</v>
      </c>
    </row>
    <row r="21" spans="6:13" x14ac:dyDescent="0.2">
      <c r="F21" t="s">
        <v>1</v>
      </c>
      <c r="G21" t="s">
        <v>2</v>
      </c>
      <c r="H21" t="s">
        <v>0</v>
      </c>
      <c r="I21" t="s">
        <v>23</v>
      </c>
      <c r="J21" t="s">
        <v>8</v>
      </c>
      <c r="K21" t="s">
        <v>9</v>
      </c>
      <c r="L21" t="s">
        <v>10</v>
      </c>
      <c r="M21" t="s">
        <v>27</v>
      </c>
    </row>
    <row r="22" spans="6:13" x14ac:dyDescent="0.2">
      <c r="F22" t="str">
        <f>'Stats G1'!A23</f>
        <v>Tone</v>
      </c>
      <c r="G22" t="str">
        <f>'Stats G1'!B23</f>
        <v>Anderson</v>
      </c>
      <c r="H22">
        <f>'Stats G1'!C23</f>
        <v>0</v>
      </c>
      <c r="I22">
        <f>'Stats G1'!H23*2+'Stats G1'!N23*3+'Stats G1'!T23</f>
        <v>4</v>
      </c>
      <c r="J22" t="str">
        <f>SUM('Stats G1'!H23+'Stats G1'!N23)&amp;"-"&amp;SUM('Stats G1'!E23+'Stats G1'!K23)</f>
        <v>1-3</v>
      </c>
      <c r="K22" t="str">
        <f>SUM('Stats G1'!N23)&amp;"-"&amp;SUM('Stats G1'!K23)</f>
        <v>0-1</v>
      </c>
      <c r="L22" t="str">
        <f>SUM('Stats G1'!T23)&amp;"-"&amp;SUM('Stats G1'!Q23)</f>
        <v>2-2</v>
      </c>
      <c r="M22">
        <f>'Stats G1'!W23</f>
        <v>0</v>
      </c>
    </row>
    <row r="23" spans="6:13" x14ac:dyDescent="0.2">
      <c r="F23" t="str">
        <f>'Stats G1'!A24</f>
        <v>Ronald</v>
      </c>
      <c r="G23" t="str">
        <f>'Stats G1'!B24</f>
        <v>Leach</v>
      </c>
      <c r="H23">
        <f>'Stats G1'!C24</f>
        <v>32</v>
      </c>
      <c r="I23">
        <f>'Stats G1'!H24*2+'Stats G1'!N24*3+'Stats G1'!T24</f>
        <v>8</v>
      </c>
      <c r="J23" t="str">
        <f>SUM('Stats G1'!H24+'Stats G1'!N24)&amp;"-"&amp;SUM('Stats G1'!E24+'Stats G1'!K24)</f>
        <v>4-7</v>
      </c>
      <c r="K23" t="str">
        <f>SUM('Stats G1'!N24)&amp;"-"&amp;SUM('Stats G1'!K24)</f>
        <v>0-0</v>
      </c>
      <c r="L23" t="str">
        <f>SUM('Stats G1'!T24)&amp;"-"&amp;SUM('Stats G1'!Q24)</f>
        <v>0-2</v>
      </c>
      <c r="M23">
        <f>'Stats G1'!W24</f>
        <v>0</v>
      </c>
    </row>
    <row r="24" spans="6:13" x14ac:dyDescent="0.2">
      <c r="F24" t="str">
        <f>'Stats G1'!A25</f>
        <v>Brendan</v>
      </c>
      <c r="G24" t="str">
        <f>'Stats G1'!B25</f>
        <v>Bailey</v>
      </c>
      <c r="H24">
        <f>'Stats G1'!C25</f>
        <v>1</v>
      </c>
      <c r="I24">
        <f>'Stats G1'!H25*2+'Stats G1'!N25*3+'Stats G1'!T25</f>
        <v>27</v>
      </c>
      <c r="J24" t="str">
        <f>SUM('Stats G1'!H25+'Stats G1'!N25)&amp;"-"&amp;SUM('Stats G1'!E25+'Stats G1'!K25)</f>
        <v>12-22</v>
      </c>
      <c r="K24" t="str">
        <f>SUM('Stats G1'!N25)&amp;"-"&amp;SUM('Stats G1'!K25)</f>
        <v>3-11</v>
      </c>
      <c r="L24" t="str">
        <f>SUM('Stats G1'!T25)&amp;"-"&amp;SUM('Stats G1'!Q25)</f>
        <v>0-1</v>
      </c>
      <c r="M24">
        <f>'Stats G1'!W25</f>
        <v>0</v>
      </c>
    </row>
    <row r="25" spans="6:13" x14ac:dyDescent="0.2">
      <c r="F25" t="str">
        <f>'Stats G1'!A26</f>
        <v>Zahir</v>
      </c>
      <c r="G25" t="str">
        <f>'Stats G1'!B26</f>
        <v>Porter</v>
      </c>
      <c r="H25">
        <f>'Stats G1'!C26</f>
        <v>5</v>
      </c>
      <c r="I25">
        <f>'Stats G1'!H26*2+'Stats G1'!N26*3+'Stats G1'!T26</f>
        <v>13</v>
      </c>
      <c r="J25" t="str">
        <f>SUM('Stats G1'!H26+'Stats G1'!N26)&amp;"-"&amp;SUM('Stats G1'!E26+'Stats G1'!K26)</f>
        <v>5-18</v>
      </c>
      <c r="K25" t="str">
        <f>SUM('Stats G1'!N26)&amp;"-"&amp;SUM('Stats G1'!K26)</f>
        <v>1-7</v>
      </c>
      <c r="L25" t="str">
        <f>SUM('Stats G1'!T26)&amp;"-"&amp;SUM('Stats G1'!Q26)</f>
        <v>2-3</v>
      </c>
      <c r="M25">
        <f>'Stats G1'!W26</f>
        <v>0</v>
      </c>
    </row>
    <row r="26" spans="6:13" x14ac:dyDescent="0.2">
      <c r="F26" t="str">
        <f>'Stats G1'!A27</f>
        <v>Eli</v>
      </c>
      <c r="G26" t="str">
        <f>'Stats G1'!B27</f>
        <v>Davy</v>
      </c>
      <c r="H26">
        <f>'Stats G1'!C27</f>
        <v>2</v>
      </c>
      <c r="I26">
        <f>'Stats G1'!H27*2+'Stats G1'!N27*3+'Stats G1'!T27</f>
        <v>17</v>
      </c>
      <c r="J26" t="str">
        <f>SUM('Stats G1'!H27+'Stats G1'!N27)&amp;"-"&amp;SUM('Stats G1'!E27+'Stats G1'!K27)</f>
        <v>7-12</v>
      </c>
      <c r="K26" t="str">
        <f>SUM('Stats G1'!N27)&amp;"-"&amp;SUM('Stats G1'!K27)</f>
        <v>1-3</v>
      </c>
      <c r="L26" t="str">
        <f>SUM('Stats G1'!T27)&amp;"-"&amp;SUM('Stats G1'!Q27)</f>
        <v>2-2</v>
      </c>
      <c r="M26">
        <f>'Stats G1'!W27</f>
        <v>0</v>
      </c>
    </row>
    <row r="27" spans="6:13" x14ac:dyDescent="0.2">
      <c r="F27" t="str">
        <f>'Stats G1'!A28</f>
        <v>Anthony</v>
      </c>
      <c r="G27" t="str">
        <f>'Stats G1'!B28</f>
        <v>Cox</v>
      </c>
      <c r="H27">
        <f>'Stats G1'!C28</f>
        <v>11</v>
      </c>
      <c r="I27">
        <f>'Stats G1'!H28*2+'Stats G1'!N28*3+'Stats G1'!T28</f>
        <v>3</v>
      </c>
      <c r="J27" t="str">
        <f>SUM('Stats G1'!H28+'Stats G1'!N28)&amp;"-"&amp;SUM('Stats G1'!E28+'Stats G1'!K28)</f>
        <v>1-4</v>
      </c>
      <c r="K27" t="str">
        <f>SUM('Stats G1'!N28)&amp;"-"&amp;SUM('Stats G1'!K28)</f>
        <v>1-3</v>
      </c>
      <c r="L27" t="str">
        <f>SUM('Stats G1'!T28)&amp;"-"&amp;SUM('Stats G1'!Q28)</f>
        <v>0-0</v>
      </c>
      <c r="M27">
        <f>'Stats G1'!W28</f>
        <v>0</v>
      </c>
    </row>
    <row r="28" spans="6:13" x14ac:dyDescent="0.2">
      <c r="F28" t="str">
        <f>'Stats G1'!A29</f>
        <v>Xavier</v>
      </c>
      <c r="G28" t="str">
        <f>'Stats G1'!B29</f>
        <v>Sneed</v>
      </c>
      <c r="H28">
        <f>'Stats G1'!C29</f>
        <v>20</v>
      </c>
      <c r="I28">
        <f>'Stats G1'!H29*2+'Stats G1'!N29*3+'Stats G1'!T29</f>
        <v>0</v>
      </c>
      <c r="J28" t="str">
        <f>SUM('Stats G1'!H29+'Stats G1'!N29)&amp;"-"&amp;SUM('Stats G1'!E29+'Stats G1'!K29)</f>
        <v>0-0</v>
      </c>
      <c r="K28" t="str">
        <f>SUM('Stats G1'!N29)&amp;"-"&amp;SUM('Stats G1'!K29)</f>
        <v>0-0</v>
      </c>
      <c r="L28" t="str">
        <f>SUM('Stats G1'!T29)&amp;"-"&amp;SUM('Stats G1'!Q29)</f>
        <v>0-0</v>
      </c>
      <c r="M28">
        <f>'Stats G1'!W29</f>
        <v>0</v>
      </c>
    </row>
    <row r="29" spans="6:13" x14ac:dyDescent="0.2">
      <c r="F29" t="str">
        <f>'Stats G1'!A30</f>
        <v>Rayjon</v>
      </c>
      <c r="G29" t="str">
        <f>'Stats G1'!B30</f>
        <v>Tucker</v>
      </c>
      <c r="H29">
        <f>'Stats G1'!C30</f>
        <v>59</v>
      </c>
      <c r="I29">
        <f>'Stats G1'!H30*2+'Stats G1'!N30*3+'Stats G1'!T30</f>
        <v>0</v>
      </c>
      <c r="J29" t="str">
        <f>SUM('Stats G1'!H30+'Stats G1'!N30)&amp;"-"&amp;SUM('Stats G1'!E30+'Stats G1'!K30)</f>
        <v>0-0</v>
      </c>
      <c r="K29" t="str">
        <f>SUM('Stats G1'!N30)&amp;"-"&amp;SUM('Stats G1'!K30)</f>
        <v>0-0</v>
      </c>
      <c r="L29" t="str">
        <f>SUM('Stats G1'!T30)&amp;"-"&amp;SUM('Stats G1'!Q30)</f>
        <v>0-0</v>
      </c>
      <c r="M29">
        <f>'Stats G1'!W30</f>
        <v>0</v>
      </c>
    </row>
    <row r="30" spans="6:13" x14ac:dyDescent="0.2">
      <c r="F30" t="str">
        <f>'Stats G1'!A31</f>
        <v>Branden</v>
      </c>
      <c r="G30" t="str">
        <f>'Stats G1'!B31</f>
        <v>Carlon</v>
      </c>
      <c r="H30">
        <f>'Stats G1'!C31</f>
        <v>35</v>
      </c>
      <c r="I30">
        <f>'Stats G1'!H31*2+'Stats G1'!N31*3+'Stats G1'!T31</f>
        <v>0</v>
      </c>
      <c r="J30" t="str">
        <f>SUM('Stats G1'!H31+'Stats G1'!N31)&amp;"-"&amp;SUM('Stats G1'!E31+'Stats G1'!K31)</f>
        <v>0-0</v>
      </c>
      <c r="K30" t="str">
        <f>SUM('Stats G1'!N31)&amp;"-"&amp;SUM('Stats G1'!K31)</f>
        <v>0-0</v>
      </c>
      <c r="L30" t="str">
        <f>SUM('Stats G1'!T31)&amp;"-"&amp;SUM('Stats G1'!Q31)</f>
        <v>0-0</v>
      </c>
      <c r="M30">
        <f>'Stats G1'!W31</f>
        <v>0</v>
      </c>
    </row>
    <row r="31" spans="6:13" x14ac:dyDescent="0.2">
      <c r="F31" t="str">
        <f>'Stats G1'!A32</f>
        <v>Quae</v>
      </c>
      <c r="G31" t="str">
        <f>'Stats G1'!B32</f>
        <v>Furlow</v>
      </c>
      <c r="H31">
        <f>'Stats G1'!C32</f>
        <v>3</v>
      </c>
      <c r="I31">
        <f>'Stats G1'!H32*2+'Stats G1'!N32*3+'Stats G1'!T32</f>
        <v>9</v>
      </c>
      <c r="J31" t="str">
        <f>SUM('Stats G1'!H32+'Stats G1'!N32)&amp;"-"&amp;SUM('Stats G1'!E32+'Stats G1'!K32)</f>
        <v>3-5</v>
      </c>
      <c r="K31" t="str">
        <f>SUM('Stats G1'!N32)&amp;"-"&amp;SUM('Stats G1'!K32)</f>
        <v>0-2</v>
      </c>
      <c r="L31" t="str">
        <f>SUM('Stats G1'!T32)&amp;"-"&amp;SUM('Stats G1'!Q32)</f>
        <v>3-6</v>
      </c>
      <c r="M31">
        <f>'Stats G1'!W32</f>
        <v>0</v>
      </c>
    </row>
    <row r="32" spans="6:13" x14ac:dyDescent="0.2">
      <c r="F32" t="str">
        <f>'Stats G1'!A33</f>
        <v>Ibe</v>
      </c>
      <c r="G32" t="str">
        <f>'Stats G1'!B33</f>
        <v>Gerlach</v>
      </c>
      <c r="H32">
        <f>'Stats G1'!C33</f>
        <v>20</v>
      </c>
      <c r="I32">
        <f>'Stats G1'!H33*2+'Stats G1'!N33*3+'Stats G1'!T33</f>
        <v>18</v>
      </c>
      <c r="J32" t="str">
        <f>SUM('Stats G1'!H33+'Stats G1'!N33)&amp;"-"&amp;SUM('Stats G1'!E33+'Stats G1'!K33)</f>
        <v>7-13</v>
      </c>
      <c r="K32" t="str">
        <f>SUM('Stats G1'!N33)&amp;"-"&amp;SUM('Stats G1'!K33)</f>
        <v>3-8</v>
      </c>
      <c r="L32" t="str">
        <f>SUM('Stats G1'!T33)&amp;"-"&amp;SUM('Stats G1'!Q33)</f>
        <v>1-1</v>
      </c>
      <c r="M32">
        <f>'Stats G1'!W33</f>
        <v>0</v>
      </c>
    </row>
    <row r="33" spans="6:13" x14ac:dyDescent="0.2">
      <c r="F33" t="str">
        <f>'Stats G1'!A34</f>
        <v>Justin</v>
      </c>
      <c r="G33" t="str">
        <f>'Stats G1'!B34</f>
        <v>Harmon</v>
      </c>
      <c r="H33">
        <f>'Stats G1'!C34</f>
        <v>24</v>
      </c>
      <c r="I33">
        <f>'Stats G1'!H34*2+'Stats G1'!N34*3+'Stats G1'!T34</f>
        <v>0</v>
      </c>
      <c r="J33" t="str">
        <f>SUM('Stats G1'!H34+'Stats G1'!N34)&amp;"-"&amp;SUM('Stats G1'!E34+'Stats G1'!K34)</f>
        <v>0-0</v>
      </c>
      <c r="K33" t="str">
        <f>SUM('Stats G1'!N34)&amp;"-"&amp;SUM('Stats G1'!K34)</f>
        <v>0-0</v>
      </c>
      <c r="L33" t="str">
        <f>SUM('Stats G1'!T34)&amp;"-"&amp;SUM('Stats G1'!Q34)</f>
        <v>0-0</v>
      </c>
      <c r="M33">
        <f>'Stats G1'!W34</f>
        <v>0</v>
      </c>
    </row>
    <row r="34" spans="6:13" x14ac:dyDescent="0.2">
      <c r="F34" t="str">
        <f>'Stats G1'!A35</f>
        <v>KJ</v>
      </c>
      <c r="G34" t="str">
        <f>'Stats G1'!B35</f>
        <v>Cunningham</v>
      </c>
      <c r="I34">
        <f>'Stats G1'!H35*2+'Stats G1'!N35*3+'Stats G1'!T35</f>
        <v>0</v>
      </c>
      <c r="J34" t="str">
        <f>SUM('Stats G1'!H35+'Stats G1'!N35)&amp;"-"&amp;SUM('Stats G1'!E35+'Stats G1'!K35)</f>
        <v>0-0</v>
      </c>
      <c r="K34" t="str">
        <f>SUM('Stats G1'!N35)&amp;"-"&amp;SUM('Stats G1'!K35)</f>
        <v>0-0</v>
      </c>
      <c r="L34" t="str">
        <f>SUM('Stats G1'!T35)&amp;"-"&amp;SUM('Stats G1'!Q35)</f>
        <v>0-0</v>
      </c>
      <c r="M34">
        <f>'Stats G1'!W35</f>
        <v>0</v>
      </c>
    </row>
    <row r="35" spans="6:13" x14ac:dyDescent="0.2">
      <c r="F35" t="str">
        <f>'Stats G1'!A36</f>
        <v>?</v>
      </c>
      <c r="G35" t="str">
        <f>'Stats G1'!B36</f>
        <v>?</v>
      </c>
      <c r="H35" t="str">
        <f>'Stats G1'!C36</f>
        <v/>
      </c>
      <c r="I35">
        <f>'Stats G1'!H36*2+'Stats G1'!N36*3+'Stats G1'!T36</f>
        <v>0</v>
      </c>
      <c r="J35" t="str">
        <f>SUM('Stats G1'!H36+'Stats G1'!N36)&amp;"-"&amp;SUM('Stats G1'!E36+'Stats G1'!K36)</f>
        <v>0-0</v>
      </c>
      <c r="K35" t="str">
        <f>SUM('Stats G1'!N36)&amp;"-"&amp;SUM('Stats G1'!K36)</f>
        <v>0-0</v>
      </c>
      <c r="L35" t="str">
        <f>SUM('Stats G1'!T36)&amp;"-"&amp;SUM('Stats G1'!Q36)</f>
        <v>0-0</v>
      </c>
      <c r="M35">
        <f>'Stats G1'!W36</f>
        <v>0</v>
      </c>
    </row>
    <row r="36" spans="6:13" x14ac:dyDescent="0.2">
      <c r="F36" t="str">
        <f>'Stats G1'!A37</f>
        <v>?</v>
      </c>
      <c r="G36" t="str">
        <f>'Stats G1'!B37</f>
        <v>?</v>
      </c>
      <c r="H36" t="str">
        <f>'Stats G1'!C37</f>
        <v/>
      </c>
      <c r="I36">
        <f>'Stats G1'!H37*2+'Stats G1'!N37*3+'Stats G1'!T37</f>
        <v>0</v>
      </c>
      <c r="J36" t="str">
        <f>SUM('Stats G1'!H37+'Stats G1'!N37)&amp;"-"&amp;SUM('Stats G1'!E37+'Stats G1'!K37)</f>
        <v>0-0</v>
      </c>
      <c r="K36" t="str">
        <f>SUM('Stats G1'!N37)&amp;"-"&amp;SUM('Stats G1'!K37)</f>
        <v>0-0</v>
      </c>
      <c r="L36" t="str">
        <f>SUM('Stats G1'!T37)&amp;"-"&amp;SUM('Stats G1'!Q37)</f>
        <v>0-0</v>
      </c>
      <c r="M36">
        <f>'Stats G1'!W37</f>
        <v>0</v>
      </c>
    </row>
    <row r="37" spans="6:13" x14ac:dyDescent="0.2">
      <c r="H37" s="2" t="s">
        <v>12</v>
      </c>
      <c r="I37">
        <f>SUM(I22:I36)</f>
        <v>99</v>
      </c>
      <c r="J37" t="str">
        <f>SUM('Stats G1'!H38+'Stats G1'!N38)&amp;"-"&amp;SUM('Stats G1'!E38+'Stats G1'!K38)</f>
        <v>40-84</v>
      </c>
      <c r="K37" t="str">
        <f>SUM('Stats G1'!N38)&amp;"-"&amp;SUM('Stats G1'!K38)</f>
        <v>9-35</v>
      </c>
      <c r="L37" t="str">
        <f>SUM('Stats G1'!T38)&amp;"-"&amp;SUM('Stats G1'!Q38)</f>
        <v>10-17</v>
      </c>
      <c r="M37">
        <f>SUM(M22:M36)</f>
        <v>0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X38"/>
  <sheetViews>
    <sheetView topLeftCell="A3" zoomScale="64" zoomScaleNormal="90" workbookViewId="0">
      <selection activeCell="A23" sqref="A23"/>
    </sheetView>
  </sheetViews>
  <sheetFormatPr baseColWidth="10" defaultColWidth="10.6640625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</cols>
  <sheetData>
    <row r="1" spans="1:24" hidden="1" x14ac:dyDescent="0.2">
      <c r="A1" s="1" t="s">
        <v>17</v>
      </c>
      <c r="B1" t="s">
        <v>19</v>
      </c>
      <c r="C1" t="s">
        <v>18</v>
      </c>
    </row>
    <row r="2" spans="1:24" hidden="1" x14ac:dyDescent="0.2"/>
    <row r="3" spans="1:24" x14ac:dyDescent="0.2">
      <c r="A3" s="2" t="s">
        <v>15</v>
      </c>
      <c r="B3" s="1" t="s">
        <v>116</v>
      </c>
    </row>
    <row r="4" spans="1:24" x14ac:dyDescent="0.2">
      <c r="A4" t="s">
        <v>1</v>
      </c>
      <c r="B4" t="s">
        <v>2</v>
      </c>
      <c r="C4" t="s">
        <v>0</v>
      </c>
      <c r="E4" t="s">
        <v>3</v>
      </c>
      <c r="H4" t="s">
        <v>4</v>
      </c>
      <c r="K4" t="s">
        <v>5</v>
      </c>
      <c r="N4" t="s">
        <v>6</v>
      </c>
      <c r="Q4" t="s">
        <v>25</v>
      </c>
      <c r="T4" t="s">
        <v>26</v>
      </c>
      <c r="W4" t="s">
        <v>27</v>
      </c>
    </row>
    <row r="5" spans="1:24" s="6" customFormat="1" x14ac:dyDescent="0.2">
      <c r="A5" t="s">
        <v>138</v>
      </c>
      <c r="B5" t="s">
        <v>137</v>
      </c>
      <c r="C5">
        <v>3</v>
      </c>
      <c r="D5" s="5"/>
      <c r="E5" s="5">
        <v>12</v>
      </c>
      <c r="F5" s="5"/>
      <c r="G5" s="5"/>
      <c r="H5" s="5">
        <v>7</v>
      </c>
      <c r="I5" s="5"/>
      <c r="J5" s="5"/>
      <c r="K5" s="5">
        <v>5</v>
      </c>
      <c r="L5" s="5"/>
      <c r="M5" s="5"/>
      <c r="N5" s="5">
        <v>1</v>
      </c>
      <c r="O5" s="5"/>
      <c r="P5" s="5"/>
      <c r="Q5" s="5">
        <v>3</v>
      </c>
      <c r="R5" s="5"/>
      <c r="S5" s="5"/>
      <c r="T5" s="5">
        <v>3</v>
      </c>
      <c r="U5" s="5"/>
      <c r="V5" s="5"/>
      <c r="W5" s="5">
        <v>0</v>
      </c>
      <c r="X5" s="5"/>
    </row>
    <row r="6" spans="1:24" s="6" customFormat="1" x14ac:dyDescent="0.2">
      <c r="A6" t="s">
        <v>136</v>
      </c>
      <c r="B6" t="s">
        <v>135</v>
      </c>
      <c r="C6">
        <v>21</v>
      </c>
      <c r="E6" s="6">
        <v>0</v>
      </c>
      <c r="H6" s="6">
        <v>0</v>
      </c>
      <c r="K6" s="6">
        <v>0</v>
      </c>
      <c r="N6" s="6">
        <v>0</v>
      </c>
      <c r="Q6" s="6">
        <v>0</v>
      </c>
      <c r="T6" s="6">
        <v>0</v>
      </c>
      <c r="W6" s="6">
        <v>0</v>
      </c>
    </row>
    <row r="7" spans="1:24" s="6" customFormat="1" x14ac:dyDescent="0.2">
      <c r="A7" t="s">
        <v>134</v>
      </c>
      <c r="B7" t="s">
        <v>133</v>
      </c>
      <c r="C7">
        <v>15</v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  <c r="V7" s="5"/>
      <c r="W7" s="5">
        <v>0</v>
      </c>
      <c r="X7" s="5"/>
    </row>
    <row r="8" spans="1:24" s="6" customFormat="1" x14ac:dyDescent="0.2">
      <c r="A8" t="s">
        <v>132</v>
      </c>
      <c r="B8" t="s">
        <v>131</v>
      </c>
      <c r="C8">
        <v>5</v>
      </c>
      <c r="E8" s="6">
        <v>3</v>
      </c>
      <c r="H8" s="6">
        <v>2</v>
      </c>
      <c r="K8" s="6">
        <v>0</v>
      </c>
      <c r="N8" s="6">
        <v>0</v>
      </c>
      <c r="Q8" s="6">
        <v>2</v>
      </c>
      <c r="T8" s="6">
        <v>1</v>
      </c>
      <c r="W8" s="6">
        <v>0</v>
      </c>
    </row>
    <row r="9" spans="1:24" s="6" customFormat="1" x14ac:dyDescent="0.2">
      <c r="A9" t="s">
        <v>130</v>
      </c>
      <c r="B9" t="s">
        <v>129</v>
      </c>
      <c r="C9">
        <v>7</v>
      </c>
      <c r="D9" s="5"/>
      <c r="E9" s="5">
        <v>5</v>
      </c>
      <c r="F9" s="5"/>
      <c r="G9" s="5"/>
      <c r="H9" s="5">
        <v>3</v>
      </c>
      <c r="I9" s="5"/>
      <c r="J9" s="5"/>
      <c r="K9" s="5">
        <v>1</v>
      </c>
      <c r="L9" s="5"/>
      <c r="M9" s="5"/>
      <c r="N9" s="5">
        <v>1</v>
      </c>
      <c r="O9" s="5"/>
      <c r="P9" s="5"/>
      <c r="Q9" s="5">
        <v>0</v>
      </c>
      <c r="R9" s="5"/>
      <c r="S9" s="5"/>
      <c r="T9" s="5">
        <v>0</v>
      </c>
      <c r="U9" s="5"/>
      <c r="V9" s="5"/>
      <c r="W9" s="5">
        <v>0</v>
      </c>
      <c r="X9" s="5"/>
    </row>
    <row r="10" spans="1:24" s="6" customFormat="1" x14ac:dyDescent="0.2">
      <c r="A10" t="s">
        <v>128</v>
      </c>
      <c r="B10" t="s">
        <v>127</v>
      </c>
      <c r="C10">
        <v>24</v>
      </c>
      <c r="E10" s="6">
        <v>7</v>
      </c>
      <c r="H10" s="6">
        <v>5</v>
      </c>
      <c r="K10" s="6">
        <v>0</v>
      </c>
      <c r="N10" s="6">
        <v>0</v>
      </c>
      <c r="Q10" s="6">
        <v>0</v>
      </c>
      <c r="T10" s="6">
        <v>0</v>
      </c>
      <c r="W10" s="6">
        <v>0</v>
      </c>
    </row>
    <row r="11" spans="1:24" s="6" customFormat="1" x14ac:dyDescent="0.2">
      <c r="A11" t="s">
        <v>126</v>
      </c>
      <c r="B11" t="s">
        <v>125</v>
      </c>
      <c r="C11">
        <v>8</v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  <c r="V11" s="5"/>
      <c r="W11" s="5">
        <v>0</v>
      </c>
      <c r="X11" s="5"/>
    </row>
    <row r="12" spans="1:24" s="6" customFormat="1" x14ac:dyDescent="0.2">
      <c r="A12" t="s">
        <v>124</v>
      </c>
      <c r="B12" t="s">
        <v>123</v>
      </c>
      <c r="C12">
        <v>20</v>
      </c>
      <c r="E12" s="6">
        <v>13</v>
      </c>
      <c r="H12" s="6">
        <v>8</v>
      </c>
      <c r="K12" s="6">
        <v>0</v>
      </c>
      <c r="N12" s="6">
        <v>0</v>
      </c>
      <c r="Q12" s="6">
        <v>2</v>
      </c>
      <c r="T12" s="6">
        <v>0</v>
      </c>
      <c r="W12" s="6">
        <v>0</v>
      </c>
    </row>
    <row r="13" spans="1:24" s="6" customFormat="1" x14ac:dyDescent="0.2">
      <c r="A13" t="s">
        <v>122</v>
      </c>
      <c r="B13" t="s">
        <v>121</v>
      </c>
      <c r="C13">
        <v>22</v>
      </c>
      <c r="D13" s="5"/>
      <c r="E13" s="5">
        <v>8</v>
      </c>
      <c r="F13" s="5"/>
      <c r="G13" s="5"/>
      <c r="H13" s="5">
        <v>4</v>
      </c>
      <c r="I13" s="5"/>
      <c r="J13" s="5"/>
      <c r="K13" s="5">
        <v>9</v>
      </c>
      <c r="L13" s="5"/>
      <c r="M13" s="5"/>
      <c r="N13" s="5">
        <v>5</v>
      </c>
      <c r="O13" s="5"/>
      <c r="P13" s="5"/>
      <c r="Q13" s="5">
        <v>4</v>
      </c>
      <c r="R13" s="5"/>
      <c r="S13" s="5"/>
      <c r="T13" s="5">
        <v>3</v>
      </c>
      <c r="U13" s="5"/>
      <c r="V13" s="5"/>
      <c r="W13" s="5">
        <v>0</v>
      </c>
      <c r="X13" s="5"/>
    </row>
    <row r="14" spans="1:24" s="6" customFormat="1" x14ac:dyDescent="0.2">
      <c r="A14" t="s">
        <v>120</v>
      </c>
      <c r="B14" t="s">
        <v>119</v>
      </c>
      <c r="C14">
        <v>23</v>
      </c>
      <c r="E14" s="6">
        <v>3</v>
      </c>
      <c r="H14" s="6">
        <v>3</v>
      </c>
      <c r="K14" s="6">
        <v>1</v>
      </c>
      <c r="N14" s="6">
        <v>1</v>
      </c>
      <c r="Q14" s="6">
        <v>0</v>
      </c>
      <c r="T14" s="6">
        <v>0</v>
      </c>
      <c r="W14" s="6">
        <v>0</v>
      </c>
    </row>
    <row r="15" spans="1:24" s="6" customFormat="1" x14ac:dyDescent="0.2">
      <c r="A15" t="s">
        <v>118</v>
      </c>
      <c r="B15" t="s">
        <v>117</v>
      </c>
      <c r="C15">
        <v>12</v>
      </c>
      <c r="D15" s="5"/>
      <c r="E15" s="5">
        <v>16</v>
      </c>
      <c r="F15" s="5"/>
      <c r="G15" s="5"/>
      <c r="H15" s="5">
        <v>11</v>
      </c>
      <c r="I15" s="5"/>
      <c r="J15" s="5"/>
      <c r="K15" s="5">
        <v>3</v>
      </c>
      <c r="L15" s="5"/>
      <c r="M15" s="5"/>
      <c r="N15" s="5">
        <v>2</v>
      </c>
      <c r="O15" s="5"/>
      <c r="P15" s="5"/>
      <c r="Q15" s="5">
        <v>10</v>
      </c>
      <c r="R15" s="5"/>
      <c r="S15" s="5"/>
      <c r="T15" s="5">
        <v>8</v>
      </c>
      <c r="U15" s="5"/>
      <c r="V15" s="5"/>
      <c r="W15" s="5">
        <v>0</v>
      </c>
      <c r="X15" s="5"/>
    </row>
    <row r="16" spans="1:24" s="6" customFormat="1" x14ac:dyDescent="0.2">
      <c r="A16" t="s">
        <v>115</v>
      </c>
      <c r="B16" t="s">
        <v>114</v>
      </c>
      <c r="C16">
        <v>23</v>
      </c>
      <c r="E16" s="6">
        <v>0</v>
      </c>
      <c r="H16" s="6">
        <v>0</v>
      </c>
      <c r="K16" s="6">
        <v>0</v>
      </c>
      <c r="N16" s="6">
        <v>0</v>
      </c>
      <c r="Q16" s="6">
        <v>2</v>
      </c>
      <c r="T16" s="6">
        <v>2</v>
      </c>
      <c r="W16" s="6">
        <v>0</v>
      </c>
    </row>
    <row r="17" spans="1:24" s="6" customFormat="1" x14ac:dyDescent="0.2">
      <c r="A17" s="5" t="str">
        <f>_xlfn.IFNA(VLOOKUP($B$3&amp;ROWS($A$5:A17),Rosters!$B$89:$C$163,2,0),"?")</f>
        <v>?</v>
      </c>
      <c r="B17" s="5" t="str">
        <f>_xlfn.IFNA(VLOOKUP($B$3&amp;ROWS($B$5:B17),Rosters!$B$89:$D$163,3,0),"?")</f>
        <v>?</v>
      </c>
      <c r="C17" s="5">
        <v>10</v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3</v>
      </c>
      <c r="R17" s="5"/>
      <c r="S17" s="5"/>
      <c r="T17" s="5">
        <v>2</v>
      </c>
      <c r="U17" s="5"/>
      <c r="V17" s="5"/>
      <c r="W17" s="5">
        <v>0</v>
      </c>
      <c r="X17" s="5"/>
    </row>
    <row r="18" spans="1:24" s="6" customFormat="1" x14ac:dyDescent="0.2">
      <c r="A18" s="6" t="str">
        <f>_xlfn.IFNA(VLOOKUP($B$3&amp;ROWS($A$5:A18),Rosters!$B$89:$C$163,2,0),"?")</f>
        <v>?</v>
      </c>
      <c r="B18" s="6" t="str">
        <f>_xlfn.IFNA(VLOOKUP($B$3&amp;ROWS($B$5:B18),Rosters!$B$89:$D$163,3,0),"?")</f>
        <v>?</v>
      </c>
      <c r="C18" s="6" t="str">
        <f>_xlfn.IFNA(VLOOKUP($B$3&amp;ROWS($C$5:C18),Rosters!$B$89:$E$163,4,0),"")</f>
        <v/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  <c r="W18" s="6">
        <v>0</v>
      </c>
    </row>
    <row r="19" spans="1:24" s="6" customFormat="1" x14ac:dyDescent="0.2">
      <c r="A19" s="5" t="str">
        <f>_xlfn.IFNA(VLOOKUP($B$3&amp;ROWS($A$5:A19),Rosters!$B$89:$C$163,2,0),"?")</f>
        <v>?</v>
      </c>
      <c r="B19" s="5" t="str">
        <f>_xlfn.IFNA(VLOOKUP($B$3&amp;ROWS($B$5:B19),Rosters!$B$89:$D$163,3,0),"?")</f>
        <v>?</v>
      </c>
      <c r="C19" s="5" t="str">
        <f>_xlfn.IFNA(VLOOKUP($B$3&amp;ROWS($C$5:C19),Rosters!$B$89:$E$163,4,0),"")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  <c r="V19" s="5"/>
      <c r="W19" s="5">
        <v>0</v>
      </c>
      <c r="X19" s="5"/>
    </row>
    <row r="20" spans="1:24" s="6" customFormat="1" x14ac:dyDescent="0.2">
      <c r="E20" s="6">
        <f>SUM(E5:E19)</f>
        <v>67</v>
      </c>
      <c r="H20" s="6">
        <f>SUM(H5:H19)</f>
        <v>43</v>
      </c>
      <c r="K20" s="6">
        <f>SUM(K5:K19)</f>
        <v>19</v>
      </c>
      <c r="N20" s="6">
        <f>SUM(N5:N19)</f>
        <v>10</v>
      </c>
      <c r="Q20" s="6">
        <f>SUM(Q5:Q19)</f>
        <v>26</v>
      </c>
      <c r="T20" s="6">
        <f>SUM(T5:T19)</f>
        <v>19</v>
      </c>
      <c r="W20" s="6">
        <f>SUM(W5:W19)</f>
        <v>0</v>
      </c>
    </row>
    <row r="21" spans="1:24" x14ac:dyDescent="0.2">
      <c r="A21" s="2" t="s">
        <v>16</v>
      </c>
      <c r="B21" s="1" t="s">
        <v>30</v>
      </c>
    </row>
    <row r="22" spans="1:24" x14ac:dyDescent="0.2">
      <c r="A22" t="s">
        <v>1</v>
      </c>
      <c r="B22" t="s">
        <v>2</v>
      </c>
      <c r="C22" t="s">
        <v>0</v>
      </c>
      <c r="E22" t="s">
        <v>3</v>
      </c>
      <c r="H22" t="s">
        <v>4</v>
      </c>
      <c r="K22" t="s">
        <v>5</v>
      </c>
      <c r="N22" t="s">
        <v>6</v>
      </c>
      <c r="Q22" t="s">
        <v>25</v>
      </c>
      <c r="T22" t="s">
        <v>26</v>
      </c>
      <c r="W22" t="s">
        <v>27</v>
      </c>
    </row>
    <row r="23" spans="1:24" s="6" customFormat="1" x14ac:dyDescent="0.2">
      <c r="A23" t="s">
        <v>54</v>
      </c>
      <c r="B23" t="s">
        <v>53</v>
      </c>
      <c r="C23">
        <v>0</v>
      </c>
      <c r="D23" s="5"/>
      <c r="E23" s="5">
        <v>2</v>
      </c>
      <c r="F23" s="5"/>
      <c r="G23" s="5"/>
      <c r="H23" s="5">
        <v>1</v>
      </c>
      <c r="I23" s="5"/>
      <c r="J23" s="5"/>
      <c r="K23" s="5">
        <v>1</v>
      </c>
      <c r="L23" s="5"/>
      <c r="M23" s="5"/>
      <c r="N23" s="5">
        <v>0</v>
      </c>
      <c r="O23" s="5"/>
      <c r="P23" s="5"/>
      <c r="Q23" s="5">
        <v>2</v>
      </c>
      <c r="R23" s="5"/>
      <c r="S23" s="5"/>
      <c r="T23" s="5">
        <v>2</v>
      </c>
      <c r="U23" s="5"/>
      <c r="V23" s="5"/>
      <c r="W23" s="5">
        <v>0</v>
      </c>
      <c r="X23" s="5"/>
    </row>
    <row r="24" spans="1:24" x14ac:dyDescent="0.2">
      <c r="A24" t="s">
        <v>52</v>
      </c>
      <c r="B24" t="s">
        <v>51</v>
      </c>
      <c r="C24">
        <v>32</v>
      </c>
      <c r="D24" s="6"/>
      <c r="E24" s="6">
        <v>7</v>
      </c>
      <c r="F24" s="6"/>
      <c r="G24" s="6"/>
      <c r="H24" s="6">
        <v>4</v>
      </c>
      <c r="I24" s="6"/>
      <c r="J24" s="6"/>
      <c r="K24" s="6">
        <v>0</v>
      </c>
      <c r="L24" s="6"/>
      <c r="M24" s="6"/>
      <c r="N24" s="6">
        <v>0</v>
      </c>
      <c r="O24" s="6"/>
      <c r="P24" s="6"/>
      <c r="Q24" s="6">
        <v>2</v>
      </c>
      <c r="R24" s="6"/>
      <c r="S24" s="6"/>
      <c r="T24" s="6">
        <v>0</v>
      </c>
      <c r="U24" s="6"/>
      <c r="V24" s="6"/>
      <c r="W24" s="6">
        <v>0</v>
      </c>
      <c r="X24" s="6"/>
    </row>
    <row r="25" spans="1:24" s="6" customFormat="1" x14ac:dyDescent="0.2">
      <c r="A25" t="s">
        <v>50</v>
      </c>
      <c r="B25" t="s">
        <v>49</v>
      </c>
      <c r="C25">
        <v>1</v>
      </c>
      <c r="D25" s="5"/>
      <c r="E25" s="5">
        <v>11</v>
      </c>
      <c r="F25" s="5"/>
      <c r="G25" s="5"/>
      <c r="H25" s="5">
        <v>9</v>
      </c>
      <c r="I25" s="5"/>
      <c r="J25" s="5"/>
      <c r="K25" s="5">
        <v>11</v>
      </c>
      <c r="L25" s="5"/>
      <c r="M25" s="5"/>
      <c r="N25" s="5">
        <v>3</v>
      </c>
      <c r="O25" s="5"/>
      <c r="P25" s="5"/>
      <c r="Q25" s="5">
        <v>1</v>
      </c>
      <c r="R25" s="5"/>
      <c r="S25" s="5"/>
      <c r="T25" s="5">
        <v>0</v>
      </c>
      <c r="U25" s="5"/>
      <c r="V25" s="5"/>
      <c r="W25" s="5">
        <v>0</v>
      </c>
      <c r="X25" s="5"/>
    </row>
    <row r="26" spans="1:24" x14ac:dyDescent="0.2">
      <c r="A26" t="s">
        <v>48</v>
      </c>
      <c r="B26" t="s">
        <v>47</v>
      </c>
      <c r="C26">
        <v>5</v>
      </c>
      <c r="D26" s="6"/>
      <c r="E26" s="6">
        <v>11</v>
      </c>
      <c r="F26" s="6"/>
      <c r="G26" s="6"/>
      <c r="H26" s="6">
        <v>4</v>
      </c>
      <c r="I26" s="6"/>
      <c r="J26" s="6"/>
      <c r="K26" s="6">
        <v>7</v>
      </c>
      <c r="L26" s="6"/>
      <c r="M26" s="6"/>
      <c r="N26" s="6">
        <v>1</v>
      </c>
      <c r="O26" s="6"/>
      <c r="P26" s="6"/>
      <c r="Q26" s="6">
        <v>3</v>
      </c>
      <c r="R26" s="6"/>
      <c r="S26" s="6"/>
      <c r="T26" s="6">
        <v>2</v>
      </c>
      <c r="U26" s="6"/>
      <c r="V26" s="6"/>
      <c r="W26" s="6">
        <v>0</v>
      </c>
      <c r="X26" s="6"/>
    </row>
    <row r="27" spans="1:24" s="6" customFormat="1" x14ac:dyDescent="0.2">
      <c r="A27" t="s">
        <v>46</v>
      </c>
      <c r="B27" t="s">
        <v>45</v>
      </c>
      <c r="C27">
        <v>2</v>
      </c>
      <c r="D27" s="5"/>
      <c r="E27" s="5">
        <v>9</v>
      </c>
      <c r="F27" s="5"/>
      <c r="G27" s="5"/>
      <c r="H27" s="5">
        <v>6</v>
      </c>
      <c r="I27" s="5"/>
      <c r="J27" s="5"/>
      <c r="K27" s="5">
        <v>3</v>
      </c>
      <c r="L27" s="5"/>
      <c r="M27" s="5"/>
      <c r="N27" s="5">
        <v>1</v>
      </c>
      <c r="O27" s="5"/>
      <c r="P27" s="5"/>
      <c r="Q27" s="5">
        <v>2</v>
      </c>
      <c r="R27" s="5"/>
      <c r="S27" s="5"/>
      <c r="T27" s="5">
        <v>2</v>
      </c>
      <c r="U27" s="5"/>
      <c r="V27" s="5"/>
      <c r="W27" s="5">
        <v>0</v>
      </c>
      <c r="X27" s="5"/>
    </row>
    <row r="28" spans="1:24" x14ac:dyDescent="0.2">
      <c r="A28" t="s">
        <v>44</v>
      </c>
      <c r="B28" t="s">
        <v>43</v>
      </c>
      <c r="C28">
        <v>11</v>
      </c>
      <c r="D28" s="6"/>
      <c r="E28" s="6">
        <v>1</v>
      </c>
      <c r="F28" s="6"/>
      <c r="G28" s="6"/>
      <c r="H28" s="6">
        <v>0</v>
      </c>
      <c r="I28" s="6"/>
      <c r="J28" s="6"/>
      <c r="K28" s="6">
        <v>3</v>
      </c>
      <c r="L28" s="6"/>
      <c r="M28" s="6"/>
      <c r="N28" s="6">
        <v>1</v>
      </c>
      <c r="O28" s="6"/>
      <c r="P28" s="6"/>
      <c r="Q28" s="6">
        <v>0</v>
      </c>
      <c r="R28" s="6"/>
      <c r="S28" s="6"/>
      <c r="T28" s="6">
        <v>0</v>
      </c>
      <c r="U28" s="6"/>
      <c r="V28" s="6"/>
      <c r="W28" s="6">
        <v>0</v>
      </c>
      <c r="X28" s="6"/>
    </row>
    <row r="29" spans="1:24" s="6" customFormat="1" x14ac:dyDescent="0.2">
      <c r="A29" t="s">
        <v>42</v>
      </c>
      <c r="B29" t="s">
        <v>41</v>
      </c>
      <c r="C29">
        <v>20</v>
      </c>
      <c r="D29" s="5"/>
      <c r="E29" s="5">
        <v>0</v>
      </c>
      <c r="F29" s="5"/>
      <c r="G29" s="5"/>
      <c r="H29" s="5">
        <v>0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  <c r="V29" s="5"/>
      <c r="W29" s="5">
        <v>0</v>
      </c>
      <c r="X29" s="5"/>
    </row>
    <row r="30" spans="1:24" x14ac:dyDescent="0.2">
      <c r="A30" t="s">
        <v>40</v>
      </c>
      <c r="B30" t="s">
        <v>39</v>
      </c>
      <c r="C30">
        <v>59</v>
      </c>
      <c r="D30" s="6"/>
      <c r="E30" s="6">
        <v>0</v>
      </c>
      <c r="F30" s="6"/>
      <c r="G30" s="6"/>
      <c r="H30" s="6">
        <v>0</v>
      </c>
      <c r="I30" s="6"/>
      <c r="J30" s="6"/>
      <c r="K30" s="6">
        <v>0</v>
      </c>
      <c r="L30" s="6"/>
      <c r="M30" s="6"/>
      <c r="N30" s="6">
        <v>0</v>
      </c>
      <c r="O30" s="6"/>
      <c r="P30" s="6"/>
      <c r="Q30" s="6">
        <v>0</v>
      </c>
      <c r="R30" s="6"/>
      <c r="S30" s="6"/>
      <c r="T30" s="6">
        <v>0</v>
      </c>
      <c r="U30" s="6"/>
      <c r="V30" s="6"/>
      <c r="W30" s="6">
        <v>0</v>
      </c>
      <c r="X30" s="6"/>
    </row>
    <row r="31" spans="1:24" s="6" customFormat="1" x14ac:dyDescent="0.2">
      <c r="A31" t="s">
        <v>38</v>
      </c>
      <c r="B31" t="s">
        <v>37</v>
      </c>
      <c r="C31">
        <v>35</v>
      </c>
      <c r="D31" s="5"/>
      <c r="E31" s="5">
        <v>0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  <c r="V31" s="5"/>
      <c r="W31" s="5">
        <v>0</v>
      </c>
      <c r="X31" s="5"/>
    </row>
    <row r="32" spans="1:24" x14ac:dyDescent="0.2">
      <c r="A32" t="s">
        <v>36</v>
      </c>
      <c r="B32" t="s">
        <v>35</v>
      </c>
      <c r="C32">
        <v>3</v>
      </c>
      <c r="D32" s="6"/>
      <c r="E32" s="6">
        <v>3</v>
      </c>
      <c r="F32" s="6"/>
      <c r="G32" s="6"/>
      <c r="H32" s="6">
        <v>3</v>
      </c>
      <c r="I32" s="6"/>
      <c r="J32" s="6"/>
      <c r="K32" s="6">
        <v>2</v>
      </c>
      <c r="L32" s="6"/>
      <c r="M32" s="6"/>
      <c r="N32" s="6">
        <v>0</v>
      </c>
      <c r="O32" s="6"/>
      <c r="P32" s="6"/>
      <c r="Q32" s="6">
        <v>6</v>
      </c>
      <c r="R32" s="6"/>
      <c r="S32" s="6"/>
      <c r="T32" s="6">
        <v>3</v>
      </c>
      <c r="U32" s="6"/>
      <c r="V32" s="6"/>
      <c r="W32" s="6">
        <v>0</v>
      </c>
      <c r="X32" s="6"/>
    </row>
    <row r="33" spans="1:24" s="6" customFormat="1" x14ac:dyDescent="0.2">
      <c r="A33" t="s">
        <v>34</v>
      </c>
      <c r="B33" t="s">
        <v>33</v>
      </c>
      <c r="C33">
        <v>20</v>
      </c>
      <c r="D33" s="5"/>
      <c r="E33" s="5">
        <v>5</v>
      </c>
      <c r="F33" s="5"/>
      <c r="G33" s="5"/>
      <c r="H33" s="5">
        <v>4</v>
      </c>
      <c r="I33" s="5"/>
      <c r="J33" s="5"/>
      <c r="K33" s="5">
        <v>8</v>
      </c>
      <c r="L33" s="5"/>
      <c r="M33" s="5"/>
      <c r="N33" s="5">
        <v>3</v>
      </c>
      <c r="O33" s="5"/>
      <c r="P33" s="5"/>
      <c r="Q33" s="5">
        <v>1</v>
      </c>
      <c r="R33" s="5"/>
      <c r="S33" s="5"/>
      <c r="T33" s="5">
        <v>1</v>
      </c>
      <c r="U33" s="5"/>
      <c r="V33" s="5"/>
      <c r="W33" s="5">
        <v>0</v>
      </c>
      <c r="X33" s="5"/>
    </row>
    <row r="34" spans="1:24" x14ac:dyDescent="0.2">
      <c r="A34" t="s">
        <v>32</v>
      </c>
      <c r="B34" t="s">
        <v>31</v>
      </c>
      <c r="C34">
        <v>24</v>
      </c>
      <c r="D34" s="6"/>
      <c r="E34" s="6">
        <v>0</v>
      </c>
      <c r="F34" s="6"/>
      <c r="G34" s="6"/>
      <c r="H34" s="6">
        <v>0</v>
      </c>
      <c r="I34" s="6"/>
      <c r="J34" s="6"/>
      <c r="K34" s="6">
        <v>0</v>
      </c>
      <c r="L34" s="6"/>
      <c r="M34" s="6"/>
      <c r="N34" s="6">
        <v>0</v>
      </c>
      <c r="O34" s="6"/>
      <c r="P34" s="6"/>
      <c r="Q34" s="6">
        <v>0</v>
      </c>
      <c r="R34" s="6"/>
      <c r="S34" s="6"/>
      <c r="T34" s="6">
        <v>0</v>
      </c>
      <c r="U34" s="6"/>
      <c r="V34" s="6"/>
      <c r="W34" s="6">
        <v>0</v>
      </c>
      <c r="X34" s="6"/>
    </row>
    <row r="35" spans="1:24" s="6" customFormat="1" x14ac:dyDescent="0.2">
      <c r="A35" t="s">
        <v>29</v>
      </c>
      <c r="B35" t="s">
        <v>28</v>
      </c>
      <c r="C35"/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  <c r="V35" s="5"/>
      <c r="W35" s="5">
        <v>0</v>
      </c>
      <c r="X35" s="5"/>
    </row>
    <row r="36" spans="1:24" x14ac:dyDescent="0.2">
      <c r="A36" t="str">
        <f>_xlfn.IFNA(VLOOKUP($B$21&amp;ROWS($A$23:A36),Rosters!$B$89:$C$163,2,0),"?")</f>
        <v>?</v>
      </c>
      <c r="B36" t="str">
        <f>_xlfn.IFNA(VLOOKUP($B$21&amp;ROWS($B$23:B36),Rosters!$B$89:$D$163,3,0),"?")</f>
        <v>?</v>
      </c>
      <c r="C36" t="str">
        <f>_xlfn.IFNA(VLOOKUP($B$21&amp;ROWS($C$23:C36),Rosters!$B$89:$E$163,4,0),"")</f>
        <v/>
      </c>
      <c r="D36" s="6"/>
      <c r="E36" s="6">
        <v>0</v>
      </c>
      <c r="F36" s="6"/>
      <c r="G36" s="6"/>
      <c r="H36" s="6">
        <v>0</v>
      </c>
      <c r="I36" s="6"/>
      <c r="J36" s="6"/>
      <c r="K36" s="6">
        <v>0</v>
      </c>
      <c r="L36" s="6"/>
      <c r="M36" s="6"/>
      <c r="N36" s="6">
        <v>0</v>
      </c>
      <c r="O36" s="6"/>
      <c r="P36" s="6"/>
      <c r="Q36" s="6">
        <v>0</v>
      </c>
      <c r="R36" s="6"/>
      <c r="S36" s="6"/>
      <c r="T36" s="6">
        <v>0</v>
      </c>
      <c r="U36" s="6"/>
      <c r="V36" s="6"/>
      <c r="W36" s="6">
        <v>0</v>
      </c>
      <c r="X36" s="6"/>
    </row>
    <row r="37" spans="1:24" s="6" customFormat="1" x14ac:dyDescent="0.2">
      <c r="A37" s="5" t="str">
        <f>_xlfn.IFNA(VLOOKUP($B$21&amp;ROWS($A$23:A37),Rosters!$B$89:$C$163,2,0),"?")</f>
        <v>?</v>
      </c>
      <c r="B37" s="5" t="str">
        <f>_xlfn.IFNA(VLOOKUP($B$21&amp;ROWS($B$23:B37),Rosters!$B$89:$D$163,3,0),"?")</f>
        <v>?</v>
      </c>
      <c r="C37" s="5" t="str">
        <f>_xlfn.IFNA(VLOOKUP($B$21&amp;ROWS($C$23:C37),Rosters!$B$89:$E$163,4,0),"")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  <c r="V37" s="5"/>
      <c r="W37" s="5">
        <v>0</v>
      </c>
      <c r="X37" s="5"/>
    </row>
    <row r="38" spans="1:24" x14ac:dyDescent="0.2">
      <c r="E38">
        <f>SUM(E23:E37)</f>
        <v>49</v>
      </c>
      <c r="H38">
        <f>SUM(H23:H37)</f>
        <v>31</v>
      </c>
      <c r="K38">
        <f>SUM(K23:K37)</f>
        <v>35</v>
      </c>
      <c r="N38">
        <f>SUM(N23:N37)</f>
        <v>9</v>
      </c>
      <c r="Q38">
        <f>SUM(Q23:Q37)</f>
        <v>17</v>
      </c>
      <c r="T38">
        <f>SUM(T23:T37)</f>
        <v>10</v>
      </c>
      <c r="W38">
        <f>SUM(W23:W37)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2" r:id="rId4" name="Button 58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4</xdr:row>
                    <xdr:rowOff>12700</xdr:rowOff>
                  </from>
                  <to>
                    <xdr:col>3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5" name="Button 58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4</xdr:row>
                    <xdr:rowOff>12700</xdr:rowOff>
                  </from>
                  <to>
                    <xdr:col>5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6" name="Button 66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5</xdr:row>
                    <xdr:rowOff>12700</xdr:rowOff>
                  </from>
                  <to>
                    <xdr:col>3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7" name="Button 66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5</xdr:row>
                    <xdr:rowOff>12700</xdr:rowOff>
                  </from>
                  <to>
                    <xdr:col>5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8" name="Button 66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6</xdr:row>
                    <xdr:rowOff>12700</xdr:rowOff>
                  </from>
                  <to>
                    <xdr:col>3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9" name="Button 66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6</xdr:row>
                    <xdr:rowOff>12700</xdr:rowOff>
                  </from>
                  <to>
                    <xdr:col>5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10" name="Button 67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7</xdr:row>
                    <xdr:rowOff>12700</xdr:rowOff>
                  </from>
                  <to>
                    <xdr:col>3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11" name="Button 67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7</xdr:row>
                    <xdr:rowOff>12700</xdr:rowOff>
                  </from>
                  <to>
                    <xdr:col>5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12" name="Button 67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8</xdr:row>
                    <xdr:rowOff>12700</xdr:rowOff>
                  </from>
                  <to>
                    <xdr:col>3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13" name="Button 67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8</xdr:row>
                    <xdr:rowOff>12700</xdr:rowOff>
                  </from>
                  <to>
                    <xdr:col>5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14" name="Button 67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9</xdr:row>
                    <xdr:rowOff>12700</xdr:rowOff>
                  </from>
                  <to>
                    <xdr:col>3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15" name="Button 67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9</xdr:row>
                    <xdr:rowOff>12700</xdr:rowOff>
                  </from>
                  <to>
                    <xdr:col>5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16" name="Button 67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10</xdr:row>
                    <xdr:rowOff>12700</xdr:rowOff>
                  </from>
                  <to>
                    <xdr:col>3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17" name="Button 67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10</xdr:row>
                    <xdr:rowOff>12700</xdr:rowOff>
                  </from>
                  <to>
                    <xdr:col>5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18" name="Button 67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11</xdr:row>
                    <xdr:rowOff>12700</xdr:rowOff>
                  </from>
                  <to>
                    <xdr:col>3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19" name="Button 67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11</xdr:row>
                    <xdr:rowOff>12700</xdr:rowOff>
                  </from>
                  <to>
                    <xdr:col>5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20" name="Button 68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12</xdr:row>
                    <xdr:rowOff>12700</xdr:rowOff>
                  </from>
                  <to>
                    <xdr:col>3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21" name="Button 68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12</xdr:row>
                    <xdr:rowOff>12700</xdr:rowOff>
                  </from>
                  <to>
                    <xdr:col>5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22" name="Button 68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13</xdr:row>
                    <xdr:rowOff>12700</xdr:rowOff>
                  </from>
                  <to>
                    <xdr:col>3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23" name="Button 68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13</xdr:row>
                    <xdr:rowOff>12700</xdr:rowOff>
                  </from>
                  <to>
                    <xdr:col>5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24" name="Button 68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14</xdr:row>
                    <xdr:rowOff>12700</xdr:rowOff>
                  </from>
                  <to>
                    <xdr:col>3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25" name="Button 68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14</xdr:row>
                    <xdr:rowOff>12700</xdr:rowOff>
                  </from>
                  <to>
                    <xdr:col>5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26" name="Button 69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22</xdr:row>
                    <xdr:rowOff>12700</xdr:rowOff>
                  </from>
                  <to>
                    <xdr:col>3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27" name="Button 69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22</xdr:row>
                    <xdr:rowOff>12700</xdr:rowOff>
                  </from>
                  <to>
                    <xdr:col>5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28" name="Button 69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23</xdr:row>
                    <xdr:rowOff>12700</xdr:rowOff>
                  </from>
                  <to>
                    <xdr:col>3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29" name="Button 69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23</xdr:row>
                    <xdr:rowOff>12700</xdr:rowOff>
                  </from>
                  <to>
                    <xdr:col>5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30" name="Button 70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24</xdr:row>
                    <xdr:rowOff>12700</xdr:rowOff>
                  </from>
                  <to>
                    <xdr:col>3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31" name="Button 70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24</xdr:row>
                    <xdr:rowOff>12700</xdr:rowOff>
                  </from>
                  <to>
                    <xdr:col>5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32" name="Button 70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25</xdr:row>
                    <xdr:rowOff>12700</xdr:rowOff>
                  </from>
                  <to>
                    <xdr:col>3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33" name="Button 70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25</xdr:row>
                    <xdr:rowOff>12700</xdr:rowOff>
                  </from>
                  <to>
                    <xdr:col>5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34" name="Button 70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26</xdr:row>
                    <xdr:rowOff>12700</xdr:rowOff>
                  </from>
                  <to>
                    <xdr:col>3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35" name="Button 70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26</xdr:row>
                    <xdr:rowOff>12700</xdr:rowOff>
                  </from>
                  <to>
                    <xdr:col>5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36" name="Button 70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27</xdr:row>
                    <xdr:rowOff>12700</xdr:rowOff>
                  </from>
                  <to>
                    <xdr:col>3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37" name="Button 70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27</xdr:row>
                    <xdr:rowOff>12700</xdr:rowOff>
                  </from>
                  <to>
                    <xdr:col>5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38" name="Button 70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28</xdr:row>
                    <xdr:rowOff>12700</xdr:rowOff>
                  </from>
                  <to>
                    <xdr:col>3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39" name="Button 70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28</xdr:row>
                    <xdr:rowOff>12700</xdr:rowOff>
                  </from>
                  <to>
                    <xdr:col>5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40" name="Button 71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29</xdr:row>
                    <xdr:rowOff>12700</xdr:rowOff>
                  </from>
                  <to>
                    <xdr:col>3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41" name="Button 71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29</xdr:row>
                    <xdr:rowOff>12700</xdr:rowOff>
                  </from>
                  <to>
                    <xdr:col>5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42" name="Button 71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30</xdr:row>
                    <xdr:rowOff>12700</xdr:rowOff>
                  </from>
                  <to>
                    <xdr:col>3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" r:id="rId43" name="Button 71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30</xdr:row>
                    <xdr:rowOff>12700</xdr:rowOff>
                  </from>
                  <to>
                    <xdr:col>5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" r:id="rId44" name="Button 71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31</xdr:row>
                    <xdr:rowOff>12700</xdr:rowOff>
                  </from>
                  <to>
                    <xdr:col>3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" r:id="rId45" name="Button 71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31</xdr:row>
                    <xdr:rowOff>12700</xdr:rowOff>
                  </from>
                  <to>
                    <xdr:col>5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" r:id="rId46" name="Button 71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32</xdr:row>
                    <xdr:rowOff>12700</xdr:rowOff>
                  </from>
                  <to>
                    <xdr:col>3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" r:id="rId47" name="Button 71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32</xdr:row>
                    <xdr:rowOff>12700</xdr:rowOff>
                  </from>
                  <to>
                    <xdr:col>5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" r:id="rId48" name="Button 71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33</xdr:row>
                    <xdr:rowOff>12700</xdr:rowOff>
                  </from>
                  <to>
                    <xdr:col>3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" r:id="rId49" name="Button 71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33</xdr:row>
                    <xdr:rowOff>12700</xdr:rowOff>
                  </from>
                  <to>
                    <xdr:col>5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" r:id="rId50" name="Button 72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34</xdr:row>
                    <xdr:rowOff>12700</xdr:rowOff>
                  </from>
                  <to>
                    <xdr:col>3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" r:id="rId51" name="Button 72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34</xdr:row>
                    <xdr:rowOff>12700</xdr:rowOff>
                  </from>
                  <to>
                    <xdr:col>5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" r:id="rId52" name="Button 72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35</xdr:row>
                    <xdr:rowOff>12700</xdr:rowOff>
                  </from>
                  <to>
                    <xdr:col>3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" r:id="rId53" name="Button 72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35</xdr:row>
                    <xdr:rowOff>12700</xdr:rowOff>
                  </from>
                  <to>
                    <xdr:col>5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" r:id="rId54" name="Button 72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36</xdr:row>
                    <xdr:rowOff>12700</xdr:rowOff>
                  </from>
                  <to>
                    <xdr:col>3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" r:id="rId55" name="Button 72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36</xdr:row>
                    <xdr:rowOff>12700</xdr:rowOff>
                  </from>
                  <to>
                    <xdr:col>5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" r:id="rId56" name="Button 72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15</xdr:row>
                    <xdr:rowOff>12700</xdr:rowOff>
                  </from>
                  <to>
                    <xdr:col>3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" r:id="rId57" name="Button 72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15</xdr:row>
                    <xdr:rowOff>12700</xdr:rowOff>
                  </from>
                  <to>
                    <xdr:col>5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" r:id="rId58" name="Button 73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16</xdr:row>
                    <xdr:rowOff>12700</xdr:rowOff>
                  </from>
                  <to>
                    <xdr:col>3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" r:id="rId59" name="Button 73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16</xdr:row>
                    <xdr:rowOff>12700</xdr:rowOff>
                  </from>
                  <to>
                    <xdr:col>5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" r:id="rId60" name="Button 73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17</xdr:row>
                    <xdr:rowOff>12700</xdr:rowOff>
                  </from>
                  <to>
                    <xdr:col>3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" r:id="rId61" name="Button 73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17</xdr:row>
                    <xdr:rowOff>12700</xdr:rowOff>
                  </from>
                  <to>
                    <xdr:col>5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" r:id="rId62" name="Button 73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18</xdr:row>
                    <xdr:rowOff>12700</xdr:rowOff>
                  </from>
                  <to>
                    <xdr:col>3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" r:id="rId63" name="Button 73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18</xdr:row>
                    <xdr:rowOff>12700</xdr:rowOff>
                  </from>
                  <to>
                    <xdr:col>5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" r:id="rId64" name="Button 73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4</xdr:row>
                    <xdr:rowOff>12700</xdr:rowOff>
                  </from>
                  <to>
                    <xdr:col>6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" r:id="rId65" name="Button 73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4</xdr:row>
                    <xdr:rowOff>12700</xdr:rowOff>
                  </from>
                  <to>
                    <xdr:col>8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66" name="Button 73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5</xdr:row>
                    <xdr:rowOff>12700</xdr:rowOff>
                  </from>
                  <to>
                    <xdr:col>6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67" name="Button 73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5</xdr:row>
                    <xdr:rowOff>12700</xdr:rowOff>
                  </from>
                  <to>
                    <xdr:col>8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" r:id="rId68" name="Button 74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6</xdr:row>
                    <xdr:rowOff>12700</xdr:rowOff>
                  </from>
                  <to>
                    <xdr:col>6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" r:id="rId69" name="Button 74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6</xdr:row>
                    <xdr:rowOff>12700</xdr:rowOff>
                  </from>
                  <to>
                    <xdr:col>8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" r:id="rId70" name="Button 74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7</xdr:row>
                    <xdr:rowOff>12700</xdr:rowOff>
                  </from>
                  <to>
                    <xdr:col>6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" r:id="rId71" name="Button 74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7</xdr:row>
                    <xdr:rowOff>12700</xdr:rowOff>
                  </from>
                  <to>
                    <xdr:col>8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" r:id="rId72" name="Button 74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8</xdr:row>
                    <xdr:rowOff>12700</xdr:rowOff>
                  </from>
                  <to>
                    <xdr:col>6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" r:id="rId73" name="Button 74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8</xdr:row>
                    <xdr:rowOff>12700</xdr:rowOff>
                  </from>
                  <to>
                    <xdr:col>8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" r:id="rId74" name="Button 74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9</xdr:row>
                    <xdr:rowOff>12700</xdr:rowOff>
                  </from>
                  <to>
                    <xdr:col>6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" r:id="rId75" name="Button 74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9</xdr:row>
                    <xdr:rowOff>12700</xdr:rowOff>
                  </from>
                  <to>
                    <xdr:col>8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" r:id="rId76" name="Button 74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10</xdr:row>
                    <xdr:rowOff>12700</xdr:rowOff>
                  </from>
                  <to>
                    <xdr:col>6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" r:id="rId77" name="Button 74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10</xdr:row>
                    <xdr:rowOff>12700</xdr:rowOff>
                  </from>
                  <to>
                    <xdr:col>8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" r:id="rId78" name="Button 75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11</xdr:row>
                    <xdr:rowOff>12700</xdr:rowOff>
                  </from>
                  <to>
                    <xdr:col>6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" r:id="rId79" name="Button 75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11</xdr:row>
                    <xdr:rowOff>12700</xdr:rowOff>
                  </from>
                  <to>
                    <xdr:col>8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" r:id="rId80" name="Button 75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12</xdr:row>
                    <xdr:rowOff>12700</xdr:rowOff>
                  </from>
                  <to>
                    <xdr:col>6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" r:id="rId81" name="Button 75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12</xdr:row>
                    <xdr:rowOff>12700</xdr:rowOff>
                  </from>
                  <to>
                    <xdr:col>8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" r:id="rId82" name="Button 75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13</xdr:row>
                    <xdr:rowOff>12700</xdr:rowOff>
                  </from>
                  <to>
                    <xdr:col>6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" r:id="rId83" name="Button 75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13</xdr:row>
                    <xdr:rowOff>12700</xdr:rowOff>
                  </from>
                  <to>
                    <xdr:col>8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" r:id="rId84" name="Button 75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14</xdr:row>
                    <xdr:rowOff>12700</xdr:rowOff>
                  </from>
                  <to>
                    <xdr:col>6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" r:id="rId85" name="Button 75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14</xdr:row>
                    <xdr:rowOff>12700</xdr:rowOff>
                  </from>
                  <to>
                    <xdr:col>8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" r:id="rId86" name="Button 75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22</xdr:row>
                    <xdr:rowOff>12700</xdr:rowOff>
                  </from>
                  <to>
                    <xdr:col>6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" r:id="rId87" name="Button 75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22</xdr:row>
                    <xdr:rowOff>12700</xdr:rowOff>
                  </from>
                  <to>
                    <xdr:col>8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" r:id="rId88" name="Button 76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23</xdr:row>
                    <xdr:rowOff>12700</xdr:rowOff>
                  </from>
                  <to>
                    <xdr:col>6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" r:id="rId89" name="Button 76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23</xdr:row>
                    <xdr:rowOff>12700</xdr:rowOff>
                  </from>
                  <to>
                    <xdr:col>8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" r:id="rId90" name="Button 76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24</xdr:row>
                    <xdr:rowOff>12700</xdr:rowOff>
                  </from>
                  <to>
                    <xdr:col>6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" r:id="rId91" name="Button 76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24</xdr:row>
                    <xdr:rowOff>12700</xdr:rowOff>
                  </from>
                  <to>
                    <xdr:col>8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" r:id="rId92" name="Button 76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25</xdr:row>
                    <xdr:rowOff>12700</xdr:rowOff>
                  </from>
                  <to>
                    <xdr:col>6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" r:id="rId93" name="Button 76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25</xdr:row>
                    <xdr:rowOff>12700</xdr:rowOff>
                  </from>
                  <to>
                    <xdr:col>8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" r:id="rId94" name="Button 76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26</xdr:row>
                    <xdr:rowOff>12700</xdr:rowOff>
                  </from>
                  <to>
                    <xdr:col>6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" r:id="rId95" name="Button 76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26</xdr:row>
                    <xdr:rowOff>12700</xdr:rowOff>
                  </from>
                  <to>
                    <xdr:col>8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" r:id="rId96" name="Button 76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27</xdr:row>
                    <xdr:rowOff>12700</xdr:rowOff>
                  </from>
                  <to>
                    <xdr:col>6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" r:id="rId97" name="Button 76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27</xdr:row>
                    <xdr:rowOff>12700</xdr:rowOff>
                  </from>
                  <to>
                    <xdr:col>8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" r:id="rId98" name="Button 77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28</xdr:row>
                    <xdr:rowOff>12700</xdr:rowOff>
                  </from>
                  <to>
                    <xdr:col>6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" r:id="rId99" name="Button 77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28</xdr:row>
                    <xdr:rowOff>12700</xdr:rowOff>
                  </from>
                  <to>
                    <xdr:col>8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" r:id="rId100" name="Button 77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29</xdr:row>
                    <xdr:rowOff>12700</xdr:rowOff>
                  </from>
                  <to>
                    <xdr:col>6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" r:id="rId101" name="Button 77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29</xdr:row>
                    <xdr:rowOff>12700</xdr:rowOff>
                  </from>
                  <to>
                    <xdr:col>8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" r:id="rId102" name="Button 77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30</xdr:row>
                    <xdr:rowOff>12700</xdr:rowOff>
                  </from>
                  <to>
                    <xdr:col>6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" r:id="rId103" name="Button 77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30</xdr:row>
                    <xdr:rowOff>12700</xdr:rowOff>
                  </from>
                  <to>
                    <xdr:col>8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" r:id="rId104" name="Button 77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31</xdr:row>
                    <xdr:rowOff>12700</xdr:rowOff>
                  </from>
                  <to>
                    <xdr:col>6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" r:id="rId105" name="Button 77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31</xdr:row>
                    <xdr:rowOff>12700</xdr:rowOff>
                  </from>
                  <to>
                    <xdr:col>8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" r:id="rId106" name="Button 77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32</xdr:row>
                    <xdr:rowOff>12700</xdr:rowOff>
                  </from>
                  <to>
                    <xdr:col>6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" r:id="rId107" name="Button 77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32</xdr:row>
                    <xdr:rowOff>12700</xdr:rowOff>
                  </from>
                  <to>
                    <xdr:col>8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" r:id="rId108" name="Button 78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33</xdr:row>
                    <xdr:rowOff>12700</xdr:rowOff>
                  </from>
                  <to>
                    <xdr:col>6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" r:id="rId109" name="Button 78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33</xdr:row>
                    <xdr:rowOff>12700</xdr:rowOff>
                  </from>
                  <to>
                    <xdr:col>8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" r:id="rId110" name="Button 78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34</xdr:row>
                    <xdr:rowOff>12700</xdr:rowOff>
                  </from>
                  <to>
                    <xdr:col>6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" r:id="rId111" name="Button 78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34</xdr:row>
                    <xdr:rowOff>12700</xdr:rowOff>
                  </from>
                  <to>
                    <xdr:col>8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" r:id="rId112" name="Button 78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35</xdr:row>
                    <xdr:rowOff>12700</xdr:rowOff>
                  </from>
                  <to>
                    <xdr:col>6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" r:id="rId113" name="Button 78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35</xdr:row>
                    <xdr:rowOff>12700</xdr:rowOff>
                  </from>
                  <to>
                    <xdr:col>8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" r:id="rId114" name="Button 78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36</xdr:row>
                    <xdr:rowOff>12700</xdr:rowOff>
                  </from>
                  <to>
                    <xdr:col>6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" r:id="rId115" name="Button 78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36</xdr:row>
                    <xdr:rowOff>12700</xdr:rowOff>
                  </from>
                  <to>
                    <xdr:col>8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" r:id="rId116" name="Button 78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15</xdr:row>
                    <xdr:rowOff>12700</xdr:rowOff>
                  </from>
                  <to>
                    <xdr:col>6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" r:id="rId117" name="Button 78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15</xdr:row>
                    <xdr:rowOff>12700</xdr:rowOff>
                  </from>
                  <to>
                    <xdr:col>8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" r:id="rId118" name="Button 79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16</xdr:row>
                    <xdr:rowOff>12700</xdr:rowOff>
                  </from>
                  <to>
                    <xdr:col>6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" r:id="rId119" name="Button 79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16</xdr:row>
                    <xdr:rowOff>12700</xdr:rowOff>
                  </from>
                  <to>
                    <xdr:col>8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" r:id="rId120" name="Button 79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17</xdr:row>
                    <xdr:rowOff>12700</xdr:rowOff>
                  </from>
                  <to>
                    <xdr:col>6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" r:id="rId121" name="Button 79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17</xdr:row>
                    <xdr:rowOff>12700</xdr:rowOff>
                  </from>
                  <to>
                    <xdr:col>8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" r:id="rId122" name="Button 79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18</xdr:row>
                    <xdr:rowOff>12700</xdr:rowOff>
                  </from>
                  <to>
                    <xdr:col>6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" r:id="rId123" name="Button 79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18</xdr:row>
                    <xdr:rowOff>12700</xdr:rowOff>
                  </from>
                  <to>
                    <xdr:col>8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" r:id="rId124" name="Button 79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4</xdr:row>
                    <xdr:rowOff>12700</xdr:rowOff>
                  </from>
                  <to>
                    <xdr:col>9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" r:id="rId125" name="Button 79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4</xdr:row>
                    <xdr:rowOff>12700</xdr:rowOff>
                  </from>
                  <to>
                    <xdr:col>11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" r:id="rId126" name="Button 79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5</xdr:row>
                    <xdr:rowOff>12700</xdr:rowOff>
                  </from>
                  <to>
                    <xdr:col>9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" r:id="rId127" name="Button 79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5</xdr:row>
                    <xdr:rowOff>12700</xdr:rowOff>
                  </from>
                  <to>
                    <xdr:col>11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" r:id="rId128" name="Button 80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6</xdr:row>
                    <xdr:rowOff>12700</xdr:rowOff>
                  </from>
                  <to>
                    <xdr:col>9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" r:id="rId129" name="Button 80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6</xdr:row>
                    <xdr:rowOff>12700</xdr:rowOff>
                  </from>
                  <to>
                    <xdr:col>11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" r:id="rId130" name="Button 80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7</xdr:row>
                    <xdr:rowOff>12700</xdr:rowOff>
                  </from>
                  <to>
                    <xdr:col>9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" r:id="rId131" name="Button 80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7</xdr:row>
                    <xdr:rowOff>12700</xdr:rowOff>
                  </from>
                  <to>
                    <xdr:col>11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" r:id="rId132" name="Button 80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8</xdr:row>
                    <xdr:rowOff>12700</xdr:rowOff>
                  </from>
                  <to>
                    <xdr:col>9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" r:id="rId133" name="Button 80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8</xdr:row>
                    <xdr:rowOff>12700</xdr:rowOff>
                  </from>
                  <to>
                    <xdr:col>11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" r:id="rId134" name="Button 80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9</xdr:row>
                    <xdr:rowOff>12700</xdr:rowOff>
                  </from>
                  <to>
                    <xdr:col>9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" r:id="rId135" name="Button 80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9</xdr:row>
                    <xdr:rowOff>12700</xdr:rowOff>
                  </from>
                  <to>
                    <xdr:col>11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" r:id="rId136" name="Button 80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10</xdr:row>
                    <xdr:rowOff>12700</xdr:rowOff>
                  </from>
                  <to>
                    <xdr:col>9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" r:id="rId137" name="Button 80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10</xdr:row>
                    <xdr:rowOff>12700</xdr:rowOff>
                  </from>
                  <to>
                    <xdr:col>11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" r:id="rId138" name="Button 81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11</xdr:row>
                    <xdr:rowOff>12700</xdr:rowOff>
                  </from>
                  <to>
                    <xdr:col>9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" r:id="rId139" name="Button 81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11</xdr:row>
                    <xdr:rowOff>12700</xdr:rowOff>
                  </from>
                  <to>
                    <xdr:col>11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" r:id="rId140" name="Button 81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12</xdr:row>
                    <xdr:rowOff>12700</xdr:rowOff>
                  </from>
                  <to>
                    <xdr:col>9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" r:id="rId141" name="Button 81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12</xdr:row>
                    <xdr:rowOff>12700</xdr:rowOff>
                  </from>
                  <to>
                    <xdr:col>11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" r:id="rId142" name="Button 81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13</xdr:row>
                    <xdr:rowOff>12700</xdr:rowOff>
                  </from>
                  <to>
                    <xdr:col>9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" r:id="rId143" name="Button 81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13</xdr:row>
                    <xdr:rowOff>12700</xdr:rowOff>
                  </from>
                  <to>
                    <xdr:col>11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" r:id="rId144" name="Button 81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14</xdr:row>
                    <xdr:rowOff>12700</xdr:rowOff>
                  </from>
                  <to>
                    <xdr:col>9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" r:id="rId145" name="Button 81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14</xdr:row>
                    <xdr:rowOff>12700</xdr:rowOff>
                  </from>
                  <to>
                    <xdr:col>11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" r:id="rId146" name="Button 81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22</xdr:row>
                    <xdr:rowOff>12700</xdr:rowOff>
                  </from>
                  <to>
                    <xdr:col>9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" r:id="rId147" name="Button 81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22</xdr:row>
                    <xdr:rowOff>12700</xdr:rowOff>
                  </from>
                  <to>
                    <xdr:col>11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" r:id="rId148" name="Button 82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23</xdr:row>
                    <xdr:rowOff>12700</xdr:rowOff>
                  </from>
                  <to>
                    <xdr:col>9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" r:id="rId149" name="Button 82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23</xdr:row>
                    <xdr:rowOff>12700</xdr:rowOff>
                  </from>
                  <to>
                    <xdr:col>11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" r:id="rId150" name="Button 82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24</xdr:row>
                    <xdr:rowOff>12700</xdr:rowOff>
                  </from>
                  <to>
                    <xdr:col>9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" r:id="rId151" name="Button 82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24</xdr:row>
                    <xdr:rowOff>12700</xdr:rowOff>
                  </from>
                  <to>
                    <xdr:col>11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" r:id="rId152" name="Button 82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25</xdr:row>
                    <xdr:rowOff>12700</xdr:rowOff>
                  </from>
                  <to>
                    <xdr:col>9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" r:id="rId153" name="Button 82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25</xdr:row>
                    <xdr:rowOff>12700</xdr:rowOff>
                  </from>
                  <to>
                    <xdr:col>11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" r:id="rId154" name="Button 82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26</xdr:row>
                    <xdr:rowOff>12700</xdr:rowOff>
                  </from>
                  <to>
                    <xdr:col>9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" r:id="rId155" name="Button 82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26</xdr:row>
                    <xdr:rowOff>12700</xdr:rowOff>
                  </from>
                  <to>
                    <xdr:col>11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" r:id="rId156" name="Button 82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27</xdr:row>
                    <xdr:rowOff>12700</xdr:rowOff>
                  </from>
                  <to>
                    <xdr:col>9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" r:id="rId157" name="Button 82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27</xdr:row>
                    <xdr:rowOff>12700</xdr:rowOff>
                  </from>
                  <to>
                    <xdr:col>11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" r:id="rId158" name="Button 83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28</xdr:row>
                    <xdr:rowOff>12700</xdr:rowOff>
                  </from>
                  <to>
                    <xdr:col>9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" r:id="rId159" name="Button 83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28</xdr:row>
                    <xdr:rowOff>12700</xdr:rowOff>
                  </from>
                  <to>
                    <xdr:col>11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" r:id="rId160" name="Button 83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29</xdr:row>
                    <xdr:rowOff>12700</xdr:rowOff>
                  </from>
                  <to>
                    <xdr:col>9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" r:id="rId161" name="Button 83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29</xdr:row>
                    <xdr:rowOff>12700</xdr:rowOff>
                  </from>
                  <to>
                    <xdr:col>11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" r:id="rId162" name="Button 83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30</xdr:row>
                    <xdr:rowOff>12700</xdr:rowOff>
                  </from>
                  <to>
                    <xdr:col>9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" r:id="rId163" name="Button 83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30</xdr:row>
                    <xdr:rowOff>12700</xdr:rowOff>
                  </from>
                  <to>
                    <xdr:col>11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" r:id="rId164" name="Button 83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31</xdr:row>
                    <xdr:rowOff>12700</xdr:rowOff>
                  </from>
                  <to>
                    <xdr:col>9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" r:id="rId165" name="Button 83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31</xdr:row>
                    <xdr:rowOff>12700</xdr:rowOff>
                  </from>
                  <to>
                    <xdr:col>11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" r:id="rId166" name="Button 83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32</xdr:row>
                    <xdr:rowOff>12700</xdr:rowOff>
                  </from>
                  <to>
                    <xdr:col>9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" r:id="rId167" name="Button 83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32</xdr:row>
                    <xdr:rowOff>12700</xdr:rowOff>
                  </from>
                  <to>
                    <xdr:col>11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" r:id="rId168" name="Button 84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33</xdr:row>
                    <xdr:rowOff>12700</xdr:rowOff>
                  </from>
                  <to>
                    <xdr:col>9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" r:id="rId169" name="Button 84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33</xdr:row>
                    <xdr:rowOff>12700</xdr:rowOff>
                  </from>
                  <to>
                    <xdr:col>11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" r:id="rId170" name="Button 84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34</xdr:row>
                    <xdr:rowOff>12700</xdr:rowOff>
                  </from>
                  <to>
                    <xdr:col>9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" r:id="rId171" name="Button 84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34</xdr:row>
                    <xdr:rowOff>12700</xdr:rowOff>
                  </from>
                  <to>
                    <xdr:col>11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" r:id="rId172" name="Button 84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35</xdr:row>
                    <xdr:rowOff>12700</xdr:rowOff>
                  </from>
                  <to>
                    <xdr:col>9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" r:id="rId173" name="Button 84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35</xdr:row>
                    <xdr:rowOff>12700</xdr:rowOff>
                  </from>
                  <to>
                    <xdr:col>11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" r:id="rId174" name="Button 84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36</xdr:row>
                    <xdr:rowOff>12700</xdr:rowOff>
                  </from>
                  <to>
                    <xdr:col>9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" r:id="rId175" name="Button 84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36</xdr:row>
                    <xdr:rowOff>12700</xdr:rowOff>
                  </from>
                  <to>
                    <xdr:col>11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" r:id="rId176" name="Button 84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15</xdr:row>
                    <xdr:rowOff>12700</xdr:rowOff>
                  </from>
                  <to>
                    <xdr:col>9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" r:id="rId177" name="Button 84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15</xdr:row>
                    <xdr:rowOff>12700</xdr:rowOff>
                  </from>
                  <to>
                    <xdr:col>11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" r:id="rId178" name="Button 85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16</xdr:row>
                    <xdr:rowOff>12700</xdr:rowOff>
                  </from>
                  <to>
                    <xdr:col>9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" r:id="rId179" name="Button 85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16</xdr:row>
                    <xdr:rowOff>12700</xdr:rowOff>
                  </from>
                  <to>
                    <xdr:col>11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" r:id="rId180" name="Button 85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17</xdr:row>
                    <xdr:rowOff>12700</xdr:rowOff>
                  </from>
                  <to>
                    <xdr:col>9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" r:id="rId181" name="Button 85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17</xdr:row>
                    <xdr:rowOff>12700</xdr:rowOff>
                  </from>
                  <to>
                    <xdr:col>11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" r:id="rId182" name="Button 85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18</xdr:row>
                    <xdr:rowOff>12700</xdr:rowOff>
                  </from>
                  <to>
                    <xdr:col>9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" r:id="rId183" name="Button 85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18</xdr:row>
                    <xdr:rowOff>12700</xdr:rowOff>
                  </from>
                  <to>
                    <xdr:col>11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" r:id="rId184" name="Button 85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4</xdr:row>
                    <xdr:rowOff>12700</xdr:rowOff>
                  </from>
                  <to>
                    <xdr:col>12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" r:id="rId185" name="Button 85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4</xdr:row>
                    <xdr:rowOff>12700</xdr:rowOff>
                  </from>
                  <to>
                    <xdr:col>14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" r:id="rId186" name="Button 85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5</xdr:row>
                    <xdr:rowOff>12700</xdr:rowOff>
                  </from>
                  <to>
                    <xdr:col>12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" r:id="rId187" name="Button 85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5</xdr:row>
                    <xdr:rowOff>12700</xdr:rowOff>
                  </from>
                  <to>
                    <xdr:col>14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" r:id="rId188" name="Button 86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6</xdr:row>
                    <xdr:rowOff>12700</xdr:rowOff>
                  </from>
                  <to>
                    <xdr:col>12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" r:id="rId189" name="Button 86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6</xdr:row>
                    <xdr:rowOff>12700</xdr:rowOff>
                  </from>
                  <to>
                    <xdr:col>14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" r:id="rId190" name="Button 86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7</xdr:row>
                    <xdr:rowOff>12700</xdr:rowOff>
                  </from>
                  <to>
                    <xdr:col>12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" r:id="rId191" name="Button 86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7</xdr:row>
                    <xdr:rowOff>12700</xdr:rowOff>
                  </from>
                  <to>
                    <xdr:col>14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" r:id="rId192" name="Button 86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8</xdr:row>
                    <xdr:rowOff>12700</xdr:rowOff>
                  </from>
                  <to>
                    <xdr:col>12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" r:id="rId193" name="Button 86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8</xdr:row>
                    <xdr:rowOff>12700</xdr:rowOff>
                  </from>
                  <to>
                    <xdr:col>14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" r:id="rId194" name="Button 86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9</xdr:row>
                    <xdr:rowOff>12700</xdr:rowOff>
                  </from>
                  <to>
                    <xdr:col>12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" r:id="rId195" name="Button 86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9</xdr:row>
                    <xdr:rowOff>12700</xdr:rowOff>
                  </from>
                  <to>
                    <xdr:col>14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" r:id="rId196" name="Button 86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10</xdr:row>
                    <xdr:rowOff>12700</xdr:rowOff>
                  </from>
                  <to>
                    <xdr:col>12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" r:id="rId197" name="Button 86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10</xdr:row>
                    <xdr:rowOff>12700</xdr:rowOff>
                  </from>
                  <to>
                    <xdr:col>14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" r:id="rId198" name="Button 87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11</xdr:row>
                    <xdr:rowOff>12700</xdr:rowOff>
                  </from>
                  <to>
                    <xdr:col>12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" r:id="rId199" name="Button 87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11</xdr:row>
                    <xdr:rowOff>12700</xdr:rowOff>
                  </from>
                  <to>
                    <xdr:col>14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" r:id="rId200" name="Button 87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12</xdr:row>
                    <xdr:rowOff>12700</xdr:rowOff>
                  </from>
                  <to>
                    <xdr:col>12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" r:id="rId201" name="Button 87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12</xdr:row>
                    <xdr:rowOff>12700</xdr:rowOff>
                  </from>
                  <to>
                    <xdr:col>14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" r:id="rId202" name="Button 87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13</xdr:row>
                    <xdr:rowOff>12700</xdr:rowOff>
                  </from>
                  <to>
                    <xdr:col>12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" r:id="rId203" name="Button 87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13</xdr:row>
                    <xdr:rowOff>12700</xdr:rowOff>
                  </from>
                  <to>
                    <xdr:col>14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" r:id="rId204" name="Button 87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14</xdr:row>
                    <xdr:rowOff>12700</xdr:rowOff>
                  </from>
                  <to>
                    <xdr:col>12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" r:id="rId205" name="Button 87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14</xdr:row>
                    <xdr:rowOff>12700</xdr:rowOff>
                  </from>
                  <to>
                    <xdr:col>14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" r:id="rId206" name="Button 87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22</xdr:row>
                    <xdr:rowOff>12700</xdr:rowOff>
                  </from>
                  <to>
                    <xdr:col>12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" r:id="rId207" name="Button 87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22</xdr:row>
                    <xdr:rowOff>12700</xdr:rowOff>
                  </from>
                  <to>
                    <xdr:col>14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" r:id="rId208" name="Button 88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23</xdr:row>
                    <xdr:rowOff>12700</xdr:rowOff>
                  </from>
                  <to>
                    <xdr:col>12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" r:id="rId209" name="Button 88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23</xdr:row>
                    <xdr:rowOff>12700</xdr:rowOff>
                  </from>
                  <to>
                    <xdr:col>14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" r:id="rId210" name="Button 88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24</xdr:row>
                    <xdr:rowOff>12700</xdr:rowOff>
                  </from>
                  <to>
                    <xdr:col>12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" r:id="rId211" name="Button 88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24</xdr:row>
                    <xdr:rowOff>12700</xdr:rowOff>
                  </from>
                  <to>
                    <xdr:col>14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" r:id="rId212" name="Button 88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25</xdr:row>
                    <xdr:rowOff>12700</xdr:rowOff>
                  </from>
                  <to>
                    <xdr:col>12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" r:id="rId213" name="Button 88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25</xdr:row>
                    <xdr:rowOff>12700</xdr:rowOff>
                  </from>
                  <to>
                    <xdr:col>14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" r:id="rId214" name="Button 88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26</xdr:row>
                    <xdr:rowOff>12700</xdr:rowOff>
                  </from>
                  <to>
                    <xdr:col>12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" r:id="rId215" name="Button 88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26</xdr:row>
                    <xdr:rowOff>12700</xdr:rowOff>
                  </from>
                  <to>
                    <xdr:col>14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" r:id="rId216" name="Button 88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27</xdr:row>
                    <xdr:rowOff>12700</xdr:rowOff>
                  </from>
                  <to>
                    <xdr:col>12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" r:id="rId217" name="Button 88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27</xdr:row>
                    <xdr:rowOff>12700</xdr:rowOff>
                  </from>
                  <to>
                    <xdr:col>14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" r:id="rId218" name="Button 89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28</xdr:row>
                    <xdr:rowOff>12700</xdr:rowOff>
                  </from>
                  <to>
                    <xdr:col>12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" r:id="rId219" name="Button 89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28</xdr:row>
                    <xdr:rowOff>12700</xdr:rowOff>
                  </from>
                  <to>
                    <xdr:col>14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220" name="Button 89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29</xdr:row>
                    <xdr:rowOff>12700</xdr:rowOff>
                  </from>
                  <to>
                    <xdr:col>12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" r:id="rId221" name="Button 89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29</xdr:row>
                    <xdr:rowOff>12700</xdr:rowOff>
                  </from>
                  <to>
                    <xdr:col>14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" r:id="rId222" name="Button 89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30</xdr:row>
                    <xdr:rowOff>12700</xdr:rowOff>
                  </from>
                  <to>
                    <xdr:col>12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" r:id="rId223" name="Button 89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30</xdr:row>
                    <xdr:rowOff>12700</xdr:rowOff>
                  </from>
                  <to>
                    <xdr:col>14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" r:id="rId224" name="Button 89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31</xdr:row>
                    <xdr:rowOff>12700</xdr:rowOff>
                  </from>
                  <to>
                    <xdr:col>12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" r:id="rId225" name="Button 89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31</xdr:row>
                    <xdr:rowOff>12700</xdr:rowOff>
                  </from>
                  <to>
                    <xdr:col>14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" r:id="rId226" name="Button 89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32</xdr:row>
                    <xdr:rowOff>12700</xdr:rowOff>
                  </from>
                  <to>
                    <xdr:col>12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" r:id="rId227" name="Button 89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32</xdr:row>
                    <xdr:rowOff>12700</xdr:rowOff>
                  </from>
                  <to>
                    <xdr:col>14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" r:id="rId228" name="Button 90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33</xdr:row>
                    <xdr:rowOff>12700</xdr:rowOff>
                  </from>
                  <to>
                    <xdr:col>12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" r:id="rId229" name="Button 90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33</xdr:row>
                    <xdr:rowOff>12700</xdr:rowOff>
                  </from>
                  <to>
                    <xdr:col>14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" r:id="rId230" name="Button 90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34</xdr:row>
                    <xdr:rowOff>12700</xdr:rowOff>
                  </from>
                  <to>
                    <xdr:col>12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" r:id="rId231" name="Button 90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34</xdr:row>
                    <xdr:rowOff>12700</xdr:rowOff>
                  </from>
                  <to>
                    <xdr:col>14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8" r:id="rId232" name="Button 90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35</xdr:row>
                    <xdr:rowOff>12700</xdr:rowOff>
                  </from>
                  <to>
                    <xdr:col>12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9" r:id="rId233" name="Button 90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35</xdr:row>
                    <xdr:rowOff>12700</xdr:rowOff>
                  </from>
                  <to>
                    <xdr:col>14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0" r:id="rId234" name="Button 90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36</xdr:row>
                    <xdr:rowOff>12700</xdr:rowOff>
                  </from>
                  <to>
                    <xdr:col>12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" r:id="rId235" name="Button 90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36</xdr:row>
                    <xdr:rowOff>12700</xdr:rowOff>
                  </from>
                  <to>
                    <xdr:col>14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2" r:id="rId236" name="Button 90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15</xdr:row>
                    <xdr:rowOff>12700</xdr:rowOff>
                  </from>
                  <to>
                    <xdr:col>12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3" r:id="rId237" name="Button 90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15</xdr:row>
                    <xdr:rowOff>12700</xdr:rowOff>
                  </from>
                  <to>
                    <xdr:col>14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4" r:id="rId238" name="Button 91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16</xdr:row>
                    <xdr:rowOff>12700</xdr:rowOff>
                  </from>
                  <to>
                    <xdr:col>12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" r:id="rId239" name="Button 91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16</xdr:row>
                    <xdr:rowOff>12700</xdr:rowOff>
                  </from>
                  <to>
                    <xdr:col>14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" r:id="rId240" name="Button 91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17</xdr:row>
                    <xdr:rowOff>12700</xdr:rowOff>
                  </from>
                  <to>
                    <xdr:col>12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7" r:id="rId241" name="Button 91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17</xdr:row>
                    <xdr:rowOff>12700</xdr:rowOff>
                  </from>
                  <to>
                    <xdr:col>14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" r:id="rId242" name="Button 91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18</xdr:row>
                    <xdr:rowOff>12700</xdr:rowOff>
                  </from>
                  <to>
                    <xdr:col>12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9" r:id="rId243" name="Button 91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18</xdr:row>
                    <xdr:rowOff>12700</xdr:rowOff>
                  </from>
                  <to>
                    <xdr:col>14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0" r:id="rId244" name="Button 91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4</xdr:row>
                    <xdr:rowOff>12700</xdr:rowOff>
                  </from>
                  <to>
                    <xdr:col>15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1" r:id="rId245" name="Button 91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4</xdr:row>
                    <xdr:rowOff>12700</xdr:rowOff>
                  </from>
                  <to>
                    <xdr:col>17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" r:id="rId246" name="Button 91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5</xdr:row>
                    <xdr:rowOff>12700</xdr:rowOff>
                  </from>
                  <to>
                    <xdr:col>15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3" r:id="rId247" name="Button 91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5</xdr:row>
                    <xdr:rowOff>12700</xdr:rowOff>
                  </from>
                  <to>
                    <xdr:col>17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4" r:id="rId248" name="Button 92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6</xdr:row>
                    <xdr:rowOff>12700</xdr:rowOff>
                  </from>
                  <to>
                    <xdr:col>15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" r:id="rId249" name="Button 92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6</xdr:row>
                    <xdr:rowOff>12700</xdr:rowOff>
                  </from>
                  <to>
                    <xdr:col>17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" r:id="rId250" name="Button 92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7</xdr:row>
                    <xdr:rowOff>12700</xdr:rowOff>
                  </from>
                  <to>
                    <xdr:col>15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251" name="Button 92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7</xdr:row>
                    <xdr:rowOff>12700</xdr:rowOff>
                  </from>
                  <to>
                    <xdr:col>17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" r:id="rId252" name="Button 92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8</xdr:row>
                    <xdr:rowOff>12700</xdr:rowOff>
                  </from>
                  <to>
                    <xdr:col>15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" r:id="rId253" name="Button 92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8</xdr:row>
                    <xdr:rowOff>12700</xdr:rowOff>
                  </from>
                  <to>
                    <xdr:col>17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" r:id="rId254" name="Button 92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9</xdr:row>
                    <xdr:rowOff>12700</xdr:rowOff>
                  </from>
                  <to>
                    <xdr:col>15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" r:id="rId255" name="Button 92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9</xdr:row>
                    <xdr:rowOff>12700</xdr:rowOff>
                  </from>
                  <to>
                    <xdr:col>17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" r:id="rId256" name="Button 92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10</xdr:row>
                    <xdr:rowOff>12700</xdr:rowOff>
                  </from>
                  <to>
                    <xdr:col>15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" r:id="rId257" name="Button 92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10</xdr:row>
                    <xdr:rowOff>12700</xdr:rowOff>
                  </from>
                  <to>
                    <xdr:col>17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" r:id="rId258" name="Button 93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11</xdr:row>
                    <xdr:rowOff>12700</xdr:rowOff>
                  </from>
                  <to>
                    <xdr:col>15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" r:id="rId259" name="Button 93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11</xdr:row>
                    <xdr:rowOff>12700</xdr:rowOff>
                  </from>
                  <to>
                    <xdr:col>17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" r:id="rId260" name="Button 93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12</xdr:row>
                    <xdr:rowOff>12700</xdr:rowOff>
                  </from>
                  <to>
                    <xdr:col>15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" r:id="rId261" name="Button 93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12</xdr:row>
                    <xdr:rowOff>12700</xdr:rowOff>
                  </from>
                  <to>
                    <xdr:col>17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" r:id="rId262" name="Button 93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13</xdr:row>
                    <xdr:rowOff>12700</xdr:rowOff>
                  </from>
                  <to>
                    <xdr:col>15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" r:id="rId263" name="Button 93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13</xdr:row>
                    <xdr:rowOff>12700</xdr:rowOff>
                  </from>
                  <to>
                    <xdr:col>17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" r:id="rId264" name="Button 93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14</xdr:row>
                    <xdr:rowOff>12700</xdr:rowOff>
                  </from>
                  <to>
                    <xdr:col>15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" r:id="rId265" name="Button 93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14</xdr:row>
                    <xdr:rowOff>12700</xdr:rowOff>
                  </from>
                  <to>
                    <xdr:col>17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" r:id="rId266" name="Button 93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22</xdr:row>
                    <xdr:rowOff>12700</xdr:rowOff>
                  </from>
                  <to>
                    <xdr:col>15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" r:id="rId267" name="Button 93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22</xdr:row>
                    <xdr:rowOff>12700</xdr:rowOff>
                  </from>
                  <to>
                    <xdr:col>17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" r:id="rId268" name="Button 94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23</xdr:row>
                    <xdr:rowOff>12700</xdr:rowOff>
                  </from>
                  <to>
                    <xdr:col>15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" r:id="rId269" name="Button 94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23</xdr:row>
                    <xdr:rowOff>12700</xdr:rowOff>
                  </from>
                  <to>
                    <xdr:col>17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" r:id="rId270" name="Button 94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24</xdr:row>
                    <xdr:rowOff>12700</xdr:rowOff>
                  </from>
                  <to>
                    <xdr:col>15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" r:id="rId271" name="Button 94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24</xdr:row>
                    <xdr:rowOff>12700</xdr:rowOff>
                  </from>
                  <to>
                    <xdr:col>17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" r:id="rId272" name="Button 94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25</xdr:row>
                    <xdr:rowOff>12700</xdr:rowOff>
                  </from>
                  <to>
                    <xdr:col>15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" r:id="rId273" name="Button 94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25</xdr:row>
                    <xdr:rowOff>12700</xdr:rowOff>
                  </from>
                  <to>
                    <xdr:col>17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" r:id="rId274" name="Button 94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26</xdr:row>
                    <xdr:rowOff>12700</xdr:rowOff>
                  </from>
                  <to>
                    <xdr:col>15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" r:id="rId275" name="Button 94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26</xdr:row>
                    <xdr:rowOff>12700</xdr:rowOff>
                  </from>
                  <to>
                    <xdr:col>17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" r:id="rId276" name="Button 94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27</xdr:row>
                    <xdr:rowOff>12700</xdr:rowOff>
                  </from>
                  <to>
                    <xdr:col>15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" r:id="rId277" name="Button 94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27</xdr:row>
                    <xdr:rowOff>12700</xdr:rowOff>
                  </from>
                  <to>
                    <xdr:col>17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" r:id="rId278" name="Button 95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28</xdr:row>
                    <xdr:rowOff>12700</xdr:rowOff>
                  </from>
                  <to>
                    <xdr:col>15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" r:id="rId279" name="Button 95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28</xdr:row>
                    <xdr:rowOff>12700</xdr:rowOff>
                  </from>
                  <to>
                    <xdr:col>17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" r:id="rId280" name="Button 95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29</xdr:row>
                    <xdr:rowOff>12700</xdr:rowOff>
                  </from>
                  <to>
                    <xdr:col>15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" r:id="rId281" name="Button 95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29</xdr:row>
                    <xdr:rowOff>12700</xdr:rowOff>
                  </from>
                  <to>
                    <xdr:col>17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" r:id="rId282" name="Button 95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30</xdr:row>
                    <xdr:rowOff>12700</xdr:rowOff>
                  </from>
                  <to>
                    <xdr:col>15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" r:id="rId283" name="Button 95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30</xdr:row>
                    <xdr:rowOff>12700</xdr:rowOff>
                  </from>
                  <to>
                    <xdr:col>17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" r:id="rId284" name="Button 95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31</xdr:row>
                    <xdr:rowOff>12700</xdr:rowOff>
                  </from>
                  <to>
                    <xdr:col>15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" r:id="rId285" name="Button 95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31</xdr:row>
                    <xdr:rowOff>12700</xdr:rowOff>
                  </from>
                  <to>
                    <xdr:col>17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286" name="Button 95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32</xdr:row>
                    <xdr:rowOff>12700</xdr:rowOff>
                  </from>
                  <to>
                    <xdr:col>15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287" name="Button 95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32</xdr:row>
                    <xdr:rowOff>12700</xdr:rowOff>
                  </from>
                  <to>
                    <xdr:col>17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" r:id="rId288" name="Button 96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33</xdr:row>
                    <xdr:rowOff>12700</xdr:rowOff>
                  </from>
                  <to>
                    <xdr:col>15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" r:id="rId289" name="Button 96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33</xdr:row>
                    <xdr:rowOff>12700</xdr:rowOff>
                  </from>
                  <to>
                    <xdr:col>17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" r:id="rId290" name="Button 96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34</xdr:row>
                    <xdr:rowOff>12700</xdr:rowOff>
                  </from>
                  <to>
                    <xdr:col>15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291" name="Button 96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34</xdr:row>
                    <xdr:rowOff>12700</xdr:rowOff>
                  </from>
                  <to>
                    <xdr:col>17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" r:id="rId292" name="Button 96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35</xdr:row>
                    <xdr:rowOff>12700</xdr:rowOff>
                  </from>
                  <to>
                    <xdr:col>15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" r:id="rId293" name="Button 96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35</xdr:row>
                    <xdr:rowOff>12700</xdr:rowOff>
                  </from>
                  <to>
                    <xdr:col>17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294" name="Button 96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36</xdr:row>
                    <xdr:rowOff>12700</xdr:rowOff>
                  </from>
                  <to>
                    <xdr:col>15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" r:id="rId295" name="Button 96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36</xdr:row>
                    <xdr:rowOff>12700</xdr:rowOff>
                  </from>
                  <to>
                    <xdr:col>17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" r:id="rId296" name="Button 96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15</xdr:row>
                    <xdr:rowOff>12700</xdr:rowOff>
                  </from>
                  <to>
                    <xdr:col>15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" r:id="rId297" name="Button 96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15</xdr:row>
                    <xdr:rowOff>12700</xdr:rowOff>
                  </from>
                  <to>
                    <xdr:col>17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" r:id="rId298" name="Button 97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16</xdr:row>
                    <xdr:rowOff>12700</xdr:rowOff>
                  </from>
                  <to>
                    <xdr:col>15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" r:id="rId299" name="Button 97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16</xdr:row>
                    <xdr:rowOff>12700</xdr:rowOff>
                  </from>
                  <to>
                    <xdr:col>17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" r:id="rId300" name="Button 97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17</xdr:row>
                    <xdr:rowOff>12700</xdr:rowOff>
                  </from>
                  <to>
                    <xdr:col>15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" r:id="rId301" name="Button 97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17</xdr:row>
                    <xdr:rowOff>12700</xdr:rowOff>
                  </from>
                  <to>
                    <xdr:col>17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" r:id="rId302" name="Button 97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18</xdr:row>
                    <xdr:rowOff>12700</xdr:rowOff>
                  </from>
                  <to>
                    <xdr:col>15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" r:id="rId303" name="Button 97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18</xdr:row>
                    <xdr:rowOff>12700</xdr:rowOff>
                  </from>
                  <to>
                    <xdr:col>17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" r:id="rId304" name="Button 97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4</xdr:row>
                    <xdr:rowOff>12700</xdr:rowOff>
                  </from>
                  <to>
                    <xdr:col>18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" r:id="rId305" name="Button 97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4</xdr:row>
                    <xdr:rowOff>12700</xdr:rowOff>
                  </from>
                  <to>
                    <xdr:col>20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" r:id="rId306" name="Button 97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5</xdr:row>
                    <xdr:rowOff>12700</xdr:rowOff>
                  </from>
                  <to>
                    <xdr:col>18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" r:id="rId307" name="Button 97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5</xdr:row>
                    <xdr:rowOff>12700</xdr:rowOff>
                  </from>
                  <to>
                    <xdr:col>20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" r:id="rId308" name="Button 98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6</xdr:row>
                    <xdr:rowOff>12700</xdr:rowOff>
                  </from>
                  <to>
                    <xdr:col>18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" r:id="rId309" name="Button 98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6</xdr:row>
                    <xdr:rowOff>12700</xdr:rowOff>
                  </from>
                  <to>
                    <xdr:col>20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" r:id="rId310" name="Button 98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7</xdr:row>
                    <xdr:rowOff>12700</xdr:rowOff>
                  </from>
                  <to>
                    <xdr:col>18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" r:id="rId311" name="Button 98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7</xdr:row>
                    <xdr:rowOff>12700</xdr:rowOff>
                  </from>
                  <to>
                    <xdr:col>20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" r:id="rId312" name="Button 98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8</xdr:row>
                    <xdr:rowOff>12700</xdr:rowOff>
                  </from>
                  <to>
                    <xdr:col>18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" r:id="rId313" name="Button 98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8</xdr:row>
                    <xdr:rowOff>12700</xdr:rowOff>
                  </from>
                  <to>
                    <xdr:col>20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" r:id="rId314" name="Button 98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9</xdr:row>
                    <xdr:rowOff>12700</xdr:rowOff>
                  </from>
                  <to>
                    <xdr:col>18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" r:id="rId315" name="Button 98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9</xdr:row>
                    <xdr:rowOff>12700</xdr:rowOff>
                  </from>
                  <to>
                    <xdr:col>20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" r:id="rId316" name="Button 98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10</xdr:row>
                    <xdr:rowOff>12700</xdr:rowOff>
                  </from>
                  <to>
                    <xdr:col>18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" r:id="rId317" name="Button 98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10</xdr:row>
                    <xdr:rowOff>12700</xdr:rowOff>
                  </from>
                  <to>
                    <xdr:col>20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" r:id="rId318" name="Button 99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11</xdr:row>
                    <xdr:rowOff>12700</xdr:rowOff>
                  </from>
                  <to>
                    <xdr:col>18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" r:id="rId319" name="Button 99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11</xdr:row>
                    <xdr:rowOff>12700</xdr:rowOff>
                  </from>
                  <to>
                    <xdr:col>20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" r:id="rId320" name="Button 99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12</xdr:row>
                    <xdr:rowOff>12700</xdr:rowOff>
                  </from>
                  <to>
                    <xdr:col>18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" r:id="rId321" name="Button 99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12</xdr:row>
                    <xdr:rowOff>12700</xdr:rowOff>
                  </from>
                  <to>
                    <xdr:col>20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" r:id="rId322" name="Button 99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13</xdr:row>
                    <xdr:rowOff>12700</xdr:rowOff>
                  </from>
                  <to>
                    <xdr:col>18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" r:id="rId323" name="Button 99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13</xdr:row>
                    <xdr:rowOff>12700</xdr:rowOff>
                  </from>
                  <to>
                    <xdr:col>20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" r:id="rId324" name="Button 99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14</xdr:row>
                    <xdr:rowOff>12700</xdr:rowOff>
                  </from>
                  <to>
                    <xdr:col>18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" r:id="rId325" name="Button 99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14</xdr:row>
                    <xdr:rowOff>12700</xdr:rowOff>
                  </from>
                  <to>
                    <xdr:col>20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" r:id="rId326" name="Button 99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22</xdr:row>
                    <xdr:rowOff>12700</xdr:rowOff>
                  </from>
                  <to>
                    <xdr:col>18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3" r:id="rId327" name="Button 99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22</xdr:row>
                    <xdr:rowOff>12700</xdr:rowOff>
                  </from>
                  <to>
                    <xdr:col>20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4" r:id="rId328" name="Button 100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23</xdr:row>
                    <xdr:rowOff>12700</xdr:rowOff>
                  </from>
                  <to>
                    <xdr:col>18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5" r:id="rId329" name="Button 100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23</xdr:row>
                    <xdr:rowOff>12700</xdr:rowOff>
                  </from>
                  <to>
                    <xdr:col>20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6" r:id="rId330" name="Button 100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24</xdr:row>
                    <xdr:rowOff>12700</xdr:rowOff>
                  </from>
                  <to>
                    <xdr:col>18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" r:id="rId331" name="Button 100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24</xdr:row>
                    <xdr:rowOff>12700</xdr:rowOff>
                  </from>
                  <to>
                    <xdr:col>20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8" r:id="rId332" name="Button 100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25</xdr:row>
                    <xdr:rowOff>12700</xdr:rowOff>
                  </from>
                  <to>
                    <xdr:col>18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" r:id="rId333" name="Button 100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25</xdr:row>
                    <xdr:rowOff>12700</xdr:rowOff>
                  </from>
                  <to>
                    <xdr:col>20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0" r:id="rId334" name="Button 100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26</xdr:row>
                    <xdr:rowOff>12700</xdr:rowOff>
                  </from>
                  <to>
                    <xdr:col>18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" r:id="rId335" name="Button 100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26</xdr:row>
                    <xdr:rowOff>12700</xdr:rowOff>
                  </from>
                  <to>
                    <xdr:col>20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2" r:id="rId336" name="Button 100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27</xdr:row>
                    <xdr:rowOff>12700</xdr:rowOff>
                  </from>
                  <to>
                    <xdr:col>18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3" r:id="rId337" name="Button 100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27</xdr:row>
                    <xdr:rowOff>12700</xdr:rowOff>
                  </from>
                  <to>
                    <xdr:col>20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4" r:id="rId338" name="Button 101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28</xdr:row>
                    <xdr:rowOff>12700</xdr:rowOff>
                  </from>
                  <to>
                    <xdr:col>18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5" r:id="rId339" name="Button 101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28</xdr:row>
                    <xdr:rowOff>12700</xdr:rowOff>
                  </from>
                  <to>
                    <xdr:col>20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6" r:id="rId340" name="Button 101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29</xdr:row>
                    <xdr:rowOff>12700</xdr:rowOff>
                  </from>
                  <to>
                    <xdr:col>18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" r:id="rId341" name="Button 101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29</xdr:row>
                    <xdr:rowOff>12700</xdr:rowOff>
                  </from>
                  <to>
                    <xdr:col>20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" r:id="rId342" name="Button 101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30</xdr:row>
                    <xdr:rowOff>12700</xdr:rowOff>
                  </from>
                  <to>
                    <xdr:col>18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9" r:id="rId343" name="Button 101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30</xdr:row>
                    <xdr:rowOff>12700</xdr:rowOff>
                  </from>
                  <to>
                    <xdr:col>20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0" r:id="rId344" name="Button 101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31</xdr:row>
                    <xdr:rowOff>12700</xdr:rowOff>
                  </from>
                  <to>
                    <xdr:col>18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1" r:id="rId345" name="Button 101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31</xdr:row>
                    <xdr:rowOff>12700</xdr:rowOff>
                  </from>
                  <to>
                    <xdr:col>20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" r:id="rId346" name="Button 101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32</xdr:row>
                    <xdr:rowOff>12700</xdr:rowOff>
                  </from>
                  <to>
                    <xdr:col>18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3" r:id="rId347" name="Button 101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32</xdr:row>
                    <xdr:rowOff>12700</xdr:rowOff>
                  </from>
                  <to>
                    <xdr:col>20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4" r:id="rId348" name="Button 102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33</xdr:row>
                    <xdr:rowOff>12700</xdr:rowOff>
                  </from>
                  <to>
                    <xdr:col>18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" r:id="rId349" name="Button 102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33</xdr:row>
                    <xdr:rowOff>12700</xdr:rowOff>
                  </from>
                  <to>
                    <xdr:col>20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" r:id="rId350" name="Button 102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34</xdr:row>
                    <xdr:rowOff>12700</xdr:rowOff>
                  </from>
                  <to>
                    <xdr:col>18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" r:id="rId351" name="Button 102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34</xdr:row>
                    <xdr:rowOff>12700</xdr:rowOff>
                  </from>
                  <to>
                    <xdr:col>20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" r:id="rId352" name="Button 102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35</xdr:row>
                    <xdr:rowOff>12700</xdr:rowOff>
                  </from>
                  <to>
                    <xdr:col>18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353" name="Button 102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35</xdr:row>
                    <xdr:rowOff>12700</xdr:rowOff>
                  </from>
                  <to>
                    <xdr:col>20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354" name="Button 102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36</xdr:row>
                    <xdr:rowOff>12700</xdr:rowOff>
                  </from>
                  <to>
                    <xdr:col>18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355" name="Button 102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36</xdr:row>
                    <xdr:rowOff>12700</xdr:rowOff>
                  </from>
                  <to>
                    <xdr:col>20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356" name="Button 102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15</xdr:row>
                    <xdr:rowOff>12700</xdr:rowOff>
                  </from>
                  <to>
                    <xdr:col>18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357" name="Button 102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15</xdr:row>
                    <xdr:rowOff>12700</xdr:rowOff>
                  </from>
                  <to>
                    <xdr:col>20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358" name="Button 103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16</xdr:row>
                    <xdr:rowOff>12700</xdr:rowOff>
                  </from>
                  <to>
                    <xdr:col>18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359" name="Button 103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16</xdr:row>
                    <xdr:rowOff>12700</xdr:rowOff>
                  </from>
                  <to>
                    <xdr:col>20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360" name="Button 103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17</xdr:row>
                    <xdr:rowOff>12700</xdr:rowOff>
                  </from>
                  <to>
                    <xdr:col>18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361" name="Button 103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17</xdr:row>
                    <xdr:rowOff>12700</xdr:rowOff>
                  </from>
                  <to>
                    <xdr:col>20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362" name="Button 103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18</xdr:row>
                    <xdr:rowOff>12700</xdr:rowOff>
                  </from>
                  <to>
                    <xdr:col>18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363" name="Button 103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18</xdr:row>
                    <xdr:rowOff>12700</xdr:rowOff>
                  </from>
                  <to>
                    <xdr:col>20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364" name="Button 103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4</xdr:row>
                    <xdr:rowOff>12700</xdr:rowOff>
                  </from>
                  <to>
                    <xdr:col>21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365" name="Button 103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4</xdr:row>
                    <xdr:rowOff>12700</xdr:rowOff>
                  </from>
                  <to>
                    <xdr:col>23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366" name="Button 103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5</xdr:row>
                    <xdr:rowOff>12700</xdr:rowOff>
                  </from>
                  <to>
                    <xdr:col>21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367" name="Button 103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5</xdr:row>
                    <xdr:rowOff>12700</xdr:rowOff>
                  </from>
                  <to>
                    <xdr:col>23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368" name="Button 104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6</xdr:row>
                    <xdr:rowOff>12700</xdr:rowOff>
                  </from>
                  <to>
                    <xdr:col>21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369" name="Button 104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6</xdr:row>
                    <xdr:rowOff>12700</xdr:rowOff>
                  </from>
                  <to>
                    <xdr:col>23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370" name="Button 104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7</xdr:row>
                    <xdr:rowOff>12700</xdr:rowOff>
                  </from>
                  <to>
                    <xdr:col>21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371" name="Button 104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7</xdr:row>
                    <xdr:rowOff>12700</xdr:rowOff>
                  </from>
                  <to>
                    <xdr:col>23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372" name="Button 104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8</xdr:row>
                    <xdr:rowOff>12700</xdr:rowOff>
                  </from>
                  <to>
                    <xdr:col>21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373" name="Button 104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8</xdr:row>
                    <xdr:rowOff>12700</xdr:rowOff>
                  </from>
                  <to>
                    <xdr:col>23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374" name="Button 104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9</xdr:row>
                    <xdr:rowOff>12700</xdr:rowOff>
                  </from>
                  <to>
                    <xdr:col>21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375" name="Button 104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9</xdr:row>
                    <xdr:rowOff>12700</xdr:rowOff>
                  </from>
                  <to>
                    <xdr:col>23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376" name="Button 104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10</xdr:row>
                    <xdr:rowOff>12700</xdr:rowOff>
                  </from>
                  <to>
                    <xdr:col>21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377" name="Button 104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10</xdr:row>
                    <xdr:rowOff>12700</xdr:rowOff>
                  </from>
                  <to>
                    <xdr:col>23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378" name="Button 105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11</xdr:row>
                    <xdr:rowOff>12700</xdr:rowOff>
                  </from>
                  <to>
                    <xdr:col>21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79" name="Button 105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11</xdr:row>
                    <xdr:rowOff>12700</xdr:rowOff>
                  </from>
                  <to>
                    <xdr:col>23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80" name="Button 105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12</xdr:row>
                    <xdr:rowOff>12700</xdr:rowOff>
                  </from>
                  <to>
                    <xdr:col>21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81" name="Button 105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12</xdr:row>
                    <xdr:rowOff>12700</xdr:rowOff>
                  </from>
                  <to>
                    <xdr:col>23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82" name="Button 105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13</xdr:row>
                    <xdr:rowOff>12700</xdr:rowOff>
                  </from>
                  <to>
                    <xdr:col>21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83" name="Button 105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13</xdr:row>
                    <xdr:rowOff>12700</xdr:rowOff>
                  </from>
                  <to>
                    <xdr:col>23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84" name="Button 105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14</xdr:row>
                    <xdr:rowOff>12700</xdr:rowOff>
                  </from>
                  <to>
                    <xdr:col>21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85" name="Button 105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14</xdr:row>
                    <xdr:rowOff>12700</xdr:rowOff>
                  </from>
                  <to>
                    <xdr:col>23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86" name="Button 105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22</xdr:row>
                    <xdr:rowOff>12700</xdr:rowOff>
                  </from>
                  <to>
                    <xdr:col>21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7" name="Button 105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22</xdr:row>
                    <xdr:rowOff>12700</xdr:rowOff>
                  </from>
                  <to>
                    <xdr:col>23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88" name="Button 106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23</xdr:row>
                    <xdr:rowOff>12700</xdr:rowOff>
                  </from>
                  <to>
                    <xdr:col>21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89" name="Button 106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23</xdr:row>
                    <xdr:rowOff>12700</xdr:rowOff>
                  </from>
                  <to>
                    <xdr:col>23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90" name="Button 106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24</xdr:row>
                    <xdr:rowOff>12700</xdr:rowOff>
                  </from>
                  <to>
                    <xdr:col>21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391" name="Button 106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24</xdr:row>
                    <xdr:rowOff>12700</xdr:rowOff>
                  </from>
                  <to>
                    <xdr:col>23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392" name="Button 106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25</xdr:row>
                    <xdr:rowOff>12700</xdr:rowOff>
                  </from>
                  <to>
                    <xdr:col>21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393" name="Button 106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25</xdr:row>
                    <xdr:rowOff>12700</xdr:rowOff>
                  </from>
                  <to>
                    <xdr:col>23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394" name="Button 106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26</xdr:row>
                    <xdr:rowOff>12700</xdr:rowOff>
                  </from>
                  <to>
                    <xdr:col>21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395" name="Button 106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26</xdr:row>
                    <xdr:rowOff>12700</xdr:rowOff>
                  </from>
                  <to>
                    <xdr:col>23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396" name="Button 106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27</xdr:row>
                    <xdr:rowOff>12700</xdr:rowOff>
                  </from>
                  <to>
                    <xdr:col>21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397" name="Button 106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27</xdr:row>
                    <xdr:rowOff>12700</xdr:rowOff>
                  </from>
                  <to>
                    <xdr:col>23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398" name="Button 107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28</xdr:row>
                    <xdr:rowOff>12700</xdr:rowOff>
                  </from>
                  <to>
                    <xdr:col>21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399" name="Button 107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28</xdr:row>
                    <xdr:rowOff>12700</xdr:rowOff>
                  </from>
                  <to>
                    <xdr:col>23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400" name="Button 107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29</xdr:row>
                    <xdr:rowOff>12700</xdr:rowOff>
                  </from>
                  <to>
                    <xdr:col>21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401" name="Button 107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29</xdr:row>
                    <xdr:rowOff>12700</xdr:rowOff>
                  </from>
                  <to>
                    <xdr:col>23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402" name="Button 107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30</xdr:row>
                    <xdr:rowOff>12700</xdr:rowOff>
                  </from>
                  <to>
                    <xdr:col>21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403" name="Button 107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30</xdr:row>
                    <xdr:rowOff>12700</xdr:rowOff>
                  </from>
                  <to>
                    <xdr:col>23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404" name="Button 107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31</xdr:row>
                    <xdr:rowOff>12700</xdr:rowOff>
                  </from>
                  <to>
                    <xdr:col>21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405" name="Button 107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31</xdr:row>
                    <xdr:rowOff>12700</xdr:rowOff>
                  </from>
                  <to>
                    <xdr:col>23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406" name="Button 107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32</xdr:row>
                    <xdr:rowOff>12700</xdr:rowOff>
                  </from>
                  <to>
                    <xdr:col>21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407" name="Button 107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32</xdr:row>
                    <xdr:rowOff>12700</xdr:rowOff>
                  </from>
                  <to>
                    <xdr:col>23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408" name="Button 108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33</xdr:row>
                    <xdr:rowOff>12700</xdr:rowOff>
                  </from>
                  <to>
                    <xdr:col>21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409" name="Button 108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33</xdr:row>
                    <xdr:rowOff>12700</xdr:rowOff>
                  </from>
                  <to>
                    <xdr:col>23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410" name="Button 108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34</xdr:row>
                    <xdr:rowOff>12700</xdr:rowOff>
                  </from>
                  <to>
                    <xdr:col>21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411" name="Button 108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34</xdr:row>
                    <xdr:rowOff>12700</xdr:rowOff>
                  </from>
                  <to>
                    <xdr:col>23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412" name="Button 108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35</xdr:row>
                    <xdr:rowOff>12700</xdr:rowOff>
                  </from>
                  <to>
                    <xdr:col>21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413" name="Button 108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35</xdr:row>
                    <xdr:rowOff>12700</xdr:rowOff>
                  </from>
                  <to>
                    <xdr:col>23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414" name="Button 108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36</xdr:row>
                    <xdr:rowOff>12700</xdr:rowOff>
                  </from>
                  <to>
                    <xdr:col>21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415" name="Button 108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36</xdr:row>
                    <xdr:rowOff>12700</xdr:rowOff>
                  </from>
                  <to>
                    <xdr:col>23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416" name="Button 108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15</xdr:row>
                    <xdr:rowOff>12700</xdr:rowOff>
                  </from>
                  <to>
                    <xdr:col>21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417" name="Button 108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15</xdr:row>
                    <xdr:rowOff>12700</xdr:rowOff>
                  </from>
                  <to>
                    <xdr:col>23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418" name="Button 109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16</xdr:row>
                    <xdr:rowOff>12700</xdr:rowOff>
                  </from>
                  <to>
                    <xdr:col>21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419" name="Button 109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16</xdr:row>
                    <xdr:rowOff>12700</xdr:rowOff>
                  </from>
                  <to>
                    <xdr:col>23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20" name="Button 109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17</xdr:row>
                    <xdr:rowOff>12700</xdr:rowOff>
                  </from>
                  <to>
                    <xdr:col>21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421" name="Button 109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17</xdr:row>
                    <xdr:rowOff>12700</xdr:rowOff>
                  </from>
                  <to>
                    <xdr:col>23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422" name="Button 109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18</xdr:row>
                    <xdr:rowOff>12700</xdr:rowOff>
                  </from>
                  <to>
                    <xdr:col>21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423" name="Button 109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18</xdr:row>
                    <xdr:rowOff>12700</xdr:rowOff>
                  </from>
                  <to>
                    <xdr:col>23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688EB3-74DB-9949-A8A7-34166CC2C504}">
          <x14:formula1>
            <xm:f>Rosters!$G:$G</xm:f>
          </x14:formula1>
          <xm:sqref>B21 B3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sheetPr codeName="Sheet3"/>
  <dimension ref="A1:G321"/>
  <sheetViews>
    <sheetView topLeftCell="A15" zoomScale="85" workbookViewId="0">
      <selection activeCell="C76" sqref="C76:E88"/>
    </sheetView>
  </sheetViews>
  <sheetFormatPr baseColWidth="10" defaultColWidth="10.6640625" defaultRowHeight="16" x14ac:dyDescent="0.2"/>
  <cols>
    <col min="1" max="1" width="14.83203125" bestFit="1" customWidth="1"/>
    <col min="2" max="2" width="19.33203125" style="8" bestFit="1" customWidth="1"/>
    <col min="7" max="7" width="15.1640625" style="8" customWidth="1"/>
  </cols>
  <sheetData>
    <row r="1" spans="1:7" x14ac:dyDescent="0.2">
      <c r="A1" t="s">
        <v>20</v>
      </c>
      <c r="B1" s="8" t="s">
        <v>22</v>
      </c>
      <c r="C1" t="s">
        <v>1</v>
      </c>
      <c r="D1" t="s">
        <v>2</v>
      </c>
      <c r="E1" t="s">
        <v>21</v>
      </c>
      <c r="G1" s="8" t="s">
        <v>24</v>
      </c>
    </row>
    <row r="2" spans="1:7" x14ac:dyDescent="0.2">
      <c r="A2" t="s">
        <v>180</v>
      </c>
      <c r="B2" s="8" t="str">
        <f>A2&amp;COUNTIF($A$2:$A2,A2)</f>
        <v>Team Egan1</v>
      </c>
      <c r="G2" s="8" t="str" cm="1">
        <f t="array" ref="G2:G9">_xlfn.UNIQUE(A2:A88)</f>
        <v>Team Egan</v>
      </c>
    </row>
    <row r="3" spans="1:7" x14ac:dyDescent="0.2">
      <c r="A3" t="s">
        <v>180</v>
      </c>
      <c r="B3" s="8" t="str">
        <f>A3&amp;COUNTIF($A$2:$A3,A3)</f>
        <v>Team Egan2</v>
      </c>
      <c r="G3" s="8" t="str">
        <v>Team Covington</v>
      </c>
    </row>
    <row r="4" spans="1:7" x14ac:dyDescent="0.2">
      <c r="A4" t="s">
        <v>180</v>
      </c>
      <c r="B4" s="8" t="str">
        <f>A4&amp;COUNTIF($A$2:$A4,A4)</f>
        <v>Team Egan3</v>
      </c>
      <c r="G4" s="8" t="str">
        <v>Team Drisdom</v>
      </c>
    </row>
    <row r="5" spans="1:7" x14ac:dyDescent="0.2">
      <c r="A5" t="s">
        <v>180</v>
      </c>
      <c r="B5" s="8" t="str">
        <f>A5&amp;COUNTIF($A$2:$A5,A5)</f>
        <v>Team Egan4</v>
      </c>
      <c r="G5" s="8" t="str">
        <v>Team Bullock</v>
      </c>
    </row>
    <row r="6" spans="1:7" x14ac:dyDescent="0.2">
      <c r="A6" t="s">
        <v>180</v>
      </c>
      <c r="B6" s="8" t="str">
        <f>A6&amp;COUNTIF($A$2:$A6,A6)</f>
        <v>Team Egan5</v>
      </c>
      <c r="G6" s="8" t="str">
        <v>Team Erickson</v>
      </c>
    </row>
    <row r="7" spans="1:7" x14ac:dyDescent="0.2">
      <c r="A7" t="s">
        <v>180</v>
      </c>
      <c r="B7" s="8" t="str">
        <f>A7&amp;COUNTIF($A$2:$A7,A7)</f>
        <v>Team Egan6</v>
      </c>
      <c r="G7" s="8" t="str">
        <v>Team Joyce</v>
      </c>
    </row>
    <row r="8" spans="1:7" x14ac:dyDescent="0.2">
      <c r="A8" t="s">
        <v>180</v>
      </c>
      <c r="B8" s="8" t="str">
        <f>A8&amp;COUNTIF($A$2:$A8,A8)</f>
        <v>Team Egan7</v>
      </c>
      <c r="G8" s="8" t="str">
        <v>Team Berger</v>
      </c>
    </row>
    <row r="9" spans="1:7" x14ac:dyDescent="0.2">
      <c r="A9" t="s">
        <v>180</v>
      </c>
      <c r="B9" s="8" t="str">
        <f>A9&amp;COUNTIF($A$2:$A9,A9)</f>
        <v>Team Egan8</v>
      </c>
      <c r="G9" s="8" t="str">
        <v>Team Stan</v>
      </c>
    </row>
    <row r="10" spans="1:7" x14ac:dyDescent="0.2">
      <c r="A10" t="s">
        <v>180</v>
      </c>
      <c r="B10" s="8" t="str">
        <f>A10&amp;COUNTIF($A$2:$A10,A10)</f>
        <v>Team Egan9</v>
      </c>
      <c r="G10" s="8" t="s">
        <v>182</v>
      </c>
    </row>
    <row r="11" spans="1:7" x14ac:dyDescent="0.2">
      <c r="A11" t="s">
        <v>161</v>
      </c>
      <c r="B11" s="8" t="str">
        <f>A11&amp;COUNTIF($A$2:$A11,A11)</f>
        <v>Team Covington1</v>
      </c>
      <c r="C11" t="s">
        <v>179</v>
      </c>
      <c r="D11" t="s">
        <v>178</v>
      </c>
      <c r="E11">
        <v>34</v>
      </c>
    </row>
    <row r="12" spans="1:7" x14ac:dyDescent="0.2">
      <c r="A12" t="s">
        <v>161</v>
      </c>
      <c r="B12" s="8" t="str">
        <f>A12&amp;COUNTIF($A$2:$A12,A12)</f>
        <v>Team Covington2</v>
      </c>
      <c r="C12" t="s">
        <v>160</v>
      </c>
      <c r="D12" t="s">
        <v>177</v>
      </c>
      <c r="E12">
        <v>4</v>
      </c>
    </row>
    <row r="13" spans="1:7" x14ac:dyDescent="0.2">
      <c r="A13" t="s">
        <v>161</v>
      </c>
      <c r="B13" s="8" t="str">
        <f>A13&amp;COUNTIF($A$2:$A13,A13)</f>
        <v>Team Covington3</v>
      </c>
      <c r="C13" t="s">
        <v>176</v>
      </c>
      <c r="D13" t="s">
        <v>175</v>
      </c>
      <c r="E13">
        <v>21</v>
      </c>
    </row>
    <row r="14" spans="1:7" x14ac:dyDescent="0.2">
      <c r="A14" t="s">
        <v>161</v>
      </c>
      <c r="B14" s="8" t="str">
        <f>A14&amp;COUNTIF($A$2:$A14,A14)</f>
        <v>Team Covington4</v>
      </c>
      <c r="C14" t="s">
        <v>174</v>
      </c>
      <c r="D14" t="s">
        <v>173</v>
      </c>
      <c r="E14">
        <v>87</v>
      </c>
    </row>
    <row r="15" spans="1:7" x14ac:dyDescent="0.2">
      <c r="A15" t="s">
        <v>161</v>
      </c>
      <c r="B15" s="8" t="str">
        <f>A15&amp;COUNTIF($A$2:$A15,A15)</f>
        <v>Team Covington5</v>
      </c>
      <c r="C15" t="s">
        <v>172</v>
      </c>
      <c r="D15" t="s">
        <v>154</v>
      </c>
      <c r="E15">
        <v>23</v>
      </c>
    </row>
    <row r="16" spans="1:7" x14ac:dyDescent="0.2">
      <c r="A16" t="s">
        <v>161</v>
      </c>
      <c r="B16" s="8" t="str">
        <f>A16&amp;COUNTIF($A$2:$A16,A16)</f>
        <v>Team Covington6</v>
      </c>
      <c r="C16" t="s">
        <v>171</v>
      </c>
      <c r="D16" t="s">
        <v>170</v>
      </c>
      <c r="E16">
        <v>2</v>
      </c>
    </row>
    <row r="17" spans="1:5" x14ac:dyDescent="0.2">
      <c r="A17" t="s">
        <v>161</v>
      </c>
      <c r="B17" s="8" t="str">
        <f>A17&amp;COUNTIF($A$2:$A17,A17)</f>
        <v>Team Covington7</v>
      </c>
      <c r="C17" t="s">
        <v>169</v>
      </c>
      <c r="D17" t="s">
        <v>168</v>
      </c>
      <c r="E17">
        <v>10</v>
      </c>
    </row>
    <row r="18" spans="1:5" x14ac:dyDescent="0.2">
      <c r="A18" t="s">
        <v>161</v>
      </c>
      <c r="B18" s="8" t="str">
        <f>A18&amp;COUNTIF($A$2:$A18,A18)</f>
        <v>Team Covington8</v>
      </c>
      <c r="C18" t="s">
        <v>150</v>
      </c>
      <c r="D18" t="s">
        <v>167</v>
      </c>
      <c r="E18">
        <v>25</v>
      </c>
    </row>
    <row r="19" spans="1:5" x14ac:dyDescent="0.2">
      <c r="A19" t="s">
        <v>161</v>
      </c>
      <c r="B19" s="8" t="str">
        <f>A19&amp;COUNTIF($A$2:$A19,A19)</f>
        <v>Team Covington9</v>
      </c>
      <c r="C19" t="s">
        <v>166</v>
      </c>
      <c r="D19" t="s">
        <v>165</v>
      </c>
      <c r="E19">
        <v>3</v>
      </c>
    </row>
    <row r="20" spans="1:5" x14ac:dyDescent="0.2">
      <c r="A20" t="s">
        <v>161</v>
      </c>
      <c r="B20" s="8" t="str">
        <f>A20&amp;COUNTIF($A$2:$A20,A20)</f>
        <v>Team Covington10</v>
      </c>
      <c r="C20" t="s">
        <v>165</v>
      </c>
      <c r="D20" t="s">
        <v>164</v>
      </c>
      <c r="E20">
        <v>33</v>
      </c>
    </row>
    <row r="21" spans="1:5" x14ac:dyDescent="0.2">
      <c r="A21" t="s">
        <v>161</v>
      </c>
      <c r="B21" s="8" t="str">
        <f>A21&amp;COUNTIF($A$2:$A21,A21)</f>
        <v>Team Covington11</v>
      </c>
      <c r="C21" t="s">
        <v>163</v>
      </c>
      <c r="D21" t="s">
        <v>162</v>
      </c>
      <c r="E21">
        <v>16</v>
      </c>
    </row>
    <row r="22" spans="1:5" x14ac:dyDescent="0.2">
      <c r="A22" t="s">
        <v>161</v>
      </c>
      <c r="B22" s="8" t="str">
        <f>A22&amp;COUNTIF($A$2:$A22,A22)</f>
        <v>Team Covington12</v>
      </c>
      <c r="C22" t="s">
        <v>160</v>
      </c>
      <c r="D22" t="s">
        <v>159</v>
      </c>
      <c r="E22">
        <v>14</v>
      </c>
    </row>
    <row r="23" spans="1:5" x14ac:dyDescent="0.2">
      <c r="A23" t="s">
        <v>141</v>
      </c>
      <c r="B23" s="8" t="str">
        <f>A23&amp;COUNTIF($A$2:$A23,A23)</f>
        <v>Team Drisdom1</v>
      </c>
      <c r="C23" t="s">
        <v>158</v>
      </c>
      <c r="D23" t="s">
        <v>147</v>
      </c>
      <c r="E23">
        <v>7</v>
      </c>
    </row>
    <row r="24" spans="1:5" x14ac:dyDescent="0.2">
      <c r="A24" t="s">
        <v>141</v>
      </c>
      <c r="B24" s="8" t="str">
        <f>A24&amp;COUNTIF($A$2:$A24,A24)</f>
        <v>Team Drisdom2</v>
      </c>
      <c r="C24" t="s">
        <v>157</v>
      </c>
      <c r="D24" t="s">
        <v>156</v>
      </c>
      <c r="E24">
        <v>5</v>
      </c>
    </row>
    <row r="25" spans="1:5" x14ac:dyDescent="0.2">
      <c r="A25" t="s">
        <v>141</v>
      </c>
      <c r="B25" s="8" t="str">
        <f>A25&amp;COUNTIF($A$2:$A25,A25)</f>
        <v>Team Drisdom3</v>
      </c>
      <c r="C25" t="s">
        <v>155</v>
      </c>
      <c r="D25" t="s">
        <v>154</v>
      </c>
      <c r="E25">
        <v>10</v>
      </c>
    </row>
    <row r="26" spans="1:5" x14ac:dyDescent="0.2">
      <c r="A26" t="s">
        <v>141</v>
      </c>
      <c r="B26" s="8" t="str">
        <f>A26&amp;COUNTIF($A$2:$A26,A26)</f>
        <v>Team Drisdom4</v>
      </c>
      <c r="C26" t="s">
        <v>153</v>
      </c>
      <c r="D26" t="s">
        <v>151</v>
      </c>
      <c r="E26">
        <v>11</v>
      </c>
    </row>
    <row r="27" spans="1:5" x14ac:dyDescent="0.2">
      <c r="A27" t="s">
        <v>141</v>
      </c>
      <c r="B27" s="8" t="str">
        <f>A27&amp;COUNTIF($A$2:$A27,A27)</f>
        <v>Team Drisdom5</v>
      </c>
      <c r="C27" t="s">
        <v>152</v>
      </c>
      <c r="D27" t="s">
        <v>151</v>
      </c>
      <c r="E27">
        <v>2</v>
      </c>
    </row>
    <row r="28" spans="1:5" x14ac:dyDescent="0.2">
      <c r="A28" t="s">
        <v>141</v>
      </c>
      <c r="B28" s="8" t="str">
        <f>A28&amp;COUNTIF($A$2:$A28,A28)</f>
        <v>Team Drisdom6</v>
      </c>
      <c r="C28" t="s">
        <v>150</v>
      </c>
      <c r="D28" t="s">
        <v>149</v>
      </c>
      <c r="E28">
        <v>0</v>
      </c>
    </row>
    <row r="29" spans="1:5" x14ac:dyDescent="0.2">
      <c r="A29" t="s">
        <v>141</v>
      </c>
      <c r="B29" s="8" t="str">
        <f>A29&amp;COUNTIF($A$2:$A29,A29)</f>
        <v>Team Drisdom7</v>
      </c>
      <c r="C29" t="s">
        <v>148</v>
      </c>
      <c r="D29" t="s">
        <v>147</v>
      </c>
      <c r="E29">
        <v>13</v>
      </c>
    </row>
    <row r="30" spans="1:5" x14ac:dyDescent="0.2">
      <c r="A30" t="s">
        <v>141</v>
      </c>
      <c r="B30" s="8" t="str">
        <f>A30&amp;COUNTIF($A$2:$A30,A30)</f>
        <v>Team Drisdom8</v>
      </c>
      <c r="C30" t="s">
        <v>146</v>
      </c>
      <c r="D30" t="s">
        <v>145</v>
      </c>
      <c r="E30">
        <v>1</v>
      </c>
    </row>
    <row r="31" spans="1:5" x14ac:dyDescent="0.2">
      <c r="A31" t="s">
        <v>141</v>
      </c>
      <c r="B31" s="8" t="str">
        <f>A31&amp;COUNTIF($A$2:$A31,A31)</f>
        <v>Team Drisdom9</v>
      </c>
      <c r="C31" t="s">
        <v>144</v>
      </c>
      <c r="D31" t="s">
        <v>74</v>
      </c>
      <c r="E31">
        <v>4</v>
      </c>
    </row>
    <row r="32" spans="1:5" x14ac:dyDescent="0.2">
      <c r="A32" t="s">
        <v>141</v>
      </c>
      <c r="B32" s="8" t="str">
        <f>A32&amp;COUNTIF($A$2:$A32,A32)</f>
        <v>Team Drisdom10</v>
      </c>
      <c r="C32" t="s">
        <v>143</v>
      </c>
      <c r="D32" t="s">
        <v>142</v>
      </c>
      <c r="E32">
        <v>6</v>
      </c>
    </row>
    <row r="33" spans="1:5" x14ac:dyDescent="0.2">
      <c r="A33" t="s">
        <v>141</v>
      </c>
      <c r="B33" s="8" t="str">
        <f>A33&amp;COUNTIF($A$2:$A33,A33)</f>
        <v>Team Drisdom11</v>
      </c>
      <c r="C33" t="s">
        <v>140</v>
      </c>
      <c r="D33" t="s">
        <v>139</v>
      </c>
      <c r="E33">
        <v>20</v>
      </c>
    </row>
    <row r="34" spans="1:5" x14ac:dyDescent="0.2">
      <c r="A34" t="s">
        <v>116</v>
      </c>
      <c r="B34" s="8" t="str">
        <f>A34&amp;COUNTIF($A$2:$A34,A34)</f>
        <v>Team Bullock1</v>
      </c>
      <c r="C34" t="s">
        <v>138</v>
      </c>
      <c r="D34" t="s">
        <v>137</v>
      </c>
      <c r="E34">
        <v>3</v>
      </c>
    </row>
    <row r="35" spans="1:5" x14ac:dyDescent="0.2">
      <c r="A35" t="s">
        <v>116</v>
      </c>
      <c r="B35" s="8" t="str">
        <f>A35&amp;COUNTIF($A$2:$A35,A35)</f>
        <v>Team Bullock2</v>
      </c>
      <c r="C35" t="s">
        <v>136</v>
      </c>
      <c r="D35" t="s">
        <v>135</v>
      </c>
      <c r="E35">
        <v>21</v>
      </c>
    </row>
    <row r="36" spans="1:5" x14ac:dyDescent="0.2">
      <c r="A36" t="s">
        <v>116</v>
      </c>
      <c r="B36" s="8" t="str">
        <f>A36&amp;COUNTIF($A$2:$A36,A36)</f>
        <v>Team Bullock3</v>
      </c>
      <c r="C36" t="s">
        <v>134</v>
      </c>
      <c r="D36" t="s">
        <v>133</v>
      </c>
      <c r="E36">
        <v>15</v>
      </c>
    </row>
    <row r="37" spans="1:5" x14ac:dyDescent="0.2">
      <c r="A37" t="s">
        <v>116</v>
      </c>
      <c r="B37" s="8" t="str">
        <f>A37&amp;COUNTIF($A$2:$A37,A37)</f>
        <v>Team Bullock4</v>
      </c>
      <c r="C37" t="s">
        <v>132</v>
      </c>
      <c r="D37" t="s">
        <v>131</v>
      </c>
      <c r="E37">
        <v>5</v>
      </c>
    </row>
    <row r="38" spans="1:5" x14ac:dyDescent="0.2">
      <c r="A38" t="s">
        <v>116</v>
      </c>
      <c r="B38" s="8" t="str">
        <f>A38&amp;COUNTIF($A$2:$A38,A38)</f>
        <v>Team Bullock5</v>
      </c>
      <c r="C38" t="s">
        <v>130</v>
      </c>
      <c r="D38" t="s">
        <v>129</v>
      </c>
      <c r="E38">
        <v>7</v>
      </c>
    </row>
    <row r="39" spans="1:5" x14ac:dyDescent="0.2">
      <c r="A39" t="s">
        <v>116</v>
      </c>
      <c r="B39" s="8" t="str">
        <f>A39&amp;COUNTIF($A$2:$A39,A39)</f>
        <v>Team Bullock6</v>
      </c>
      <c r="C39" t="s">
        <v>128</v>
      </c>
      <c r="D39" t="s">
        <v>127</v>
      </c>
      <c r="E39">
        <v>24</v>
      </c>
    </row>
    <row r="40" spans="1:5" x14ac:dyDescent="0.2">
      <c r="A40" t="s">
        <v>116</v>
      </c>
      <c r="B40" s="8" t="str">
        <f>A40&amp;COUNTIF($A$2:$A40,A40)</f>
        <v>Team Bullock7</v>
      </c>
      <c r="C40" t="s">
        <v>126</v>
      </c>
      <c r="D40" t="s">
        <v>125</v>
      </c>
      <c r="E40">
        <v>8</v>
      </c>
    </row>
    <row r="41" spans="1:5" x14ac:dyDescent="0.2">
      <c r="A41" t="s">
        <v>116</v>
      </c>
      <c r="B41" s="8" t="str">
        <f>A41&amp;COUNTIF($A$2:$A41,A41)</f>
        <v>Team Bullock8</v>
      </c>
      <c r="C41" t="s">
        <v>124</v>
      </c>
      <c r="D41" t="s">
        <v>123</v>
      </c>
      <c r="E41">
        <v>20</v>
      </c>
    </row>
    <row r="42" spans="1:5" x14ac:dyDescent="0.2">
      <c r="A42" t="s">
        <v>116</v>
      </c>
      <c r="B42" s="8" t="str">
        <f>A42&amp;COUNTIF($A$2:$A42,A42)</f>
        <v>Team Bullock9</v>
      </c>
      <c r="C42" t="s">
        <v>122</v>
      </c>
      <c r="D42" t="s">
        <v>121</v>
      </c>
      <c r="E42">
        <v>22</v>
      </c>
    </row>
    <row r="43" spans="1:5" x14ac:dyDescent="0.2">
      <c r="A43" t="s">
        <v>116</v>
      </c>
      <c r="B43" s="8" t="str">
        <f>A43&amp;COUNTIF($A$2:$A43,A43)</f>
        <v>Team Bullock10</v>
      </c>
      <c r="C43" t="s">
        <v>120</v>
      </c>
      <c r="D43" t="s">
        <v>119</v>
      </c>
      <c r="E43">
        <v>23</v>
      </c>
    </row>
    <row r="44" spans="1:5" x14ac:dyDescent="0.2">
      <c r="A44" t="s">
        <v>116</v>
      </c>
      <c r="B44" s="8" t="str">
        <f>A44&amp;COUNTIF($A$2:$A44,A44)</f>
        <v>Team Bullock11</v>
      </c>
      <c r="C44" t="s">
        <v>118</v>
      </c>
      <c r="D44" t="s">
        <v>117</v>
      </c>
      <c r="E44">
        <v>12</v>
      </c>
    </row>
    <row r="45" spans="1:5" x14ac:dyDescent="0.2">
      <c r="A45" t="s">
        <v>116</v>
      </c>
      <c r="B45" s="8" t="str">
        <f>A45&amp;COUNTIF($A$2:$A45,A45)</f>
        <v>Team Bullock12</v>
      </c>
      <c r="C45" t="s">
        <v>115</v>
      </c>
      <c r="D45" t="s">
        <v>114</v>
      </c>
      <c r="E45">
        <v>23</v>
      </c>
    </row>
    <row r="46" spans="1:5" x14ac:dyDescent="0.2">
      <c r="A46" t="s">
        <v>101</v>
      </c>
      <c r="B46" s="8" t="str">
        <f>A46&amp;COUNTIF($A$2:$A46,A46)</f>
        <v>Team Erickson1</v>
      </c>
      <c r="C46" t="s">
        <v>105</v>
      </c>
      <c r="D46" t="s">
        <v>113</v>
      </c>
      <c r="E46">
        <v>20</v>
      </c>
    </row>
    <row r="47" spans="1:5" x14ac:dyDescent="0.2">
      <c r="A47" t="s">
        <v>101</v>
      </c>
      <c r="B47" s="8" t="str">
        <f>A47&amp;COUNTIF($A$2:$A47,A47)</f>
        <v>Team Erickson2</v>
      </c>
      <c r="C47" t="s">
        <v>112</v>
      </c>
      <c r="D47" t="s">
        <v>111</v>
      </c>
      <c r="E47">
        <v>3</v>
      </c>
    </row>
    <row r="48" spans="1:5" x14ac:dyDescent="0.2">
      <c r="A48" t="s">
        <v>101</v>
      </c>
      <c r="B48" s="8" t="str">
        <f>A48&amp;COUNTIF($A$2:$A48,A48)</f>
        <v>Team Erickson3</v>
      </c>
      <c r="C48" t="s">
        <v>110</v>
      </c>
      <c r="D48" t="s">
        <v>109</v>
      </c>
      <c r="E48">
        <v>5</v>
      </c>
    </row>
    <row r="49" spans="1:5" x14ac:dyDescent="0.2">
      <c r="A49" t="s">
        <v>101</v>
      </c>
      <c r="B49" s="8" t="str">
        <f>A49&amp;COUNTIF($A$2:$A49,A49)</f>
        <v>Team Erickson4</v>
      </c>
      <c r="C49" t="s">
        <v>108</v>
      </c>
      <c r="D49" t="s">
        <v>53</v>
      </c>
      <c r="E49">
        <v>30</v>
      </c>
    </row>
    <row r="50" spans="1:5" x14ac:dyDescent="0.2">
      <c r="A50" t="s">
        <v>101</v>
      </c>
      <c r="B50" s="8" t="str">
        <f>A50&amp;COUNTIF($A$2:$A50,A50)</f>
        <v>Team Erickson5</v>
      </c>
      <c r="C50" t="s">
        <v>107</v>
      </c>
      <c r="D50" t="s">
        <v>106</v>
      </c>
      <c r="E50">
        <v>4</v>
      </c>
    </row>
    <row r="51" spans="1:5" x14ac:dyDescent="0.2">
      <c r="A51" t="s">
        <v>101</v>
      </c>
      <c r="B51" s="8" t="str">
        <f>A51&amp;COUNTIF($A$2:$A51,A51)</f>
        <v>Team Erickson6</v>
      </c>
      <c r="C51" t="s">
        <v>105</v>
      </c>
      <c r="D51" t="s">
        <v>104</v>
      </c>
      <c r="E51">
        <v>13</v>
      </c>
    </row>
    <row r="52" spans="1:5" x14ac:dyDescent="0.2">
      <c r="A52" t="s">
        <v>101</v>
      </c>
      <c r="B52" s="8" t="str">
        <f>A52&amp;COUNTIF($A$2:$A52,A52)</f>
        <v>Team Erickson7</v>
      </c>
      <c r="C52" t="s">
        <v>103</v>
      </c>
      <c r="D52" t="s">
        <v>102</v>
      </c>
      <c r="E52">
        <v>0</v>
      </c>
    </row>
    <row r="53" spans="1:5" x14ac:dyDescent="0.2">
      <c r="A53" t="s">
        <v>101</v>
      </c>
      <c r="B53" s="8" t="str">
        <f>A53&amp;COUNTIF($A$2:$A53,A53)</f>
        <v>Team Erickson8</v>
      </c>
      <c r="C53" t="s">
        <v>100</v>
      </c>
      <c r="D53" t="s">
        <v>99</v>
      </c>
      <c r="E53">
        <v>35</v>
      </c>
    </row>
    <row r="54" spans="1:5" x14ac:dyDescent="0.2">
      <c r="A54" t="s">
        <v>78</v>
      </c>
      <c r="B54" s="8" t="str">
        <f>A54&amp;COUNTIF($A$2:$A54,A54)</f>
        <v>Team Joyce1</v>
      </c>
      <c r="C54" t="s">
        <v>98</v>
      </c>
      <c r="D54" t="s">
        <v>97</v>
      </c>
      <c r="E54">
        <v>34</v>
      </c>
    </row>
    <row r="55" spans="1:5" x14ac:dyDescent="0.2">
      <c r="A55" t="s">
        <v>78</v>
      </c>
      <c r="B55" s="8" t="str">
        <f>A55&amp;COUNTIF($A$2:$A55,A55)</f>
        <v>Team Joyce2</v>
      </c>
      <c r="C55" t="s">
        <v>96</v>
      </c>
      <c r="D55" t="s">
        <v>95</v>
      </c>
      <c r="E55">
        <v>0</v>
      </c>
    </row>
    <row r="56" spans="1:5" x14ac:dyDescent="0.2">
      <c r="A56" t="s">
        <v>78</v>
      </c>
      <c r="B56" s="8" t="str">
        <f>A56&amp;COUNTIF($A$2:$A56,A56)</f>
        <v>Team Joyce3</v>
      </c>
      <c r="C56" t="s">
        <v>94</v>
      </c>
      <c r="D56" t="s">
        <v>93</v>
      </c>
      <c r="E56">
        <v>23</v>
      </c>
    </row>
    <row r="57" spans="1:5" x14ac:dyDescent="0.2">
      <c r="A57" t="s">
        <v>78</v>
      </c>
      <c r="B57" s="8" t="str">
        <f>A57&amp;COUNTIF($A$2:$A57,A57)</f>
        <v>Team Joyce4</v>
      </c>
      <c r="C57" t="s">
        <v>92</v>
      </c>
      <c r="D57" t="s">
        <v>91</v>
      </c>
      <c r="E57">
        <v>3</v>
      </c>
    </row>
    <row r="58" spans="1:5" x14ac:dyDescent="0.2">
      <c r="A58" t="s">
        <v>78</v>
      </c>
      <c r="B58" s="8" t="str">
        <f>A58&amp;COUNTIF($A$2:$A58,A58)</f>
        <v>Team Joyce5</v>
      </c>
      <c r="C58" t="s">
        <v>90</v>
      </c>
      <c r="D58" t="s">
        <v>89</v>
      </c>
      <c r="E58">
        <v>35</v>
      </c>
    </row>
    <row r="59" spans="1:5" x14ac:dyDescent="0.2">
      <c r="A59" t="s">
        <v>78</v>
      </c>
      <c r="B59" s="8" t="str">
        <f>A59&amp;COUNTIF($A$2:$A59,A59)</f>
        <v>Team Joyce6</v>
      </c>
      <c r="C59" t="s">
        <v>88</v>
      </c>
      <c r="D59" t="s">
        <v>87</v>
      </c>
      <c r="E59">
        <v>31</v>
      </c>
    </row>
    <row r="60" spans="1:5" x14ac:dyDescent="0.2">
      <c r="A60" t="s">
        <v>78</v>
      </c>
      <c r="B60" s="8" t="str">
        <f>A60&amp;COUNTIF($A$2:$A60,A60)</f>
        <v>Team Joyce7</v>
      </c>
      <c r="C60" t="s">
        <v>86</v>
      </c>
      <c r="D60" t="s">
        <v>85</v>
      </c>
      <c r="E60">
        <v>21</v>
      </c>
    </row>
    <row r="61" spans="1:5" x14ac:dyDescent="0.2">
      <c r="A61" t="s">
        <v>78</v>
      </c>
      <c r="B61" s="8" t="str">
        <f>A61&amp;COUNTIF($A$2:$A61,A61)</f>
        <v>Team Joyce8</v>
      </c>
      <c r="C61" t="s">
        <v>84</v>
      </c>
      <c r="D61" t="s">
        <v>83</v>
      </c>
      <c r="E61">
        <v>11</v>
      </c>
    </row>
    <row r="62" spans="1:5" x14ac:dyDescent="0.2">
      <c r="A62" t="s">
        <v>78</v>
      </c>
      <c r="B62" s="8" t="str">
        <f>A62&amp;COUNTIF($A$2:$A62,A62)</f>
        <v>Team Joyce9</v>
      </c>
      <c r="C62" t="s">
        <v>82</v>
      </c>
      <c r="D62" t="s">
        <v>81</v>
      </c>
      <c r="E62">
        <v>24</v>
      </c>
    </row>
    <row r="63" spans="1:5" x14ac:dyDescent="0.2">
      <c r="A63" t="s">
        <v>78</v>
      </c>
      <c r="B63" s="8" t="str">
        <f>A63&amp;COUNTIF($A$2:$A63,A63)</f>
        <v>Team Joyce10</v>
      </c>
      <c r="C63" t="s">
        <v>80</v>
      </c>
      <c r="D63" t="s">
        <v>79</v>
      </c>
      <c r="E63">
        <v>1</v>
      </c>
    </row>
    <row r="64" spans="1:5" x14ac:dyDescent="0.2">
      <c r="A64" t="s">
        <v>78</v>
      </c>
      <c r="B64" s="8" t="str">
        <f>A64&amp;COUNTIF($A$2:$A64,A64)</f>
        <v>Team Joyce11</v>
      </c>
      <c r="C64" t="s">
        <v>77</v>
      </c>
      <c r="D64" t="s">
        <v>76</v>
      </c>
      <c r="E64">
        <v>10</v>
      </c>
    </row>
    <row r="65" spans="1:5" x14ac:dyDescent="0.2">
      <c r="A65" t="s">
        <v>57</v>
      </c>
      <c r="B65" s="8" t="str">
        <f>A65&amp;COUNTIF($A$2:$A65,A65)</f>
        <v>Team Berger1</v>
      </c>
      <c r="C65" t="s">
        <v>75</v>
      </c>
      <c r="D65" t="s">
        <v>74</v>
      </c>
      <c r="E65">
        <v>60</v>
      </c>
    </row>
    <row r="66" spans="1:5" x14ac:dyDescent="0.2">
      <c r="A66" t="s">
        <v>57</v>
      </c>
      <c r="B66" s="8" t="str">
        <f>A66&amp;COUNTIF($A$2:$A66,A66)</f>
        <v>Team Berger2</v>
      </c>
      <c r="C66" t="s">
        <v>73</v>
      </c>
      <c r="D66" t="s">
        <v>72</v>
      </c>
      <c r="E66" s="7">
        <v>7</v>
      </c>
    </row>
    <row r="67" spans="1:5" x14ac:dyDescent="0.2">
      <c r="A67" t="s">
        <v>57</v>
      </c>
      <c r="B67" s="8" t="str">
        <f>A67&amp;COUNTIF($A$2:$A67,A67)</f>
        <v>Team Berger3</v>
      </c>
      <c r="C67" t="s">
        <v>71</v>
      </c>
      <c r="D67" t="s">
        <v>18</v>
      </c>
      <c r="E67">
        <v>12</v>
      </c>
    </row>
    <row r="68" spans="1:5" x14ac:dyDescent="0.2">
      <c r="A68" t="s">
        <v>57</v>
      </c>
      <c r="B68" s="8" t="str">
        <f>A68&amp;COUNTIF($A$2:$A68,A68)</f>
        <v>Team Berger4</v>
      </c>
      <c r="C68" t="s">
        <v>70</v>
      </c>
      <c r="D68" t="s">
        <v>69</v>
      </c>
      <c r="E68">
        <v>99</v>
      </c>
    </row>
    <row r="69" spans="1:5" x14ac:dyDescent="0.2">
      <c r="A69" t="s">
        <v>57</v>
      </c>
      <c r="B69" s="8" t="str">
        <f>A69&amp;COUNTIF($A$2:$A69,A69)</f>
        <v>Team Berger5</v>
      </c>
      <c r="C69" t="s">
        <v>68</v>
      </c>
      <c r="D69" t="s">
        <v>67</v>
      </c>
      <c r="E69">
        <v>33</v>
      </c>
    </row>
    <row r="70" spans="1:5" x14ac:dyDescent="0.2">
      <c r="A70" t="s">
        <v>57</v>
      </c>
      <c r="B70" s="8" t="str">
        <f>A70&amp;COUNTIF($A$2:$A70,A70)</f>
        <v>Team Berger6</v>
      </c>
      <c r="C70" t="s">
        <v>66</v>
      </c>
      <c r="D70" t="s">
        <v>65</v>
      </c>
      <c r="E70">
        <v>24</v>
      </c>
    </row>
    <row r="71" spans="1:5" x14ac:dyDescent="0.2">
      <c r="A71" t="s">
        <v>57</v>
      </c>
      <c r="B71" s="8" t="str">
        <f>A71&amp;COUNTIF($A$2:$A71,A71)</f>
        <v>Team Berger7</v>
      </c>
      <c r="C71" t="s">
        <v>64</v>
      </c>
      <c r="D71" t="s">
        <v>63</v>
      </c>
      <c r="E71">
        <v>21</v>
      </c>
    </row>
    <row r="72" spans="1:5" x14ac:dyDescent="0.2">
      <c r="A72" t="s">
        <v>57</v>
      </c>
      <c r="B72" s="8" t="str">
        <f>A72&amp;COUNTIF($A$2:$A72,A72)</f>
        <v>Team Berger8</v>
      </c>
      <c r="C72" t="s">
        <v>62</v>
      </c>
      <c r="D72" t="s">
        <v>61</v>
      </c>
      <c r="E72">
        <v>15</v>
      </c>
    </row>
    <row r="73" spans="1:5" x14ac:dyDescent="0.2">
      <c r="A73" t="s">
        <v>57</v>
      </c>
      <c r="B73" s="8" t="str">
        <f>A73&amp;COUNTIF($A$2:$A73,A73)</f>
        <v>Team Berger9</v>
      </c>
      <c r="C73" t="s">
        <v>60</v>
      </c>
      <c r="D73" t="s">
        <v>59</v>
      </c>
      <c r="E73">
        <v>2</v>
      </c>
    </row>
    <row r="74" spans="1:5" x14ac:dyDescent="0.2">
      <c r="A74" t="s">
        <v>57</v>
      </c>
      <c r="B74" s="8" t="str">
        <f>A74&amp;COUNTIF($A$2:$A74,A74)</f>
        <v>Team Berger10</v>
      </c>
      <c r="C74" t="s">
        <v>58</v>
      </c>
      <c r="E74">
        <v>6</v>
      </c>
    </row>
    <row r="75" spans="1:5" x14ac:dyDescent="0.2">
      <c r="A75" t="s">
        <v>57</v>
      </c>
      <c r="B75" s="8" t="str">
        <f>A75&amp;COUNTIF($A$2:$A75,A75)</f>
        <v>Team Berger11</v>
      </c>
      <c r="C75" t="s">
        <v>56</v>
      </c>
      <c r="D75" t="s">
        <v>55</v>
      </c>
    </row>
    <row r="76" spans="1:5" x14ac:dyDescent="0.2">
      <c r="A76" t="s">
        <v>30</v>
      </c>
      <c r="B76" s="8" t="str">
        <f>A76&amp;COUNTIF($A$2:$A76,A76)</f>
        <v>Team Stan1</v>
      </c>
      <c r="C76" t="s">
        <v>54</v>
      </c>
      <c r="D76" t="s">
        <v>53</v>
      </c>
      <c r="E76">
        <v>0</v>
      </c>
    </row>
    <row r="77" spans="1:5" x14ac:dyDescent="0.2">
      <c r="A77" t="s">
        <v>30</v>
      </c>
      <c r="B77" s="8" t="str">
        <f>A77&amp;COUNTIF($A$2:$A77,A77)</f>
        <v>Team Stan2</v>
      </c>
      <c r="C77" t="s">
        <v>52</v>
      </c>
      <c r="D77" t="s">
        <v>51</v>
      </c>
      <c r="E77">
        <v>32</v>
      </c>
    </row>
    <row r="78" spans="1:5" x14ac:dyDescent="0.2">
      <c r="A78" t="s">
        <v>30</v>
      </c>
      <c r="B78" s="8" t="str">
        <f>A78&amp;COUNTIF($A$2:$A78,A78)</f>
        <v>Team Stan3</v>
      </c>
      <c r="C78" t="s">
        <v>50</v>
      </c>
      <c r="D78" t="s">
        <v>49</v>
      </c>
      <c r="E78">
        <v>1</v>
      </c>
    </row>
    <row r="79" spans="1:5" x14ac:dyDescent="0.2">
      <c r="A79" t="s">
        <v>30</v>
      </c>
      <c r="B79" s="8" t="str">
        <f>A79&amp;COUNTIF($A$2:$A79,A79)</f>
        <v>Team Stan4</v>
      </c>
      <c r="C79" t="s">
        <v>48</v>
      </c>
      <c r="D79" t="s">
        <v>47</v>
      </c>
      <c r="E79">
        <v>5</v>
      </c>
    </row>
    <row r="80" spans="1:5" x14ac:dyDescent="0.2">
      <c r="A80" t="s">
        <v>30</v>
      </c>
      <c r="B80" s="8" t="str">
        <f>A80&amp;COUNTIF($A$2:$A80,A80)</f>
        <v>Team Stan5</v>
      </c>
      <c r="C80" t="s">
        <v>46</v>
      </c>
      <c r="D80" t="s">
        <v>45</v>
      </c>
      <c r="E80">
        <v>2</v>
      </c>
    </row>
    <row r="81" spans="1:5" x14ac:dyDescent="0.2">
      <c r="A81" t="s">
        <v>30</v>
      </c>
      <c r="B81" s="8" t="str">
        <f>A81&amp;COUNTIF($A$2:$A81,A81)</f>
        <v>Team Stan6</v>
      </c>
      <c r="C81" t="s">
        <v>44</v>
      </c>
      <c r="D81" t="s">
        <v>43</v>
      </c>
      <c r="E81">
        <v>11</v>
      </c>
    </row>
    <row r="82" spans="1:5" x14ac:dyDescent="0.2">
      <c r="A82" t="s">
        <v>30</v>
      </c>
      <c r="B82" s="8" t="str">
        <f>A82&amp;COUNTIF($A$2:$A82,A82)</f>
        <v>Team Stan7</v>
      </c>
      <c r="C82" t="s">
        <v>42</v>
      </c>
      <c r="D82" t="s">
        <v>41</v>
      </c>
      <c r="E82">
        <v>20</v>
      </c>
    </row>
    <row r="83" spans="1:5" x14ac:dyDescent="0.2">
      <c r="A83" t="s">
        <v>30</v>
      </c>
      <c r="B83" s="8" t="str">
        <f>A83&amp;COUNTIF($A$2:$A83,A83)</f>
        <v>Team Stan8</v>
      </c>
      <c r="C83" t="s">
        <v>40</v>
      </c>
      <c r="D83" t="s">
        <v>39</v>
      </c>
      <c r="E83">
        <v>59</v>
      </c>
    </row>
    <row r="84" spans="1:5" x14ac:dyDescent="0.2">
      <c r="A84" t="s">
        <v>30</v>
      </c>
      <c r="B84" s="8" t="str">
        <f>A84&amp;COUNTIF($A$2:$A84,A84)</f>
        <v>Team Stan9</v>
      </c>
      <c r="C84" t="s">
        <v>38</v>
      </c>
      <c r="D84" t="s">
        <v>37</v>
      </c>
      <c r="E84">
        <v>35</v>
      </c>
    </row>
    <row r="85" spans="1:5" x14ac:dyDescent="0.2">
      <c r="A85" t="s">
        <v>30</v>
      </c>
      <c r="B85" s="8" t="str">
        <f>A85&amp;COUNTIF($A$2:$A85,A85)</f>
        <v>Team Stan10</v>
      </c>
      <c r="C85" t="s">
        <v>36</v>
      </c>
      <c r="D85" t="s">
        <v>35</v>
      </c>
      <c r="E85">
        <v>3</v>
      </c>
    </row>
    <row r="86" spans="1:5" x14ac:dyDescent="0.2">
      <c r="A86" t="s">
        <v>30</v>
      </c>
      <c r="B86" s="8" t="str">
        <f>A86&amp;COUNTIF($A$2:$A86,A86)</f>
        <v>Team Stan11</v>
      </c>
      <c r="C86" t="s">
        <v>34</v>
      </c>
      <c r="D86" t="s">
        <v>33</v>
      </c>
      <c r="E86">
        <v>20</v>
      </c>
    </row>
    <row r="87" spans="1:5" x14ac:dyDescent="0.2">
      <c r="A87" t="s">
        <v>30</v>
      </c>
      <c r="B87" s="8" t="str">
        <f>A87&amp;COUNTIF($A$2:$A87,A87)</f>
        <v>Team Stan12</v>
      </c>
      <c r="C87" t="s">
        <v>32</v>
      </c>
      <c r="D87" t="s">
        <v>31</v>
      </c>
      <c r="E87">
        <v>24</v>
      </c>
    </row>
    <row r="88" spans="1:5" x14ac:dyDescent="0.2">
      <c r="A88" t="s">
        <v>30</v>
      </c>
      <c r="B88" s="8" t="str">
        <f>A88&amp;COUNTIF($A$2:$A88,A88)</f>
        <v>Team Stan13</v>
      </c>
      <c r="C88" t="s">
        <v>29</v>
      </c>
      <c r="D88" t="s">
        <v>28</v>
      </c>
    </row>
    <row r="89" spans="1:5" x14ac:dyDescent="0.2">
      <c r="A89" t="s">
        <v>181</v>
      </c>
      <c r="B89" s="8" t="str">
        <f>A89&amp;COUNTIF($A$89:$A89,A89)</f>
        <v>Team Humphreys1</v>
      </c>
    </row>
    <row r="90" spans="1:5" x14ac:dyDescent="0.2">
      <c r="A90" t="s">
        <v>181</v>
      </c>
      <c r="B90" s="8" t="str">
        <f>A90&amp;COUNTIF($A$89:$A90,A90)</f>
        <v>Team Humphreys2</v>
      </c>
    </row>
    <row r="91" spans="1:5" x14ac:dyDescent="0.2">
      <c r="A91" t="s">
        <v>181</v>
      </c>
      <c r="B91" s="8" t="str">
        <f>A91&amp;COUNTIF($A$89:$A91,A91)</f>
        <v>Team Humphreys3</v>
      </c>
    </row>
    <row r="92" spans="1:5" x14ac:dyDescent="0.2">
      <c r="A92" t="s">
        <v>181</v>
      </c>
      <c r="B92" s="8" t="str">
        <f>A92&amp;COUNTIF($A$89:$A92,A92)</f>
        <v>Team Humphreys4</v>
      </c>
    </row>
    <row r="93" spans="1:5" x14ac:dyDescent="0.2">
      <c r="A93" t="s">
        <v>181</v>
      </c>
      <c r="B93" s="8" t="str">
        <f>A93&amp;COUNTIF($A$89:$A93,A93)</f>
        <v>Team Humphreys5</v>
      </c>
    </row>
    <row r="94" spans="1:5" x14ac:dyDescent="0.2">
      <c r="A94" t="s">
        <v>181</v>
      </c>
      <c r="B94" s="8" t="str">
        <f>A94&amp;COUNTIF($A$89:$A94,A94)</f>
        <v>Team Humphreys6</v>
      </c>
    </row>
    <row r="95" spans="1:5" x14ac:dyDescent="0.2">
      <c r="A95" t="s">
        <v>181</v>
      </c>
      <c r="B95" s="8" t="str">
        <f>A95&amp;COUNTIF($A$89:$A95,A95)</f>
        <v>Team Humphreys7</v>
      </c>
    </row>
    <row r="96" spans="1:5" x14ac:dyDescent="0.2">
      <c r="A96" t="s">
        <v>181</v>
      </c>
      <c r="B96" s="8" t="str">
        <f>A96&amp;COUNTIF($A$89:$A96,A96)</f>
        <v>Team Humphreys8</v>
      </c>
    </row>
    <row r="97" spans="1:2" x14ac:dyDescent="0.2">
      <c r="A97" t="s">
        <v>181</v>
      </c>
      <c r="B97" s="8" t="str">
        <f>A97&amp;COUNTIF($A$89:$A97,A97)</f>
        <v>Team Humphreys9</v>
      </c>
    </row>
    <row r="98" spans="1:2" x14ac:dyDescent="0.2">
      <c r="A98" t="s">
        <v>181</v>
      </c>
      <c r="B98" s="8" t="str">
        <f>A98&amp;COUNTIF($A$89:$A98,A98)</f>
        <v>Team Humphreys10</v>
      </c>
    </row>
    <row r="99" spans="1:2" x14ac:dyDescent="0.2">
      <c r="A99" t="s">
        <v>181</v>
      </c>
      <c r="B99" s="8" t="str">
        <f>A99&amp;COUNTIF($A$89:$A99,A99)</f>
        <v>Team Humphreys11</v>
      </c>
    </row>
    <row r="100" spans="1:2" x14ac:dyDescent="0.2">
      <c r="A100" t="s">
        <v>181</v>
      </c>
      <c r="B100" s="8" t="str">
        <f>A100&amp;COUNTIF($A$89:$A100,A100)</f>
        <v>Team Humphreys12</v>
      </c>
    </row>
    <row r="101" spans="1:2" x14ac:dyDescent="0.2">
      <c r="A101" t="s">
        <v>181</v>
      </c>
      <c r="B101" s="8" t="str">
        <f>A101&amp;COUNTIF($A$89:$A101,A101)</f>
        <v>Team Humphreys13</v>
      </c>
    </row>
    <row r="102" spans="1:2" x14ac:dyDescent="0.2">
      <c r="A102" t="s">
        <v>181</v>
      </c>
      <c r="B102" s="8" t="str">
        <f>A102&amp;COUNTIF($A$89:$A102,A102)</f>
        <v>Team Humphreys14</v>
      </c>
    </row>
    <row r="103" spans="1:2" x14ac:dyDescent="0.2">
      <c r="B103" s="8" t="str">
        <f>A103&amp;COUNTIF($A$89:$A103,A103)</f>
        <v>0</v>
      </c>
    </row>
    <row r="104" spans="1:2" x14ac:dyDescent="0.2">
      <c r="B104" s="8" t="str">
        <f>A104&amp;COUNTIF($A$89:$A104,A104)</f>
        <v>0</v>
      </c>
    </row>
    <row r="105" spans="1:2" x14ac:dyDescent="0.2">
      <c r="B105" s="8" t="str">
        <f>A105&amp;COUNTIF($A$89:$A105,A105)</f>
        <v>0</v>
      </c>
    </row>
    <row r="106" spans="1:2" x14ac:dyDescent="0.2">
      <c r="B106" s="8" t="str">
        <f>A106&amp;COUNTIF($A$89:$A106,A106)</f>
        <v>0</v>
      </c>
    </row>
    <row r="107" spans="1:2" x14ac:dyDescent="0.2">
      <c r="B107" s="8" t="str">
        <f>A107&amp;COUNTIF($A$89:$A107,A107)</f>
        <v>0</v>
      </c>
    </row>
    <row r="108" spans="1:2" x14ac:dyDescent="0.2">
      <c r="B108" s="8" t="str">
        <f>A108&amp;COUNTIF($A$89:$A108,A108)</f>
        <v>0</v>
      </c>
    </row>
    <row r="109" spans="1:2" x14ac:dyDescent="0.2">
      <c r="B109" s="8" t="str">
        <f>A109&amp;COUNTIF($A$89:$A109,A109)</f>
        <v>0</v>
      </c>
    </row>
    <row r="110" spans="1:2" x14ac:dyDescent="0.2">
      <c r="B110" s="8" t="str">
        <f>A110&amp;COUNTIF($A$89:$A110,A110)</f>
        <v>0</v>
      </c>
    </row>
    <row r="111" spans="1:2" x14ac:dyDescent="0.2">
      <c r="B111" s="8" t="str">
        <f>A111&amp;COUNTIF($A$89:$A111,A111)</f>
        <v>0</v>
      </c>
    </row>
    <row r="112" spans="1:2" x14ac:dyDescent="0.2">
      <c r="B112" s="8" t="str">
        <f>A112&amp;COUNTIF($A$89:$A112,A112)</f>
        <v>0</v>
      </c>
    </row>
    <row r="113" spans="2:2" x14ac:dyDescent="0.2">
      <c r="B113" s="8" t="str">
        <f>A113&amp;COUNTIF($A$89:$A113,A113)</f>
        <v>0</v>
      </c>
    </row>
    <row r="114" spans="2:2" x14ac:dyDescent="0.2">
      <c r="B114" s="8" t="str">
        <f>A114&amp;COUNTIF($A$89:$A114,A114)</f>
        <v>0</v>
      </c>
    </row>
    <row r="115" spans="2:2" x14ac:dyDescent="0.2">
      <c r="B115" s="8" t="str">
        <f>A115&amp;COUNTIF($A$89:$A115,A115)</f>
        <v>0</v>
      </c>
    </row>
    <row r="116" spans="2:2" x14ac:dyDescent="0.2">
      <c r="B116" s="8" t="str">
        <f>A116&amp;COUNTIF($A$89:$A116,A116)</f>
        <v>0</v>
      </c>
    </row>
    <row r="117" spans="2:2" x14ac:dyDescent="0.2">
      <c r="B117" s="8" t="str">
        <f>A117&amp;COUNTIF($A$89:$A117,A117)</f>
        <v>0</v>
      </c>
    </row>
    <row r="118" spans="2:2" x14ac:dyDescent="0.2">
      <c r="B118" s="8" t="str">
        <f>A118&amp;COUNTIF($A$89:$A118,A118)</f>
        <v>0</v>
      </c>
    </row>
    <row r="119" spans="2:2" x14ac:dyDescent="0.2">
      <c r="B119" s="8" t="str">
        <f>A119&amp;COUNTIF($A$89:$A119,A119)</f>
        <v>0</v>
      </c>
    </row>
    <row r="120" spans="2:2" x14ac:dyDescent="0.2">
      <c r="B120" s="8" t="str">
        <f>A120&amp;COUNTIF($A$89:$A120,A120)</f>
        <v>0</v>
      </c>
    </row>
    <row r="121" spans="2:2" x14ac:dyDescent="0.2">
      <c r="B121" s="8" t="str">
        <f>A121&amp;COUNTIF($A$89:$A121,A121)</f>
        <v>0</v>
      </c>
    </row>
    <row r="122" spans="2:2" x14ac:dyDescent="0.2">
      <c r="B122" s="8" t="str">
        <f>A122&amp;COUNTIF($A$89:$A122,A122)</f>
        <v>0</v>
      </c>
    </row>
    <row r="123" spans="2:2" x14ac:dyDescent="0.2">
      <c r="B123" s="8" t="str">
        <f>A123&amp;COUNTIF($A$89:$A123,A123)</f>
        <v>0</v>
      </c>
    </row>
    <row r="124" spans="2:2" x14ac:dyDescent="0.2">
      <c r="B124" s="8" t="str">
        <f>A124&amp;COUNTIF($A$89:$A124,A124)</f>
        <v>0</v>
      </c>
    </row>
    <row r="125" spans="2:2" x14ac:dyDescent="0.2">
      <c r="B125" s="8" t="str">
        <f>A125&amp;COUNTIF($A$89:$A125,A125)</f>
        <v>0</v>
      </c>
    </row>
    <row r="126" spans="2:2" x14ac:dyDescent="0.2">
      <c r="B126" s="8" t="str">
        <f>A126&amp;COUNTIF($A$89:$A126,A126)</f>
        <v>0</v>
      </c>
    </row>
    <row r="127" spans="2:2" x14ac:dyDescent="0.2">
      <c r="B127" s="8" t="str">
        <f>A127&amp;COUNTIF($A$89:$A127,A127)</f>
        <v>0</v>
      </c>
    </row>
    <row r="128" spans="2:2" x14ac:dyDescent="0.2">
      <c r="B128" s="8" t="str">
        <f>A128&amp;COUNTIF($A$89:$A128,A128)</f>
        <v>0</v>
      </c>
    </row>
    <row r="129" spans="2:2" x14ac:dyDescent="0.2">
      <c r="B129" s="8" t="str">
        <f>A129&amp;COUNTIF($A$89:$A129,A129)</f>
        <v>0</v>
      </c>
    </row>
    <row r="130" spans="2:2" x14ac:dyDescent="0.2">
      <c r="B130" s="8" t="str">
        <f>A130&amp;COUNTIF($A$89:$A130,A130)</f>
        <v>0</v>
      </c>
    </row>
    <row r="131" spans="2:2" x14ac:dyDescent="0.2">
      <c r="B131" s="8" t="str">
        <f>A131&amp;COUNTIF($A$89:$A131,A131)</f>
        <v>0</v>
      </c>
    </row>
    <row r="132" spans="2:2" x14ac:dyDescent="0.2">
      <c r="B132" s="8" t="str">
        <f>A132&amp;COUNTIF($A$89:$A132,A132)</f>
        <v>0</v>
      </c>
    </row>
    <row r="133" spans="2:2" x14ac:dyDescent="0.2">
      <c r="B133" s="8" t="str">
        <f>A133&amp;COUNTIF($A$89:$A133,A133)</f>
        <v>0</v>
      </c>
    </row>
    <row r="134" spans="2:2" x14ac:dyDescent="0.2">
      <c r="B134" s="8" t="str">
        <f>A134&amp;COUNTIF($A$89:$A134,A134)</f>
        <v>0</v>
      </c>
    </row>
    <row r="135" spans="2:2" x14ac:dyDescent="0.2">
      <c r="B135" s="8" t="str">
        <f>A135&amp;COUNTIF($A$89:$A135,A135)</f>
        <v>0</v>
      </c>
    </row>
    <row r="136" spans="2:2" x14ac:dyDescent="0.2">
      <c r="B136" s="8" t="str">
        <f>A136&amp;COUNTIF($A$89:$A136,A136)</f>
        <v>0</v>
      </c>
    </row>
    <row r="137" spans="2:2" x14ac:dyDescent="0.2">
      <c r="B137" s="8" t="str">
        <f>A137&amp;COUNTIF($A$89:$A137,A137)</f>
        <v>0</v>
      </c>
    </row>
    <row r="138" spans="2:2" x14ac:dyDescent="0.2">
      <c r="B138" s="8" t="str">
        <f>A138&amp;COUNTIF($A$89:$A138,A138)</f>
        <v>0</v>
      </c>
    </row>
    <row r="139" spans="2:2" x14ac:dyDescent="0.2">
      <c r="B139" s="8" t="str">
        <f>A139&amp;COUNTIF($A$89:$A139,A139)</f>
        <v>0</v>
      </c>
    </row>
    <row r="140" spans="2:2" x14ac:dyDescent="0.2">
      <c r="B140" s="8" t="str">
        <f>A140&amp;COUNTIF($A$89:$A140,A140)</f>
        <v>0</v>
      </c>
    </row>
    <row r="141" spans="2:2" x14ac:dyDescent="0.2">
      <c r="B141" s="8" t="str">
        <f>A141&amp;COUNTIF($A$89:$A141,A141)</f>
        <v>0</v>
      </c>
    </row>
    <row r="142" spans="2:2" x14ac:dyDescent="0.2">
      <c r="B142" s="8" t="str">
        <f>A142&amp;COUNTIF($A$89:$A142,A142)</f>
        <v>0</v>
      </c>
    </row>
    <row r="143" spans="2:2" x14ac:dyDescent="0.2">
      <c r="B143" s="8" t="str">
        <f>A143&amp;COUNTIF($A$89:$A143,A143)</f>
        <v>0</v>
      </c>
    </row>
    <row r="144" spans="2:2" x14ac:dyDescent="0.2">
      <c r="B144" s="8" t="str">
        <f>A144&amp;COUNTIF($A$89:$A144,A144)</f>
        <v>0</v>
      </c>
    </row>
    <row r="145" spans="2:2" x14ac:dyDescent="0.2">
      <c r="B145" s="8" t="str">
        <f>A145&amp;COUNTIF($A$89:$A145,A145)</f>
        <v>0</v>
      </c>
    </row>
    <row r="146" spans="2:2" x14ac:dyDescent="0.2">
      <c r="B146" s="8" t="str">
        <f>A146&amp;COUNTIF($A$89:$A146,A146)</f>
        <v>0</v>
      </c>
    </row>
    <row r="147" spans="2:2" x14ac:dyDescent="0.2">
      <c r="B147" s="8" t="str">
        <f>A147&amp;COUNTIF($A$89:$A147,A147)</f>
        <v>0</v>
      </c>
    </row>
    <row r="148" spans="2:2" x14ac:dyDescent="0.2">
      <c r="B148" s="8" t="str">
        <f>A148&amp;COUNTIF($A$89:$A148,A148)</f>
        <v>0</v>
      </c>
    </row>
    <row r="149" spans="2:2" x14ac:dyDescent="0.2">
      <c r="B149" s="8" t="str">
        <f>A149&amp;COUNTIF($A$89:$A149,A149)</f>
        <v>0</v>
      </c>
    </row>
    <row r="150" spans="2:2" x14ac:dyDescent="0.2">
      <c r="B150" s="8" t="str">
        <f>A150&amp;COUNTIF($A$89:$A150,A150)</f>
        <v>0</v>
      </c>
    </row>
    <row r="151" spans="2:2" x14ac:dyDescent="0.2">
      <c r="B151" s="8" t="str">
        <f>A151&amp;COUNTIF($A$89:$A151,A151)</f>
        <v>0</v>
      </c>
    </row>
    <row r="152" spans="2:2" x14ac:dyDescent="0.2">
      <c r="B152" s="8" t="str">
        <f>A152&amp;COUNTIF($A$89:$A152,A152)</f>
        <v>0</v>
      </c>
    </row>
    <row r="153" spans="2:2" x14ac:dyDescent="0.2">
      <c r="B153" s="8" t="str">
        <f>A153&amp;COUNTIF($A$89:$A153,A153)</f>
        <v>0</v>
      </c>
    </row>
    <row r="154" spans="2:2" x14ac:dyDescent="0.2">
      <c r="B154" s="8" t="str">
        <f>A154&amp;COUNTIF($A$89:$A154,A154)</f>
        <v>0</v>
      </c>
    </row>
    <row r="155" spans="2:2" x14ac:dyDescent="0.2">
      <c r="B155" s="8" t="str">
        <f>A155&amp;COUNTIF($A$89:$A155,A155)</f>
        <v>0</v>
      </c>
    </row>
    <row r="156" spans="2:2" x14ac:dyDescent="0.2">
      <c r="B156" s="8" t="str">
        <f>A156&amp;COUNTIF($A$89:$A156,A156)</f>
        <v>0</v>
      </c>
    </row>
    <row r="157" spans="2:2" x14ac:dyDescent="0.2">
      <c r="B157" s="8" t="str">
        <f>A157&amp;COUNTIF($A$89:$A157,A157)</f>
        <v>0</v>
      </c>
    </row>
    <row r="158" spans="2:2" x14ac:dyDescent="0.2">
      <c r="B158" s="8" t="str">
        <f>A158&amp;COUNTIF($A$89:$A158,A158)</f>
        <v>0</v>
      </c>
    </row>
    <row r="159" spans="2:2" x14ac:dyDescent="0.2">
      <c r="B159" s="8" t="str">
        <f>A159&amp;COUNTIF($A$89:$A159,A159)</f>
        <v>0</v>
      </c>
    </row>
    <row r="160" spans="2:2" x14ac:dyDescent="0.2">
      <c r="B160" s="8" t="str">
        <f>A160&amp;COUNTIF($A$89:$A160,A160)</f>
        <v>0</v>
      </c>
    </row>
    <row r="161" spans="2:2" x14ac:dyDescent="0.2">
      <c r="B161" s="8" t="str">
        <f>A161&amp;COUNTIF($A$89:$A161,A161)</f>
        <v>0</v>
      </c>
    </row>
    <row r="162" spans="2:2" x14ac:dyDescent="0.2">
      <c r="B162" s="8" t="str">
        <f>A162&amp;COUNTIF($A$89:$A162,A162)</f>
        <v>0</v>
      </c>
    </row>
    <row r="163" spans="2:2" x14ac:dyDescent="0.2">
      <c r="B163" s="8" t="str">
        <f>A163&amp;COUNTIF($A$89:$A163,A163)</f>
        <v>0</v>
      </c>
    </row>
    <row r="164" spans="2:2" x14ac:dyDescent="0.2">
      <c r="B164" s="8" t="str">
        <f>A164&amp;COUNTIF($A$89:$A164,A164)</f>
        <v>0</v>
      </c>
    </row>
    <row r="165" spans="2:2" x14ac:dyDescent="0.2">
      <c r="B165" s="8" t="str">
        <f>A165&amp;COUNTIF($A$89:$A165,A165)</f>
        <v>0</v>
      </c>
    </row>
    <row r="166" spans="2:2" x14ac:dyDescent="0.2">
      <c r="B166" s="8" t="str">
        <f>A166&amp;COUNTIF($A$89:$A166,A166)</f>
        <v>0</v>
      </c>
    </row>
    <row r="167" spans="2:2" x14ac:dyDescent="0.2">
      <c r="B167" s="8" t="str">
        <f>A167&amp;COUNTIF($A$89:$A167,A167)</f>
        <v>0</v>
      </c>
    </row>
    <row r="168" spans="2:2" x14ac:dyDescent="0.2">
      <c r="B168" s="8" t="str">
        <f>A168&amp;COUNTIF($A$89:$A168,A168)</f>
        <v>0</v>
      </c>
    </row>
    <row r="169" spans="2:2" x14ac:dyDescent="0.2">
      <c r="B169" s="8" t="str">
        <f>A169&amp;COUNTIF($A$89:$A169,A169)</f>
        <v>0</v>
      </c>
    </row>
    <row r="170" spans="2:2" x14ac:dyDescent="0.2">
      <c r="B170" s="8" t="str">
        <f>A170&amp;COUNTIF($A$89:$A170,A170)</f>
        <v>0</v>
      </c>
    </row>
    <row r="171" spans="2:2" x14ac:dyDescent="0.2">
      <c r="B171" s="8" t="str">
        <f>A171&amp;COUNTIF($A$89:$A171,A171)</f>
        <v>0</v>
      </c>
    </row>
    <row r="172" spans="2:2" x14ac:dyDescent="0.2">
      <c r="B172" s="8" t="str">
        <f>A172&amp;COUNTIF($A$89:$A172,A172)</f>
        <v>0</v>
      </c>
    </row>
    <row r="173" spans="2:2" x14ac:dyDescent="0.2">
      <c r="B173" s="8" t="str">
        <f>A173&amp;COUNTIF($A$89:$A173,A173)</f>
        <v>0</v>
      </c>
    </row>
    <row r="174" spans="2:2" x14ac:dyDescent="0.2">
      <c r="B174" s="8" t="str">
        <f>A174&amp;COUNTIF($A$89:$A174,A174)</f>
        <v>0</v>
      </c>
    </row>
    <row r="175" spans="2:2" x14ac:dyDescent="0.2">
      <c r="B175" s="8" t="str">
        <f>A175&amp;COUNTIF($A$89:$A175,A175)</f>
        <v>0</v>
      </c>
    </row>
    <row r="176" spans="2:2" x14ac:dyDescent="0.2">
      <c r="B176" s="8" t="str">
        <f>A176&amp;COUNTIF($A$89:$A176,A176)</f>
        <v>0</v>
      </c>
    </row>
    <row r="177" spans="2:2" x14ac:dyDescent="0.2">
      <c r="B177" s="8" t="str">
        <f>A177&amp;COUNTIF($A$89:$A177,A177)</f>
        <v>0</v>
      </c>
    </row>
    <row r="178" spans="2:2" x14ac:dyDescent="0.2">
      <c r="B178" s="8" t="str">
        <f>A178&amp;COUNTIF($A$89:$A178,A178)</f>
        <v>0</v>
      </c>
    </row>
    <row r="179" spans="2:2" x14ac:dyDescent="0.2">
      <c r="B179" s="8" t="str">
        <f>A179&amp;COUNTIF($A$89:$A179,A179)</f>
        <v>0</v>
      </c>
    </row>
    <row r="180" spans="2:2" x14ac:dyDescent="0.2">
      <c r="B180" s="8" t="str">
        <f>A180&amp;COUNTIF($A$89:$A180,A180)</f>
        <v>0</v>
      </c>
    </row>
    <row r="181" spans="2:2" x14ac:dyDescent="0.2">
      <c r="B181" s="8" t="str">
        <f>A181&amp;COUNTIF($A$89:$A181,A181)</f>
        <v>0</v>
      </c>
    </row>
    <row r="182" spans="2:2" x14ac:dyDescent="0.2">
      <c r="B182" s="8" t="str">
        <f>A182&amp;COUNTIF($A$89:$A182,A182)</f>
        <v>0</v>
      </c>
    </row>
    <row r="183" spans="2:2" x14ac:dyDescent="0.2">
      <c r="B183" s="8" t="str">
        <f>A183&amp;COUNTIF($A$89:$A183,A183)</f>
        <v>0</v>
      </c>
    </row>
    <row r="184" spans="2:2" x14ac:dyDescent="0.2">
      <c r="B184" s="8" t="str">
        <f>A184&amp;COUNTIF($A$89:$A184,A184)</f>
        <v>0</v>
      </c>
    </row>
    <row r="185" spans="2:2" x14ac:dyDescent="0.2">
      <c r="B185" s="8" t="str">
        <f>A185&amp;COUNTIF($A$89:$A185,A185)</f>
        <v>0</v>
      </c>
    </row>
    <row r="186" spans="2:2" x14ac:dyDescent="0.2">
      <c r="B186" s="8" t="str">
        <f>A186&amp;COUNTIF($A$89:$A186,A186)</f>
        <v>0</v>
      </c>
    </row>
    <row r="187" spans="2:2" x14ac:dyDescent="0.2">
      <c r="B187" s="8" t="str">
        <f>A187&amp;COUNTIF($A$89:$A187,A187)</f>
        <v>0</v>
      </c>
    </row>
    <row r="188" spans="2:2" x14ac:dyDescent="0.2">
      <c r="B188" s="8" t="str">
        <f>A188&amp;COUNTIF($A$89:$A188,A188)</f>
        <v>0</v>
      </c>
    </row>
    <row r="189" spans="2:2" x14ac:dyDescent="0.2">
      <c r="B189" s="8" t="str">
        <f>A189&amp;COUNTIF($A$89:$A189,A189)</f>
        <v>0</v>
      </c>
    </row>
    <row r="190" spans="2:2" x14ac:dyDescent="0.2">
      <c r="B190" s="8" t="str">
        <f>A190&amp;COUNTIF($A$89:$A190,A190)</f>
        <v>0</v>
      </c>
    </row>
    <row r="191" spans="2:2" x14ac:dyDescent="0.2">
      <c r="B191" s="8" t="str">
        <f>A191&amp;COUNTIF($A$89:$A191,A191)</f>
        <v>0</v>
      </c>
    </row>
    <row r="192" spans="2:2" x14ac:dyDescent="0.2">
      <c r="B192" s="8" t="str">
        <f>A192&amp;COUNTIF($A$89:$A192,A192)</f>
        <v>0</v>
      </c>
    </row>
    <row r="193" spans="2:2" x14ac:dyDescent="0.2">
      <c r="B193" s="8" t="str">
        <f>A193&amp;COUNTIF($A$89:$A193,A193)</f>
        <v>0</v>
      </c>
    </row>
    <row r="194" spans="2:2" x14ac:dyDescent="0.2">
      <c r="B194" s="8" t="str">
        <f>A194&amp;COUNTIF($A$89:$A194,A194)</f>
        <v>0</v>
      </c>
    </row>
    <row r="195" spans="2:2" x14ac:dyDescent="0.2">
      <c r="B195" s="8" t="str">
        <f>A195&amp;COUNTIF($A$89:$A195,A195)</f>
        <v>0</v>
      </c>
    </row>
    <row r="196" spans="2:2" x14ac:dyDescent="0.2">
      <c r="B196" s="8" t="str">
        <f>A196&amp;COUNTIF($A$89:$A196,A196)</f>
        <v>0</v>
      </c>
    </row>
    <row r="197" spans="2:2" x14ac:dyDescent="0.2">
      <c r="B197" s="8" t="str">
        <f>A197&amp;COUNTIF($A$89:$A197,A197)</f>
        <v>0</v>
      </c>
    </row>
    <row r="198" spans="2:2" x14ac:dyDescent="0.2">
      <c r="B198" s="8" t="str">
        <f>A198&amp;COUNTIF($A$89:$A198,A198)</f>
        <v>0</v>
      </c>
    </row>
    <row r="199" spans="2:2" x14ac:dyDescent="0.2">
      <c r="B199" s="8" t="str">
        <f>A199&amp;COUNTIF($A$89:$A199,A199)</f>
        <v>0</v>
      </c>
    </row>
    <row r="200" spans="2:2" x14ac:dyDescent="0.2">
      <c r="B200" s="8" t="str">
        <f>A200&amp;COUNTIF($A$89:$A200,A200)</f>
        <v>0</v>
      </c>
    </row>
    <row r="201" spans="2:2" x14ac:dyDescent="0.2">
      <c r="B201" s="8" t="str">
        <f>A201&amp;COUNTIF($A$89:$A201,A201)</f>
        <v>0</v>
      </c>
    </row>
    <row r="202" spans="2:2" x14ac:dyDescent="0.2">
      <c r="B202" s="8" t="str">
        <f>A202&amp;COUNTIF($A$89:$A202,A202)</f>
        <v>0</v>
      </c>
    </row>
    <row r="203" spans="2:2" x14ac:dyDescent="0.2">
      <c r="B203" s="8" t="str">
        <f>A203&amp;COUNTIF($A$89:$A203,A203)</f>
        <v>0</v>
      </c>
    </row>
    <row r="204" spans="2:2" x14ac:dyDescent="0.2">
      <c r="B204" s="8" t="str">
        <f>A204&amp;COUNTIF($A$89:$A204,A204)</f>
        <v>0</v>
      </c>
    </row>
    <row r="205" spans="2:2" x14ac:dyDescent="0.2">
      <c r="B205" s="8" t="str">
        <f>A205&amp;COUNTIF($A$89:$A205,A205)</f>
        <v>0</v>
      </c>
    </row>
    <row r="206" spans="2:2" x14ac:dyDescent="0.2">
      <c r="B206" s="8" t="str">
        <f>A206&amp;COUNTIF($A$89:$A206,A206)</f>
        <v>0</v>
      </c>
    </row>
    <row r="207" spans="2:2" x14ac:dyDescent="0.2">
      <c r="B207" s="8" t="str">
        <f>A207&amp;COUNTIF($A$89:$A207,A207)</f>
        <v>0</v>
      </c>
    </row>
    <row r="208" spans="2:2" x14ac:dyDescent="0.2">
      <c r="B208" s="8" t="str">
        <f>A208&amp;COUNTIF($A$89:$A208,A208)</f>
        <v>0</v>
      </c>
    </row>
    <row r="209" spans="2:2" x14ac:dyDescent="0.2">
      <c r="B209" s="8" t="str">
        <f>A209&amp;COUNTIF($A$89:$A209,A209)</f>
        <v>0</v>
      </c>
    </row>
    <row r="210" spans="2:2" x14ac:dyDescent="0.2">
      <c r="B210" s="8" t="str">
        <f>A210&amp;COUNTIF($A$89:$A210,A210)</f>
        <v>0</v>
      </c>
    </row>
    <row r="211" spans="2:2" x14ac:dyDescent="0.2">
      <c r="B211" s="8" t="str">
        <f>A211&amp;COUNTIF($A$89:$A211,A211)</f>
        <v>0</v>
      </c>
    </row>
    <row r="212" spans="2:2" x14ac:dyDescent="0.2">
      <c r="B212" s="8" t="str">
        <f>A212&amp;COUNTIF($A$89:$A212,A212)</f>
        <v>0</v>
      </c>
    </row>
    <row r="213" spans="2:2" x14ac:dyDescent="0.2">
      <c r="B213" s="8" t="str">
        <f>A213&amp;COUNTIF($A$89:$A213,A213)</f>
        <v>0</v>
      </c>
    </row>
    <row r="214" spans="2:2" x14ac:dyDescent="0.2">
      <c r="B214" s="8" t="str">
        <f>A214&amp;COUNTIF($A$89:$A214,A214)</f>
        <v>0</v>
      </c>
    </row>
    <row r="215" spans="2:2" x14ac:dyDescent="0.2">
      <c r="B215" s="8" t="str">
        <f>A215&amp;COUNTIF($A$89:$A215,A215)</f>
        <v>0</v>
      </c>
    </row>
    <row r="216" spans="2:2" x14ac:dyDescent="0.2">
      <c r="B216" s="8" t="str">
        <f>A216&amp;COUNTIF($A$89:$A216,A216)</f>
        <v>0</v>
      </c>
    </row>
    <row r="217" spans="2:2" x14ac:dyDescent="0.2">
      <c r="B217" s="8" t="str">
        <f>A217&amp;COUNTIF($A$89:$A217,A217)</f>
        <v>0</v>
      </c>
    </row>
    <row r="218" spans="2:2" x14ac:dyDescent="0.2">
      <c r="B218" s="8" t="str">
        <f>A218&amp;COUNTIF($A$89:$A218,A218)</f>
        <v>0</v>
      </c>
    </row>
    <row r="219" spans="2:2" x14ac:dyDescent="0.2">
      <c r="B219" s="8" t="str">
        <f>A219&amp;COUNTIF($A$89:$A219,A219)</f>
        <v>0</v>
      </c>
    </row>
    <row r="220" spans="2:2" x14ac:dyDescent="0.2">
      <c r="B220" s="8" t="str">
        <f>A220&amp;COUNTIF($A$89:$A220,A220)</f>
        <v>0</v>
      </c>
    </row>
    <row r="221" spans="2:2" x14ac:dyDescent="0.2">
      <c r="B221" s="8" t="str">
        <f>A221&amp;COUNTIF($A$89:$A221,A221)</f>
        <v>0</v>
      </c>
    </row>
    <row r="222" spans="2:2" x14ac:dyDescent="0.2">
      <c r="B222" s="8" t="str">
        <f>A222&amp;COUNTIF($A$89:$A222,A222)</f>
        <v>0</v>
      </c>
    </row>
    <row r="223" spans="2:2" x14ac:dyDescent="0.2">
      <c r="B223" s="8" t="str">
        <f>A223&amp;COUNTIF($A$89:$A223,A223)</f>
        <v>0</v>
      </c>
    </row>
    <row r="224" spans="2:2" x14ac:dyDescent="0.2">
      <c r="B224" s="8" t="str">
        <f>A224&amp;COUNTIF($A$89:$A224,A224)</f>
        <v>0</v>
      </c>
    </row>
    <row r="225" spans="2:2" x14ac:dyDescent="0.2">
      <c r="B225" s="8" t="str">
        <f>A225&amp;COUNTIF($A$89:$A225,A225)</f>
        <v>0</v>
      </c>
    </row>
    <row r="226" spans="2:2" x14ac:dyDescent="0.2">
      <c r="B226" s="8" t="str">
        <f>A226&amp;COUNTIF($A$89:$A226,A226)</f>
        <v>0</v>
      </c>
    </row>
    <row r="227" spans="2:2" x14ac:dyDescent="0.2">
      <c r="B227" s="8" t="str">
        <f>A227&amp;COUNTIF($A$89:$A227,A227)</f>
        <v>0</v>
      </c>
    </row>
    <row r="228" spans="2:2" x14ac:dyDescent="0.2">
      <c r="B228" s="8" t="str">
        <f>A228&amp;COUNTIF($A$89:$A228,A228)</f>
        <v>0</v>
      </c>
    </row>
    <row r="229" spans="2:2" x14ac:dyDescent="0.2">
      <c r="B229" s="8" t="str">
        <f>A229&amp;COUNTIF($A$89:$A229,A229)</f>
        <v>0</v>
      </c>
    </row>
    <row r="230" spans="2:2" x14ac:dyDescent="0.2">
      <c r="B230" s="8" t="str">
        <f>A230&amp;COUNTIF($A$89:$A230,A230)</f>
        <v>0</v>
      </c>
    </row>
    <row r="231" spans="2:2" x14ac:dyDescent="0.2">
      <c r="B231" s="8" t="str">
        <f>A231&amp;COUNTIF($A$89:$A231,A231)</f>
        <v>0</v>
      </c>
    </row>
    <row r="232" spans="2:2" x14ac:dyDescent="0.2">
      <c r="B232" s="8" t="str">
        <f>A232&amp;COUNTIF($A$89:$A232,A232)</f>
        <v>0</v>
      </c>
    </row>
    <row r="233" spans="2:2" x14ac:dyDescent="0.2">
      <c r="B233" s="8" t="str">
        <f>A233&amp;COUNTIF($A$89:$A233,A233)</f>
        <v>0</v>
      </c>
    </row>
    <row r="234" spans="2:2" x14ac:dyDescent="0.2">
      <c r="B234" s="8" t="str">
        <f>A234&amp;COUNTIF($A$89:$A234,A234)</f>
        <v>0</v>
      </c>
    </row>
    <row r="235" spans="2:2" x14ac:dyDescent="0.2">
      <c r="B235" s="8" t="str">
        <f>A235&amp;COUNTIF($A$89:$A235,A235)</f>
        <v>0</v>
      </c>
    </row>
    <row r="236" spans="2:2" x14ac:dyDescent="0.2">
      <c r="B236" s="8" t="str">
        <f>A236&amp;COUNTIF($A$89:$A236,A236)</f>
        <v>0</v>
      </c>
    </row>
    <row r="237" spans="2:2" x14ac:dyDescent="0.2">
      <c r="B237" s="8" t="str">
        <f>A237&amp;COUNTIF($A$89:$A237,A237)</f>
        <v>0</v>
      </c>
    </row>
    <row r="238" spans="2:2" x14ac:dyDescent="0.2">
      <c r="B238" s="8" t="str">
        <f>A238&amp;COUNTIF($A$89:$A238,A238)</f>
        <v>0</v>
      </c>
    </row>
    <row r="239" spans="2:2" x14ac:dyDescent="0.2">
      <c r="B239" s="8" t="str">
        <f>A239&amp;COUNTIF($A$89:$A239,A239)</f>
        <v>0</v>
      </c>
    </row>
    <row r="240" spans="2:2" x14ac:dyDescent="0.2">
      <c r="B240" s="8" t="str">
        <f>A240&amp;COUNTIF($A$89:$A240,A240)</f>
        <v>0</v>
      </c>
    </row>
    <row r="241" spans="2:2" x14ac:dyDescent="0.2">
      <c r="B241" s="8" t="str">
        <f>A241&amp;COUNTIF($A$89:$A241,A241)</f>
        <v>0</v>
      </c>
    </row>
    <row r="242" spans="2:2" x14ac:dyDescent="0.2">
      <c r="B242" s="8" t="str">
        <f>A242&amp;COUNTIF($A$89:$A242,A242)</f>
        <v>0</v>
      </c>
    </row>
    <row r="243" spans="2:2" x14ac:dyDescent="0.2">
      <c r="B243" s="8" t="str">
        <f>A243&amp;COUNTIF($A$89:$A243,A243)</f>
        <v>0</v>
      </c>
    </row>
    <row r="244" spans="2:2" x14ac:dyDescent="0.2">
      <c r="B244" s="8" t="str">
        <f>A244&amp;COUNTIF($A$89:$A244,A244)</f>
        <v>0</v>
      </c>
    </row>
    <row r="245" spans="2:2" x14ac:dyDescent="0.2">
      <c r="B245" s="8" t="str">
        <f>A245&amp;COUNTIF($A$89:$A245,A245)</f>
        <v>0</v>
      </c>
    </row>
    <row r="246" spans="2:2" x14ac:dyDescent="0.2">
      <c r="B246" s="8" t="str">
        <f>A246&amp;COUNTIF($A$89:$A246,A246)</f>
        <v>0</v>
      </c>
    </row>
    <row r="247" spans="2:2" x14ac:dyDescent="0.2">
      <c r="B247" s="8" t="str">
        <f>A247&amp;COUNTIF($A$89:$A247,A247)</f>
        <v>0</v>
      </c>
    </row>
    <row r="248" spans="2:2" x14ac:dyDescent="0.2">
      <c r="B248" s="8" t="str">
        <f>A248&amp;COUNTIF($A$89:$A248,A248)</f>
        <v>0</v>
      </c>
    </row>
    <row r="249" spans="2:2" x14ac:dyDescent="0.2">
      <c r="B249" s="8" t="str">
        <f>A249&amp;COUNTIF($A$89:$A249,A249)</f>
        <v>0</v>
      </c>
    </row>
    <row r="250" spans="2:2" x14ac:dyDescent="0.2">
      <c r="B250" s="8" t="str">
        <f>A250&amp;COUNTIF($A$89:$A250,A250)</f>
        <v>0</v>
      </c>
    </row>
    <row r="251" spans="2:2" x14ac:dyDescent="0.2">
      <c r="B251" s="8" t="str">
        <f>A251&amp;COUNTIF($A$89:$A251,A251)</f>
        <v>0</v>
      </c>
    </row>
    <row r="252" spans="2:2" x14ac:dyDescent="0.2">
      <c r="B252" s="8" t="str">
        <f>A252&amp;COUNTIF($A$89:$A252,A252)</f>
        <v>0</v>
      </c>
    </row>
    <row r="253" spans="2:2" x14ac:dyDescent="0.2">
      <c r="B253" s="8" t="str">
        <f>A253&amp;COUNTIF($A$89:$A253,A253)</f>
        <v>0</v>
      </c>
    </row>
    <row r="254" spans="2:2" x14ac:dyDescent="0.2">
      <c r="B254" s="8" t="str">
        <f>A254&amp;COUNTIF($A$89:$A254,A254)</f>
        <v>0</v>
      </c>
    </row>
    <row r="255" spans="2:2" x14ac:dyDescent="0.2">
      <c r="B255" s="8" t="str">
        <f>A255&amp;COUNTIF($A$89:$A255,A255)</f>
        <v>0</v>
      </c>
    </row>
    <row r="256" spans="2:2" x14ac:dyDescent="0.2">
      <c r="B256" s="8" t="str">
        <f>A256&amp;COUNTIF($A$89:$A256,A256)</f>
        <v>0</v>
      </c>
    </row>
    <row r="257" spans="2:2" x14ac:dyDescent="0.2">
      <c r="B257" s="8" t="str">
        <f>A257&amp;COUNTIF($A$89:$A257,A257)</f>
        <v>0</v>
      </c>
    </row>
    <row r="258" spans="2:2" x14ac:dyDescent="0.2">
      <c r="B258" s="8" t="str">
        <f>A258&amp;COUNTIF($A$89:$A258,A258)</f>
        <v>0</v>
      </c>
    </row>
    <row r="259" spans="2:2" x14ac:dyDescent="0.2">
      <c r="B259" s="8" t="str">
        <f>A259&amp;COUNTIF($A$89:$A259,A259)</f>
        <v>0</v>
      </c>
    </row>
    <row r="260" spans="2:2" x14ac:dyDescent="0.2">
      <c r="B260" s="8" t="str">
        <f>A260&amp;COUNTIF($A$89:$A260,A260)</f>
        <v>0</v>
      </c>
    </row>
    <row r="261" spans="2:2" x14ac:dyDescent="0.2">
      <c r="B261" s="8" t="str">
        <f>A261&amp;COUNTIF($A$89:$A261,A261)</f>
        <v>0</v>
      </c>
    </row>
    <row r="262" spans="2:2" x14ac:dyDescent="0.2">
      <c r="B262" s="8" t="str">
        <f>A262&amp;COUNTIF($A$89:$A262,A262)</f>
        <v>0</v>
      </c>
    </row>
    <row r="263" spans="2:2" x14ac:dyDescent="0.2">
      <c r="B263" s="8" t="str">
        <f>A263&amp;COUNTIF($A$89:$A263,A263)</f>
        <v>0</v>
      </c>
    </row>
    <row r="264" spans="2:2" x14ac:dyDescent="0.2">
      <c r="B264" s="8" t="str">
        <f>A264&amp;COUNTIF($A$89:$A264,A264)</f>
        <v>0</v>
      </c>
    </row>
    <row r="265" spans="2:2" x14ac:dyDescent="0.2">
      <c r="B265" s="8" t="str">
        <f>A265&amp;COUNTIF($A$89:$A265,A265)</f>
        <v>0</v>
      </c>
    </row>
    <row r="266" spans="2:2" x14ac:dyDescent="0.2">
      <c r="B266" s="8" t="str">
        <f>A266&amp;COUNTIF($A$89:$A266,A266)</f>
        <v>0</v>
      </c>
    </row>
    <row r="267" spans="2:2" x14ac:dyDescent="0.2">
      <c r="B267" s="8" t="str">
        <f>A267&amp;COUNTIF($A$89:$A267,A267)</f>
        <v>0</v>
      </c>
    </row>
    <row r="268" spans="2:2" x14ac:dyDescent="0.2">
      <c r="B268" s="8" t="str">
        <f>A268&amp;COUNTIF($A$89:$A268,A268)</f>
        <v>0</v>
      </c>
    </row>
    <row r="269" spans="2:2" x14ac:dyDescent="0.2">
      <c r="B269" s="8" t="str">
        <f>A269&amp;COUNTIF($A$89:$A269,A269)</f>
        <v>0</v>
      </c>
    </row>
    <row r="270" spans="2:2" x14ac:dyDescent="0.2">
      <c r="B270" s="8" t="str">
        <f>A270&amp;COUNTIF($A$89:$A270,A270)</f>
        <v>0</v>
      </c>
    </row>
    <row r="271" spans="2:2" x14ac:dyDescent="0.2">
      <c r="B271" s="8" t="str">
        <f>A271&amp;COUNTIF($A$89:$A271,A271)</f>
        <v>0</v>
      </c>
    </row>
    <row r="272" spans="2:2" x14ac:dyDescent="0.2">
      <c r="B272" s="8" t="str">
        <f>A272&amp;COUNTIF($A$89:$A272,A272)</f>
        <v>0</v>
      </c>
    </row>
    <row r="273" spans="2:2" x14ac:dyDescent="0.2">
      <c r="B273" s="8" t="str">
        <f>A273&amp;COUNTIF($A$89:$A273,A273)</f>
        <v>0</v>
      </c>
    </row>
    <row r="274" spans="2:2" x14ac:dyDescent="0.2">
      <c r="B274" s="8" t="str">
        <f>A274&amp;COUNTIF($A$89:$A274,A274)</f>
        <v>0</v>
      </c>
    </row>
    <row r="275" spans="2:2" x14ac:dyDescent="0.2">
      <c r="B275" s="8" t="str">
        <f>A275&amp;COUNTIF($A$89:$A275,A275)</f>
        <v>0</v>
      </c>
    </row>
    <row r="276" spans="2:2" x14ac:dyDescent="0.2">
      <c r="B276" s="8" t="str">
        <f>A276&amp;COUNTIF($A$89:$A276,A276)</f>
        <v>0</v>
      </c>
    </row>
    <row r="277" spans="2:2" x14ac:dyDescent="0.2">
      <c r="B277" s="8" t="str">
        <f>A277&amp;COUNTIF($A$89:$A277,A277)</f>
        <v>0</v>
      </c>
    </row>
    <row r="278" spans="2:2" x14ac:dyDescent="0.2">
      <c r="B278" s="8" t="str">
        <f>A278&amp;COUNTIF($A$89:$A278,A278)</f>
        <v>0</v>
      </c>
    </row>
    <row r="279" spans="2:2" x14ac:dyDescent="0.2">
      <c r="B279" s="8" t="str">
        <f>A279&amp;COUNTIF($A$89:$A279,A279)</f>
        <v>0</v>
      </c>
    </row>
    <row r="280" spans="2:2" x14ac:dyDescent="0.2">
      <c r="B280" s="8" t="str">
        <f>A280&amp;COUNTIF($A$89:$A280,A280)</f>
        <v>0</v>
      </c>
    </row>
    <row r="281" spans="2:2" x14ac:dyDescent="0.2">
      <c r="B281" s="8" t="str">
        <f>A281&amp;COUNTIF($A$89:$A281,A281)</f>
        <v>0</v>
      </c>
    </row>
    <row r="282" spans="2:2" x14ac:dyDescent="0.2">
      <c r="B282" s="8" t="str">
        <f>A282&amp;COUNTIF($A$89:$A282,A282)</f>
        <v>0</v>
      </c>
    </row>
    <row r="283" spans="2:2" x14ac:dyDescent="0.2">
      <c r="B283" s="8" t="str">
        <f>A283&amp;COUNTIF($A$89:$A283,A283)</f>
        <v>0</v>
      </c>
    </row>
    <row r="284" spans="2:2" x14ac:dyDescent="0.2">
      <c r="B284" s="8" t="str">
        <f>A284&amp;COUNTIF($A$89:$A284,A284)</f>
        <v>0</v>
      </c>
    </row>
    <row r="285" spans="2:2" x14ac:dyDescent="0.2">
      <c r="B285" s="8" t="str">
        <f>A285&amp;COUNTIF($A$89:$A285,A285)</f>
        <v>0</v>
      </c>
    </row>
    <row r="286" spans="2:2" x14ac:dyDescent="0.2">
      <c r="B286" s="8" t="str">
        <f>A286&amp;COUNTIF($A$89:$A286,A286)</f>
        <v>0</v>
      </c>
    </row>
    <row r="287" spans="2:2" x14ac:dyDescent="0.2">
      <c r="B287" s="8" t="str">
        <f>A287&amp;COUNTIF($A$89:$A287,A287)</f>
        <v>0</v>
      </c>
    </row>
    <row r="288" spans="2:2" x14ac:dyDescent="0.2">
      <c r="B288" s="8" t="str">
        <f>A288&amp;COUNTIF($A$89:$A288,A288)</f>
        <v>0</v>
      </c>
    </row>
    <row r="289" spans="2:2" x14ac:dyDescent="0.2">
      <c r="B289" s="8" t="str">
        <f>A289&amp;COUNTIF($A$89:$A289,A289)</f>
        <v>0</v>
      </c>
    </row>
    <row r="290" spans="2:2" x14ac:dyDescent="0.2">
      <c r="B290" s="8" t="str">
        <f>A290&amp;COUNTIF($A$89:$A290,A290)</f>
        <v>0</v>
      </c>
    </row>
    <row r="291" spans="2:2" x14ac:dyDescent="0.2">
      <c r="B291" s="8" t="str">
        <f>A291&amp;COUNTIF($A$89:$A291,A291)</f>
        <v>0</v>
      </c>
    </row>
    <row r="292" spans="2:2" x14ac:dyDescent="0.2">
      <c r="B292" s="8" t="str">
        <f>A292&amp;COUNTIF($A$89:$A292,A292)</f>
        <v>0</v>
      </c>
    </row>
    <row r="293" spans="2:2" x14ac:dyDescent="0.2">
      <c r="B293" s="8" t="str">
        <f>A293&amp;COUNTIF($A$89:$A293,A293)</f>
        <v>0</v>
      </c>
    </row>
    <row r="294" spans="2:2" x14ac:dyDescent="0.2">
      <c r="B294" s="8" t="str">
        <f>A294&amp;COUNTIF($A$89:$A294,A294)</f>
        <v>0</v>
      </c>
    </row>
    <row r="295" spans="2:2" x14ac:dyDescent="0.2">
      <c r="B295" s="8" t="str">
        <f>A295&amp;COUNTIF($A$89:$A295,A295)</f>
        <v>0</v>
      </c>
    </row>
    <row r="296" spans="2:2" x14ac:dyDescent="0.2">
      <c r="B296" s="8" t="str">
        <f>A296&amp;COUNTIF($A$89:$A296,A296)</f>
        <v>0</v>
      </c>
    </row>
    <row r="297" spans="2:2" x14ac:dyDescent="0.2">
      <c r="B297" s="8" t="str">
        <f>A297&amp;COUNTIF($A$89:$A297,A297)</f>
        <v>0</v>
      </c>
    </row>
    <row r="298" spans="2:2" x14ac:dyDescent="0.2">
      <c r="B298" s="8" t="str">
        <f>A298&amp;COUNTIF($A$89:$A298,A298)</f>
        <v>0</v>
      </c>
    </row>
    <row r="299" spans="2:2" x14ac:dyDescent="0.2">
      <c r="B299" s="8" t="str">
        <f>A299&amp;COUNTIF($A$89:$A299,A299)</f>
        <v>0</v>
      </c>
    </row>
    <row r="300" spans="2:2" x14ac:dyDescent="0.2">
      <c r="B300" s="8" t="str">
        <f>A300&amp;COUNTIF($A$89:$A300,A300)</f>
        <v>0</v>
      </c>
    </row>
    <row r="301" spans="2:2" x14ac:dyDescent="0.2">
      <c r="B301" s="8" t="str">
        <f>A301&amp;COUNTIF($A$89:$A301,A301)</f>
        <v>0</v>
      </c>
    </row>
    <row r="302" spans="2:2" x14ac:dyDescent="0.2">
      <c r="B302" s="8" t="str">
        <f>A302&amp;COUNTIF($A$89:$A302,A302)</f>
        <v>0</v>
      </c>
    </row>
    <row r="303" spans="2:2" x14ac:dyDescent="0.2">
      <c r="B303" s="8" t="str">
        <f>A303&amp;COUNTIF($A$89:$A303,A303)</f>
        <v>0</v>
      </c>
    </row>
    <row r="304" spans="2:2" x14ac:dyDescent="0.2">
      <c r="B304" s="8" t="str">
        <f>A304&amp;COUNTIF($A$89:$A304,A304)</f>
        <v>0</v>
      </c>
    </row>
    <row r="305" spans="2:2" x14ac:dyDescent="0.2">
      <c r="B305" s="8" t="str">
        <f>A305&amp;COUNTIF($A$89:$A305,A305)</f>
        <v>0</v>
      </c>
    </row>
    <row r="306" spans="2:2" x14ac:dyDescent="0.2">
      <c r="B306" s="8" t="str">
        <f>A306&amp;COUNTIF($A$89:$A306,A306)</f>
        <v>0</v>
      </c>
    </row>
    <row r="307" spans="2:2" x14ac:dyDescent="0.2">
      <c r="B307" s="8" t="str">
        <f>A307&amp;COUNTIF($A$89:$A307,A307)</f>
        <v>0</v>
      </c>
    </row>
    <row r="308" spans="2:2" x14ac:dyDescent="0.2">
      <c r="B308" s="8" t="str">
        <f>A308&amp;COUNTIF($A$89:$A308,A308)</f>
        <v>0</v>
      </c>
    </row>
    <row r="309" spans="2:2" x14ac:dyDescent="0.2">
      <c r="B309" s="8" t="str">
        <f>A309&amp;COUNTIF($A$89:$A309,A309)</f>
        <v>0</v>
      </c>
    </row>
    <row r="310" spans="2:2" x14ac:dyDescent="0.2">
      <c r="B310" s="8" t="str">
        <f>A310&amp;COUNTIF($A$89:$A310,A310)</f>
        <v>0</v>
      </c>
    </row>
    <row r="311" spans="2:2" x14ac:dyDescent="0.2">
      <c r="B311" s="8" t="str">
        <f>A311&amp;COUNTIF($A$89:$A311,A311)</f>
        <v>0</v>
      </c>
    </row>
    <row r="312" spans="2:2" x14ac:dyDescent="0.2">
      <c r="B312" s="8" t="str">
        <f>A312&amp;COUNTIF($A$89:$A312,A312)</f>
        <v>0</v>
      </c>
    </row>
    <row r="313" spans="2:2" x14ac:dyDescent="0.2">
      <c r="B313" s="8" t="str">
        <f>A313&amp;COUNTIF($A$89:$A313,A313)</f>
        <v>0</v>
      </c>
    </row>
    <row r="314" spans="2:2" x14ac:dyDescent="0.2">
      <c r="B314" s="8" t="str">
        <f>A314&amp;COUNTIF($A$89:$A314,A314)</f>
        <v>0</v>
      </c>
    </row>
    <row r="315" spans="2:2" x14ac:dyDescent="0.2">
      <c r="B315" s="8" t="str">
        <f>A315&amp;COUNTIF($A$89:$A315,A315)</f>
        <v>0</v>
      </c>
    </row>
    <row r="316" spans="2:2" x14ac:dyDescent="0.2">
      <c r="B316" s="8" t="str">
        <f>A316&amp;COUNTIF($A$89:$A316,A316)</f>
        <v>0</v>
      </c>
    </row>
    <row r="317" spans="2:2" x14ac:dyDescent="0.2">
      <c r="B317" s="8" t="str">
        <f>A317&amp;COUNTIF($A$89:$A317,A317)</f>
        <v>0</v>
      </c>
    </row>
    <row r="318" spans="2:2" x14ac:dyDescent="0.2">
      <c r="B318" s="8" t="str">
        <f>A318&amp;COUNTIF($A$89:$A318,A318)</f>
        <v>0</v>
      </c>
    </row>
    <row r="319" spans="2:2" x14ac:dyDescent="0.2">
      <c r="B319" s="8" t="str">
        <f>A319&amp;COUNTIF($A$89:$A319,A319)</f>
        <v>0</v>
      </c>
    </row>
    <row r="320" spans="2:2" x14ac:dyDescent="0.2">
      <c r="B320" s="8" t="str">
        <f>A320&amp;COUNTIF($A$89:$A320,A320)</f>
        <v>0</v>
      </c>
    </row>
    <row r="321" spans="2:2" x14ac:dyDescent="0.2">
      <c r="B321" s="8" t="str">
        <f>A321&amp;COUNTIF($A$89:$A321,A321)</f>
        <v>0</v>
      </c>
    </row>
  </sheetData>
  <phoneticPr fontId="4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2022-06-28T03:18:47Z</dcterms:modified>
</cp:coreProperties>
</file>