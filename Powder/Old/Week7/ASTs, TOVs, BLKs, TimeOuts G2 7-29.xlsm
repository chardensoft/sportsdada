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7/"/>
    </mc:Choice>
  </mc:AlternateContent>
  <xr:revisionPtr revIDLastSave="0" documentId="13_ncr:1_{2DDF8A35-DB7B-BD4F-AA5B-51D0B25529EA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F24" i="2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C10" i="1"/>
  <c r="H8" i="2" s="1"/>
  <c r="F34" i="2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<sst xmlns="http://schemas.openxmlformats.org/spreadsheetml/2006/main" count="494" uniqueCount="274">
  <si>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</si>
  <si>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</si>
  <si>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</si>
  <si>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</si>
  <si>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</si>
  <si>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</si>
  <si>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</si>
  <si>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</si>
  <si>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</si>
  <si>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</si>
  <si>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</si>
  <si>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</si>
  <si>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</si>
  <si>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</si>
  <si>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</si>
  <si>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</si>
  <si>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</si>
  <si>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</si>
  <si>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</si>
  <si>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</si>
  <si>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</si>
  <si>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</si>
  <si>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</si>
  <si>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</si>
  <si>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</si>
  <si>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</si>
  <si>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</si>
  <si>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</si>
  <si>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</si>
  <si>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</si>
  <si>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</si>
  <si>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</si>
  <si>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</si>
  <si>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</si>
  <si>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</si>
  <si>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</si>
  <si>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</si>
  <si>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</si>
  <si>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</si>
  <si>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</si>
  <si>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</si>
  <si>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</si>
  <si>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</si>
  <si>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</si>
  <si>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</si>
  <si>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</si>
  <si>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</si>
  <si>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</si>
  <si>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</si>
  <si>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</si>
  <si>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</si>
  <si>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</si>
  <si>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</si>
  <si>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</si>
  <si>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</si>
  <si>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</si>
  <si>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</si>
  <si>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</si>
  <si>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</si>
  <si>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</si>
  <si>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</si>
  <si>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</si>
  <si>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</si>
  <si>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</si>
  <si>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</si>
  <si>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</si>
  <si>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</si>
  <si>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</si>
  <si>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</si>
  <si>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</si>
  <si>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</si>
  <si>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</si>
  <si>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</si>
  <si>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</si>
  <si>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</si>
  <si>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</si>
  <si>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</si>
  <si>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</si>
  <si>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</si>
  <si>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</si>
  <si>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</si>
  <si>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</si>
  <si>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</si>
  <si>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</si>
  <si>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</si>
  <si>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</si>
  <si>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</si>
  <si>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</si>
  <si>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</si>
  <si>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</si>
  <si>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</si>
  <si>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</si>
  <si>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</si>
  <si>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</si>
  <si>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</si>
  <si>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</si>
  <si>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</si>
  <si>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</si>
  <si>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</si>
  <si>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</si>
  <si>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</si>
  <si>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</si>
  <si>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</si>
  <si>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</si>
  <si>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</si>
  <si>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</si>
  <si>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</si>
  <si>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</si>
  <si>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</si>
  <si>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</si>
  <si>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</si>
  <si>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</si>
  <si>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</si>
  <si>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</si>
  <si>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</si>
  <si>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</si>
  <si>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</si>
  <si>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</si>
  <si>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</si>
  <si>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</si>
  <si>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</si>
  <si>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</si>
  <si>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</si>
  <si>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</si>
  <si>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</si>
  <si>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</si>
  <si>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</si>
  <si>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</si>
  <si>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</si>
  <si>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</si>
  <si>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</si>
  <si>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</si>
  <si>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</si>
  <si>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</si>
  <si>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</si>
  <si>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</si>
  <si>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</si>
  <si>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</si>
  <si>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</si>
  <si>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</si>
  <si>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</si>
  <si>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</si>
  <si>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</si>
  <si>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</si>
  <si>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</si>
  <si>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</si>
  <si>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</si>
  <si>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</si>
  <si>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</si>
  <si>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</si>
  <si>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</si>
  <si>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</si>
  <si>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</si>
  <si>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</si>
  <si>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</si>
  <si>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</si>
  <si>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</si>
  <si>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</si>
  <si>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</si>
  <si>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</si>
  <si>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</si>
  <si>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</si>
  <si>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</si>
  <si>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</si>
  <si>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</si>
  <si>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</si>
  <si>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</si>
  <si>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</si>
  <si>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</si>
  <si>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</si>
  <si>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</si>
  <si>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</si>
  <si>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</si>
  <si>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</si>
  <si>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</si>
  <si>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</si>
  <si>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</si>
  <si>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</si>
  <si>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</si>
  <si>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</si>
  <si>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</si>
  <si>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</si>
  <si>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</si>
  <si>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</si>
  <si>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</si>
  <si>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</si>
  <si>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</si>
  <si>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</si>
  <si>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</si>
  <si>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</si>
  <si>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</si>
  <si>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</si>
  <si>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</si>
  <si>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</si>
  <si>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</si>
  <si>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</si>
  <si>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</si>
  <si>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</si>
  <si>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</si>
  <si>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</si>
  <si>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</si>
  <si>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</si>
  <si>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</si>
  <si>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</si>
  <si>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</si>
  <si>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</si>
  <si>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</si>
  <si>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</si>
  <si>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</si>
  <si>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</si>
  <si>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</si>
  <si>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</si>
  <si>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</si>
  <si>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</si>
  <si>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</si>
  <si>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</si>
  <si>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</si>
  <si>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</si>
  <si>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</si>
  <si>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</si>
  <si>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</si>
  <si>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</si>
  <si>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</si>
  <si>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</si>
  <si>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</si>
  <si>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</si>
  <si>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</si>
  <si>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</si>
  <si>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</si>
  <si>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</si>
  <si>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</si>
  <si>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</si>
  <si>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</si>
  <si>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</si>
  <si>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</si>
  <si>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</si>
  <si>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</si>
  <si>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</si>
  <si>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</si>
  <si>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</si>
  <si>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</si>
  <si>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</si>
  <si>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</si>
  <si>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</si>
  <si>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</si>
  <si>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</si>
  <si>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</si>
  <si>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</si>
  <si>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</si>
  <si>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</si>
  <si>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</si>
  <si>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</si>
  <si>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</si>
  <si>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</si>
  <si>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</si>
  <si>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</si>
  <si>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</si>
  <si>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</si>
  <si>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</si>
  <si>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</si>
  <si>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</si>
  <si>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</si>
  <si>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</si>
  <si>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</si>
  <si>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</si>
  <si>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</si>
  <si>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</si>
  <si>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</si>
  <si>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Dwayne</t>
  </si>
  <si>
    <t>0-0</t>
  </si>
  <si>
    <t>Benson</t>
  </si>
  <si>
    <t>Oliver</t>
  </si>
  <si>
    <t>Dashawn</t>
  </si>
  <si>
    <t>Jenson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</si>
</sst>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topLeftCell="A26" workbookViewId="0">
      <selection activeCell="J4" sqref="J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248</v>
      </c>
      <c r="F1" t="s">
        <v>3</v>
      </c>
      <c r="G1" t="str">
        <f>'Stats G2'!B3</f>
        <v>Draney</v>
      </c>
    </row>
    <row r="2" spans="2:11" x14ac:dyDescent="0.2">
      <c r="B2" t="str">
        <f>G1</f>
        <v>Draney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249</v>
      </c>
      <c r="J2" t="s">
        <v>245</v>
      </c>
      <c r="K2" t="s">
        <v>246</v>
      </c>
    </row>
    <row r="3" spans="2:11" x14ac:dyDescent="0.2">
      <c r="B3">
        <f>I18</f>
        <v>16</v>
      </c>
      <c r="C3" s="3" t="s">
        <v>6</v>
      </c>
      <c r="D3" s="4">
        <f>J37</f>
        <v>5</v>
      </c>
      <c r="F3" t="str">
        <f>'Stats G2'!A5</f>
        <v>Roman</v>
      </c>
      <c r="G3" t="str">
        <f>'Stats G2'!B5</f>
        <v>McKnight</v>
      </c>
      <c r="H3">
        <f>'Stats G2'!C5</f>
        <v>0</v>
      </c>
      <c r="I3">
        <f>'Stats G2'!E5</f>
        <v>1</v>
      </c>
      <c r="J3">
        <f>'Stats G2'!H5</f>
        <v>1</v>
      </c>
      <c r="K3">
        <f>'Stats G2'!K5</f>
        <v>0</v>
      </c>
    </row>
    <row r="4" spans="2:11" x14ac:dyDescent="0.2">
      <c r="F4" t="str">
        <f>'Stats G2'!A6</f>
        <v>Brendan</v>
      </c>
      <c r="G4" t="str">
        <f>'Stats G2'!B6</f>
        <v>Bailey</v>
      </c>
      <c r="H4">
        <f>'Stats G2'!C6</f>
        <v>1</v>
      </c>
      <c r="I4">
        <f>'Stats G2'!E6</f>
        <v>0</v>
      </c>
      <c r="J4">
        <f>'Stats G2'!H6</f>
        <v>0</v>
      </c>
      <c r="K4">
        <f>'Stats G2'!K6</f>
        <v>0</v>
      </c>
    </row>
    <row r="5" spans="2:11" x14ac:dyDescent="0.2">
      <c r="F5" t="str">
        <f>'Stats G2'!A7</f>
        <v>Marquis</v>
      </c>
      <c r="G5" t="str">
        <f>'Stats G2'!B7</f>
        <v>Velez</v>
      </c>
      <c r="H5">
        <f>'Stats G2'!C7</f>
        <v>2</v>
      </c>
      <c r="I5">
        <f>'Stats G2'!E7</f>
        <v>0</v>
      </c>
      <c r="J5">
        <f>'Stats G2'!H7</f>
        <v>4</v>
      </c>
      <c r="K5">
        <f>'Stats G2'!K7</f>
        <v>0</v>
      </c>
    </row>
    <row r="6" spans="2:11" x14ac:dyDescent="0.2">
      <c r="F6" t="str">
        <f>'Stats G2'!A8</f>
        <v>Marcus</v>
      </c>
      <c r="G6" t="str">
        <f>'Stats G2'!B8</f>
        <v>Draney</v>
      </c>
      <c r="H6">
        <f>'Stats G2'!C8</f>
        <v>4</v>
      </c>
      <c r="I6">
        <f>'Stats G2'!E8</f>
        <v>5</v>
      </c>
      <c r="J6">
        <f>'Stats G2'!H8</f>
        <v>1</v>
      </c>
      <c r="K6">
        <f>'Stats G2'!K8</f>
        <v>0</v>
      </c>
    </row>
    <row r="7" spans="2:11" x14ac:dyDescent="0.2">
      <c r="F7" t="str">
        <f>'Stats G2'!A9</f>
        <v>Stefan</v>
      </c>
      <c r="G7" t="str">
        <f>'Stats G2'!B9</f>
        <v>Briggs</v>
      </c>
      <c r="H7">
        <f>'Stats G2'!C9</f>
        <v>8</v>
      </c>
      <c r="I7">
        <f>'Stats G2'!E9</f>
        <v>4</v>
      </c>
      <c r="J7">
        <f>'Stats G2'!H9</f>
        <v>1</v>
      </c>
      <c r="K7">
        <f>'Stats G2'!K9</f>
        <v>0</v>
      </c>
    </row>
    <row r="8" spans="2:11" x14ac:dyDescent="0.2">
      <c r="F8" t="str">
        <f>'Stats G2'!A10</f>
        <v>Derrick</v>
      </c>
      <c r="G8" t="str">
        <f>'Stats G2'!B10</f>
        <v>Buys</v>
      </c>
      <c r="H8">
        <f>'Stats G2'!C10</f>
        <v>11</v>
      </c>
      <c r="I8">
        <f>'Stats G2'!E10</f>
        <v>2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James</v>
      </c>
      <c r="G9" t="str">
        <f>'Stats G2'!B11</f>
        <v>Kamich</v>
      </c>
      <c r="H9">
        <f>'Stats G2'!C11</f>
        <v>22</v>
      </c>
      <c r="I9">
        <f>'Stats G2'!E11</f>
        <v>0</v>
      </c>
      <c r="J9">
        <f>'Stats G2'!H11</f>
        <v>0</v>
      </c>
      <c r="K9">
        <f>'Stats G2'!K11</f>
        <v>0</v>
      </c>
    </row>
    <row r="10" spans="2:11" x14ac:dyDescent="0.2">
      <c r="F10" t="str">
        <f>'Stats G2'!A12</f>
        <v>Duncan</v>
      </c>
      <c r="G10" t="str">
        <f>'Stats G2'!B12</f>
        <v>Reid</v>
      </c>
      <c r="H10">
        <f>'Stats G2'!C12</f>
        <v>22</v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Darrian</v>
      </c>
      <c r="G11" t="str">
        <f>'Stats G2'!B13</f>
        <v>Briggs</v>
      </c>
      <c r="H11">
        <f>'Stats G2'!C13</f>
        <v>22</v>
      </c>
      <c r="I11">
        <f>'Stats G2'!E13</f>
        <v>2</v>
      </c>
      <c r="J11">
        <f>'Stats G2'!H13</f>
        <v>2</v>
      </c>
      <c r="K11">
        <f>'Stats G2'!K13</f>
        <v>0</v>
      </c>
    </row>
    <row r="12" spans="2:11" x14ac:dyDescent="0.2">
      <c r="F12" t="str">
        <f>'Stats G2'!A14</f>
        <v>Deonte</v>
      </c>
      <c r="G12" t="str">
        <f>'Stats G2'!B14</f>
        <v>Burton</v>
      </c>
      <c r="H12">
        <f>'Stats G2'!C14</f>
        <v>24</v>
      </c>
      <c r="I12">
        <f>'Stats G2'!E14</f>
        <v>1</v>
      </c>
      <c r="J12">
        <f>'Stats G2'!H14</f>
        <v>3</v>
      </c>
      <c r="K12">
        <f>'Stats G2'!K14</f>
        <v>0</v>
      </c>
    </row>
    <row r="13" spans="2:11" x14ac:dyDescent="0.2">
      <c r="F13" t="str">
        <f>'Stats G2'!A15</f>
        <v>Jarret</v>
      </c>
      <c r="G13" t="str">
        <f>'Stats G2'!B15</f>
        <v>Jordan</v>
      </c>
      <c r="H13">
        <f>'Stats G2'!C15</f>
        <v>25</v>
      </c>
      <c r="I13">
        <f>'Stats G2'!E15</f>
        <v>0</v>
      </c>
      <c r="J13">
        <f>'Stats G2'!H15</f>
        <v>0</v>
      </c>
      <c r="K13">
        <f>'Stats G2'!K15</f>
        <v>0</v>
      </c>
    </row>
    <row r="14" spans="2:11" x14ac:dyDescent="0.2">
      <c r="F14" t="str">
        <f>'Stats G2'!A16</f>
        <v>Ousmaine</v>
      </c>
      <c r="G14" t="str">
        <f>'Stats G2'!B16</f>
        <v>Dia</v>
      </c>
      <c r="H14">
        <f>'Stats G2'!C16</f>
        <v>30</v>
      </c>
      <c r="I14">
        <f>'Stats G2'!E16</f>
        <v>0</v>
      </c>
      <c r="J14">
        <f>'Stats G2'!H16</f>
        <v>0</v>
      </c>
      <c r="K14">
        <f>'Stats G2'!K16</f>
        <v>0</v>
      </c>
    </row>
    <row r="15" spans="2:11" x14ac:dyDescent="0.2">
      <c r="F15" t="str">
        <f>'Stats G2'!A17</f>
        <v>Oliver</v>
      </c>
      <c r="G15" t="str">
        <f>'Stats G2'!B17</f>
        <v>Jenson</v>
      </c>
      <c r="H15">
        <f>'Stats G2'!C17</f>
        <v>23</v>
      </c>
      <c r="I15">
        <f>'Stats G2'!E17</f>
        <v>0</v>
      </c>
      <c r="J15">
        <f>'Stats G2'!H17</f>
        <v>0</v>
      </c>
      <c r="K15">
        <f>'Stats G2'!K17</f>
        <v>1</v>
      </c>
    </row>
    <row r="16" spans="2:11" x14ac:dyDescent="0.2">
      <c r="F16" t="str">
        <f>'Stats G2'!A18</f>
        <v>Makol</v>
      </c>
      <c r="G16" t="str">
        <f>'Stats G2'!B18</f>
        <v>Mawien</v>
      </c>
      <c r="H16">
        <f>'Stats G2'!C18</f>
        <v>10</v>
      </c>
      <c r="I16">
        <f>'Stats G2'!E18</f>
        <v>1</v>
      </c>
      <c r="J16">
        <f>'Stats G2'!H18</f>
        <v>5</v>
      </c>
      <c r="K16">
        <f>'Stats G2'!K18</f>
        <v>1</v>
      </c>
    </row>
    <row r="17" spans="6:11" x14ac:dyDescent="0.2">
      <c r="F17" t="str">
        <f>'Stats G2'!A19</f>
        <v>Dashawn</v>
      </c>
      <c r="G17" t="str">
        <f>'Stats G2'!B19</f>
        <v>Benson</v>
      </c>
      <c r="H17" t="str">
        <f>'Stats G2'!C19</f>
        <v>0-0</v>
      </c>
      <c r="I17">
        <f>'Stats G2'!E19</f>
        <v>0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>SUM(I3:I17)</f>
        <v>16</v>
      </c>
      <c r="J18">
        <f>SUM(J3:J17)</f>
        <v>17</v>
      </c>
      <c r="K18">
        <f>SUM(K3:K17)</f>
        <v>2</v>
      </c>
    </row>
    <row r="20" spans="6:11" x14ac:dyDescent="0.2">
      <c r="F20" t="s">
        <v>4</v>
      </c>
      <c r="G20" t="str">
        <f>'Stats G2'!B21</f>
        <v>Drisdom</v>
      </c>
    </row>
    <row r="21" spans="6:11" x14ac:dyDescent="0.2">
      <c r="F21" t="s">
        <v>1</v>
      </c>
      <c r="G21" t="s">
        <v>2</v>
      </c>
      <c r="H21" t="s">
        <v>0</v>
      </c>
      <c r="I21" t="s">
        <v>249</v>
      </c>
      <c r="J21" t="s">
        <v>245</v>
      </c>
      <c r="K21" t="s">
        <v>246</v>
      </c>
    </row>
    <row r="22" spans="6:11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3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2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Dwayne</v>
      </c>
      <c r="G24" t="str">
        <f>'Stats G2'!B25</f>
        <v>Brown</v>
      </c>
      <c r="H24">
        <f>'Stats G2'!C25</f>
        <v>2</v>
      </c>
      <c r="I24">
        <f>'Stats G2'!E25</f>
        <v>2</v>
      </c>
      <c r="J24">
        <f>'Stats G2'!H25</f>
        <v>2</v>
      </c>
      <c r="K24">
        <f>'Stats G2'!K25</f>
        <v>0</v>
      </c>
    </row>
    <row r="25" spans="6:11" x14ac:dyDescent="0.2">
      <c r="F25" t="str">
        <f>'Stats G2'!A26</f>
        <v>Tre</v>
      </c>
      <c r="G25" t="str">
        <f>'Stats G2'!B26</f>
        <v>Smith</v>
      </c>
      <c r="H25">
        <f>'Stats G2'!C26</f>
        <v>3</v>
      </c>
      <c r="I25">
        <f>'Stats G2'!E26</f>
        <v>1</v>
      </c>
      <c r="J25">
        <f>'Stats G2'!H26</f>
        <v>0</v>
      </c>
      <c r="K25">
        <f>'Stats G2'!K26</f>
        <v>0</v>
      </c>
    </row>
    <row r="26" spans="6:11" x14ac:dyDescent="0.2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G2'!E27</f>
        <v>7</v>
      </c>
      <c r="J26">
        <f>'Stats G2'!H27</f>
        <v>0</v>
      </c>
      <c r="K26">
        <f>'Stats G2'!K27</f>
        <v>4</v>
      </c>
    </row>
    <row r="27" spans="6:11" x14ac:dyDescent="0.2">
      <c r="F27" t="str">
        <f>'Stats G2'!A28</f>
        <v>Ronnie</v>
      </c>
      <c r="G27" t="str">
        <f>'Stats G2'!B28</f>
        <v>Price</v>
      </c>
      <c r="H27">
        <f>'Stats G2'!C28</f>
        <v>7</v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>Isaiah</v>
      </c>
      <c r="G28" t="str">
        <f>'Stats G2'!B29</f>
        <v>Wright</v>
      </c>
      <c r="H28">
        <f>'Stats G2'!C29</f>
        <v>8</v>
      </c>
      <c r="I28">
        <f>'Stats G2'!E29</f>
        <v>9</v>
      </c>
      <c r="J28">
        <f>'Stats G2'!H29</f>
        <v>2</v>
      </c>
      <c r="K28">
        <f>'Stats G2'!K29</f>
        <v>1</v>
      </c>
    </row>
    <row r="29" spans="6:11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0</v>
      </c>
      <c r="J29">
        <f>'Stats G2'!H30</f>
        <v>0</v>
      </c>
      <c r="K29">
        <f>'Stats G2'!K30</f>
        <v>0</v>
      </c>
    </row>
    <row r="30" spans="6:11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0</v>
      </c>
      <c r="J30">
        <f>'Stats G2'!H31</f>
        <v>0</v>
      </c>
      <c r="K30">
        <f>'Stats G2'!K31</f>
        <v>0</v>
      </c>
    </row>
    <row r="31" spans="6:11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2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0</v>
      </c>
      <c r="K33">
        <f>'Stats G2'!K34</f>
        <v>0</v>
      </c>
    </row>
    <row r="34" spans="6:11" x14ac:dyDescent="0.2">
      <c r="F34" t="str">
        <f>'Stats G2'!A35</f>
        <v>Brandon</v>
      </c>
      <c r="G34" t="str">
        <f>'Stats G2'!B35</f>
        <v>Taylor</v>
      </c>
      <c r="H34">
        <f>'Stats G2'!C35</f>
        <v>0</v>
      </c>
      <c r="I34">
        <f>'Stats G2'!E35</f>
        <v>3</v>
      </c>
      <c r="J34">
        <f>'Stats G2'!H35</f>
        <v>1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>SUM(I22:I36)</f>
        <v>29</v>
      </c>
      <c r="J37">
        <f>SUM(J22:J36)</f>
        <v>5</v>
      </c>
      <c r="K37">
        <f>SUM(K22:K36)</f>
        <v>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22" workbookViewId="0">
      <selection activeCell="C35" sqref="C3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2" hidden="1" x14ac:dyDescent="0.2"/>
    <row r="3" spans="1:22" x14ac:dyDescent="0.2">
      <c r="A3" s="2" t="s">
        <v>7</v>
      </c>
      <c r="B3" s="1" t="s">
        <v>16</v>
      </c>
    </row>
    <row r="4" spans="1:22" x14ac:dyDescent="0.2">
      <c r="A4" t="s">
        <v>1</v>
      </c>
      <c r="B4" t="s">
        <v>2</v>
      </c>
      <c r="C4" t="s">
        <v>0</v>
      </c>
      <c r="E4" t="s">
        <v>249</v>
      </c>
      <c r="H4" t="s">
        <v>245</v>
      </c>
      <c r="K4" t="s">
        <v>246</v>
      </c>
    </row>
    <row r="5" spans="1:22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</row>
    <row r="6" spans="1:22" s="6" customFormat="1" x14ac:dyDescent="0.2">
      <c r="A6" s="6" t="str">
        <f>_xlfn.IFNA(VLOOKUP($B$3&amp;ROWS($A$5:A6),Rosters!$B$2:$C$162,2,0),"?")</f>
        <v>Brendan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4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5</v>
      </c>
      <c r="H8" s="6">
        <v>1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4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2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1</v>
      </c>
      <c r="H14" s="6">
        <v>3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">
        <v>271</v>
      </c>
      <c r="B17" s="5" t="s">
        <v>273</v>
      </c>
      <c r="C17" s="5"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">
        <v>38</v>
      </c>
      <c r="B18" s="6" t="s">
        <v>39</v>
      </c>
      <c r="C18" s="6">
        <v>10</v>
      </c>
      <c r="E18" s="6">
        <v>1</v>
      </c>
      <c r="H18" s="6">
        <v>5</v>
      </c>
      <c r="K18" s="6">
        <v>1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">
        <v>272</v>
      </c>
      <c r="B19" s="5" t="s">
        <v>270</v>
      </c>
      <c r="C19" s="5" t="s">
        <v>269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16</v>
      </c>
      <c r="H20">
        <f>SUM(H5:H19)</f>
        <v>17</v>
      </c>
      <c r="K20">
        <f>SUM(K5:K19)</f>
        <v>2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17</v>
      </c>
    </row>
    <row r="22" spans="1:22" x14ac:dyDescent="0.2">
      <c r="A22" t="s">
        <v>1</v>
      </c>
      <c r="B22" t="s">
        <v>2</v>
      </c>
      <c r="C22" t="s">
        <v>0</v>
      </c>
      <c r="E22" t="s">
        <v>249</v>
      </c>
      <c r="H22" t="s">
        <v>245</v>
      </c>
      <c r="K22" t="s">
        <v>246</v>
      </c>
    </row>
    <row r="23" spans="1:22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3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</row>
    <row r="24" spans="1:22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2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">
        <v>268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2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Tre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1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7</v>
      </c>
      <c r="F27" s="5"/>
      <c r="G27" s="5"/>
      <c r="H27" s="5">
        <v>0</v>
      </c>
      <c r="I27" s="5"/>
      <c r="J27" s="5"/>
      <c r="K27" s="5">
        <v>4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Ronnie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Isaiah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9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2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60</v>
      </c>
      <c r="B35" s="5" t="s">
        <v>112</v>
      </c>
      <c r="C35" s="5">
        <v>0</v>
      </c>
      <c r="D35" s="5"/>
      <c r="E35" s="5">
        <v>3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29</v>
      </c>
      <c r="H38">
        <f>SUM(H23:H37)</f>
        <v>5</v>
      </c>
      <c r="K38">
        <f>SUM(K23:K37)</f>
        <v>5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14" workbookViewId="0">
      <selection activeCell="B144" sqref="B14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253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254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255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252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256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257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258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261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262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263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250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264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265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251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251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251</v>
      </c>
      <c r="B143" t="str">
        <f>A143&amp;COUNTIF($A$2:$A143,A143)</f>
        <v>Guest3</v>
      </c>
      <c r="C143" t="s">
        <v>266</v>
      </c>
      <c r="D143" t="s">
        <v>241</v>
      </c>
      <c r="E143">
        <v>19</v>
      </c>
    </row>
    <row r="144" spans="1:5" x14ac:dyDescent="0.2">
      <c r="A144" t="s">
        <v>251</v>
      </c>
      <c r="B144" t="str">
        <f>A144&amp;COUNTIF($A$2:$A144,A144)</f>
        <v>Guest4</v>
      </c>
      <c r="C144" t="s">
        <v>243</v>
      </c>
      <c r="D144" t="s">
        <v>267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2021-07-30T14:40:56Z</dcterms:modified>
</cp:coreProperties>
</file>