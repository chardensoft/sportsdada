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7/"/>
    </mc:Choice>
  </mc:AlternateContent>
  <xr:revisionPtr revIDLastSave="0" documentId="13_ncr:1_{4F8464AE-148D-EC43-871D-EBB9F9F8C3CB}" xr6:coauthVersionLast="47" xr6:coauthVersionMax="47" xr10:uidLastSave="{00000000-0000-0000-0000-000000000000}"/>
  <bookViews>
    <workbookView xWindow="0" yWindow="500" windowWidth="14300" windowHeight="1258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8" i="1" l="1"/>
  <c r="Z7" i="1"/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 s="1"/>
  <c r="I24" i="2"/>
  <c r="K24" i="2" s="1"/>
  <c r="J24" i="2"/>
  <c r="I25" i="2"/>
  <c r="J25" i="2"/>
  <c r="I26" i="2"/>
  <c r="J26" i="2"/>
  <c r="I27" i="2"/>
  <c r="J27" i="2"/>
  <c r="K27" i="2" s="1"/>
  <c r="I28" i="2"/>
  <c r="J28" i="2"/>
  <c r="K28" i="2" s="1"/>
  <c r="I29" i="2"/>
  <c r="J29" i="2"/>
  <c r="K29" i="2" s="1"/>
  <c r="I30" i="2"/>
  <c r="J30" i="2"/>
  <c r="K30" i="2" s="1"/>
  <c r="I31" i="2"/>
  <c r="J31" i="2"/>
  <c r="K31" i="2" s="1"/>
  <c r="I32" i="2"/>
  <c r="J32" i="2"/>
  <c r="K32" i="2"/>
  <c r="I33" i="2"/>
  <c r="J33" i="2"/>
  <c r="K33" i="2" s="1"/>
  <c r="I34" i="2"/>
  <c r="J34" i="2"/>
  <c r="I35" i="2"/>
  <c r="J35" i="2"/>
  <c r="K35" i="2"/>
  <c r="I36" i="2"/>
  <c r="J36" i="2"/>
  <c r="K36" i="2"/>
  <c r="J22" i="2"/>
  <c r="I22" i="2"/>
  <c r="K4" i="2"/>
  <c r="K12" i="2"/>
  <c r="K13" i="2"/>
  <c r="K14" i="2"/>
  <c r="I4" i="2"/>
  <c r="J4" i="2"/>
  <c r="I5" i="2"/>
  <c r="J5" i="2"/>
  <c r="I6" i="2"/>
  <c r="J6" i="2"/>
  <c r="K6" i="2" s="1"/>
  <c r="I7" i="2"/>
  <c r="J7" i="2"/>
  <c r="K7" i="2" s="1"/>
  <c r="I8" i="2"/>
  <c r="J8" i="2"/>
  <c r="I9" i="2"/>
  <c r="J9" i="2"/>
  <c r="K9" i="2" s="1"/>
  <c r="I10" i="2"/>
  <c r="J10" i="2"/>
  <c r="K10" i="2" s="1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15" i="2" l="1"/>
  <c r="K25" i="2"/>
  <c r="K8" i="2"/>
  <c r="K16" i="2"/>
  <c r="K17" i="2"/>
  <c r="K3" i="2"/>
  <c r="K5" i="2"/>
  <c r="K34" i="2"/>
  <c r="K26" i="2"/>
  <c r="K22" i="2"/>
  <c r="K11" i="2"/>
  <c r="I37" i="2"/>
  <c r="D3" i="2" s="1"/>
  <c r="C25" i="1"/>
  <c r="H24" i="2" s="1"/>
  <c r="C32" i="1"/>
  <c r="H31" i="2" s="1"/>
  <c r="C29" i="1"/>
  <c r="H28" i="2" s="1"/>
  <c r="B33" i="1"/>
  <c r="G32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G17" i="2"/>
  <c r="C10" i="1"/>
  <c r="H8" i="2" s="1"/>
  <c r="F34" i="2"/>
  <c r="G16" i="2"/>
  <c r="C9" i="1"/>
  <c r="H7" i="2" s="1"/>
  <c r="B29" i="1"/>
  <c r="G28" i="2" s="1"/>
  <c r="F16" i="2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H17" i="2"/>
  <c r="G34" i="2"/>
  <c r="B27" i="1"/>
  <c r="G26" i="2" s="1"/>
  <c r="A12" i="1"/>
  <c r="F10" i="2" s="1"/>
  <c r="B32" i="1"/>
  <c r="G31" i="2" s="1"/>
  <c r="A27" i="1"/>
  <c r="F26" i="2" s="1"/>
  <c r="A11" i="1"/>
  <c r="F9" i="2" s="1"/>
  <c r="H15" i="2"/>
  <c r="A32" i="1"/>
  <c r="F31" i="2" s="1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F17" i="2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K37" i="2" l="1"/>
  <c r="K18" i="2"/>
</calcChain>
</file>

<file path=xl/sharedStrings.xml><?xml version="1.0" encoding="utf-8"?>
<sst xmlns="http://schemas.openxmlformats.org/spreadsheetml/2006/main" count="499" uniqueCount="278">
  <si>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</si>
  <si>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</si>
  <si>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</si>
  <si>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</si>
  <si>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</si>
  <si>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</si>
  <si>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</si>
  <si>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</si>
  <si>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</si>
  <si>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</si>
  <si>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</si>
  <si>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</si>
  <si>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</si>
  <si>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</si>
  <si>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</si>
  <si>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</si>
  <si>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</si>
  <si>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</si>
  <si>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</si>
  <si>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</si>
  <si>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</si>
  <si>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</si>
  <si>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</si>
  <si>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</si>
  <si>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</si>
  <si>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</si>
  <si>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</si>
  <si>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</si>
  <si>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</si>
  <si>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</si>
  <si>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</si>
  <si>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</si>
  <si>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</si>
  <si>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</si>
  <si>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</si>
  <si>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</si>
  <si>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</si>
  <si>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</si>
  <si>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</si>
  <si>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</si>
  <si>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</si>
  <si>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</si>
  <si>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</si>
  <si>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</si>
  <si>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</si>
  <si>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</si>
  <si>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</si>
  <si>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</si>
  <si>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</si>
  <si>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</si>
  <si>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</si>
  <si>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</si>
  <si>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</si>
  <si>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</si>
  <si>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</si>
  <si>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</si>
  <si>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</si>
  <si>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</si>
  <si>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</si>
  <si>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</si>
  <si>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</si>
  <si>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</si>
  <si>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</si>
  <si>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</si>
  <si>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</si>
  <si>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</si>
  <si>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</si>
  <si>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</si>
  <si>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</si>
  <si>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</si>
  <si>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</si>
  <si>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</si>
  <si>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</si>
  <si>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</si>
  <si>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</si>
  <si>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</si>
  <si>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</si>
  <si>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</si>
  <si>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</si>
  <si>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</si>
  <si>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</si>
  <si>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</si>
  <si>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</si>
  <si>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</si>
  <si>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</si>
  <si>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</si>
  <si>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</si>
  <si>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</si>
  <si>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</si>
  <si>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</si>
  <si>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</si>
  <si>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</si>
  <si>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</si>
  <si>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</si>
  <si>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</si>
  <si>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</si>
  <si>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</si>
  <si>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</si>
  <si>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</si>
  <si>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</si>
  <si>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</si>
  <si>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</si>
  <si>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</si>
  <si>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</si>
  <si>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</si>
  <si>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</si>
  <si>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</si>
  <si>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</si>
  <si>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</si>
  <si>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</si>
  <si>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</si>
  <si>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</si>
  <si>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</si>
  <si>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</si>
  <si>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</si>
  <si>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</si>
  <si>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</si>
  <si>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</si>
  <si>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</si>
  <si>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</si>
  <si>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</si>
  <si>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</si>
  <si>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</si>
  <si>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</si>
  <si>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</si>
  <si>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</si>
  <si>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</si>
  <si>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</si>
  <si>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</si>
  <si>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</si>
  <si>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</si>
  <si>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</si>
  <si>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</si>
  <si>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</si>
  <si>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</si>
  <si>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</si>
  <si>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</si>
  <si>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</si>
  <si>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</si>
  <si>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</si>
  <si>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</si>
  <si>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</si>
  <si>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</si>
  <si>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</si>
  <si>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</si>
  <si>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</si>
  <si>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</si>
  <si>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</si>
  <si>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</si>
  <si>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</si>
  <si>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</si>
  <si>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</si>
  <si>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</si>
  <si>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</si>
  <si>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</si>
  <si>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</si>
  <si>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</si>
  <si>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</si>
  <si>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</si>
  <si>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</si>
  <si>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</si>
  <si>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</si>
  <si>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</si>
  <si>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</si>
  <si>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</si>
  <si>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</si>
  <si>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</si>
  <si>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</si>
  <si>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</si>
  <si>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</si>
  <si>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</si>
  <si>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</si>
  <si>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</si>
  <si>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</si>
  <si>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</si>
  <si>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</si>
  <si>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</si>
  <si>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</si>
  <si>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</si>
  <si>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</si>
  <si>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</si>
  <si>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</si>
  <si>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</si>
  <si>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</si>
  <si>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</si>
  <si>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</si>
  <si>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</si>
  <si>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</si>
  <si>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</si>
  <si>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</si>
  <si>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</si>
  <si>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</si>
  <si>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</si>
  <si>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</si>
  <si>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</si>
  <si>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</si>
  <si>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</si>
  <si>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</si>
  <si>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</si>
  <si>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</si>
  <si>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</si>
  <si>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</si>
  <si>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</si>
  <si>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</si>
  <si>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</si>
  <si>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</si>
  <si>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</si>
  <si>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</si>
  <si>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</si>
  <si>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</si>
  <si>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</si>
  <si>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</si>
  <si>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</si>
  <si>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</si>
  <si>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</si>
  <si>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</si>
  <si>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</si>
  <si>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</si>
  <si>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</si>
  <si>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</si>
  <si>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</si>
  <si>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</si>
  <si>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</si>
  <si>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</si>
  <si>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</si>
  <si>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</si>
  <si>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</si>
  <si>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</si>
  <si>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</si>
  <si>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</si>
  <si>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</si>
  <si>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</si>
  <si>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</si>
  <si>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</si>
  <si>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</si>
  <si>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</si>
  <si>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</si>
  <si>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</si>
  <si>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</si>
  <si>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</si>
  <si>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</si>
  <si>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</si>
  <si>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</si>
  <si>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</si>
  <si>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PF</t>
  </si>
  <si>
    <t>OREB</t>
  </si>
  <si>
    <t>DREB</t>
  </si>
  <si>
    <t>TREB</t>
  </si>
  <si>
    <t>GAME 2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</si>
  <si>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</si>
  <si>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</si>
  <si>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</si>
  <si>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</si>
  <si>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</si>
  <si>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</si>
  <si>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</si>
  <si>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</si>
  <si>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</si>
  <si>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</si>
  <si>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</si>
  <si>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</si>
  <si>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</si>
  <si>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</si>
  <si>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</si>
  <si>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</si>
  <si>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</si>
  <si>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</si>
  <si>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Brekkott</t>
  </si>
  <si>
    <t>Dwayne</t>
  </si>
  <si>
    <t>Timeouts:</t>
  </si>
  <si>
    <t>Gray:</t>
  </si>
  <si>
    <t>Black:</t>
  </si>
  <si>
    <t>Dashawn</t>
  </si>
  <si>
    <t>Benson</t>
  </si>
  <si>
    <t>Oliver</t>
  </si>
  <si>
    <t>Jenson</t>
  </si>
  <si>
    <t>TimeOuts</t>
  </si>
  <si>
    <t>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</si>
</sst>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49" fontId="0" fillId="0" borderId="0" xfId="0" applyNumberForma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B21" workbookViewId="0">
      <selection activeCell="L38" sqref="L38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248</v>
      </c>
      <c r="F1" t="s">
        <v>3</v>
      </c>
      <c r="G1" t="str">
        <f>'Stats G2'!B3</f>
        <v>Draney</v>
      </c>
    </row>
    <row r="2" spans="2:12" x14ac:dyDescent="0.2">
      <c r="B2" t="str">
        <f>G1</f>
        <v>Draney</v>
      </c>
      <c r="D2" t="str">
        <f>G20</f>
        <v>Drisdom</v>
      </c>
      <c r="F2" t="s">
        <v>1</v>
      </c>
      <c r="G2" t="s">
        <v>2</v>
      </c>
      <c r="H2" t="s">
        <v>0</v>
      </c>
      <c r="I2" t="s">
        <v>245</v>
      </c>
      <c r="J2" t="s">
        <v>246</v>
      </c>
      <c r="K2" t="s">
        <v>247</v>
      </c>
      <c r="L2" t="s">
        <v>276</v>
      </c>
    </row>
    <row r="3" spans="2:12" x14ac:dyDescent="0.2">
      <c r="B3">
        <f>I18</f>
        <v>16</v>
      </c>
      <c r="C3" s="3" t="s">
        <v>6</v>
      </c>
      <c r="D3" s="4">
        <f>I37</f>
        <v>10</v>
      </c>
      <c r="F3" t="str">
        <f>'Stats G2'!A5</f>
        <v>Roman</v>
      </c>
      <c r="G3" t="str">
        <f>'Stats G2'!B5</f>
        <v>McKnight</v>
      </c>
      <c r="H3">
        <f>'Stats G2'!C5</f>
        <v>0</v>
      </c>
      <c r="I3">
        <f>'Stats G2'!E5</f>
        <v>2</v>
      </c>
      <c r="J3">
        <f>'Stats G2'!H5</f>
        <v>3</v>
      </c>
      <c r="K3">
        <f>J3+I3</f>
        <v>5</v>
      </c>
    </row>
    <row r="4" spans="2:12" x14ac:dyDescent="0.2">
      <c r="F4" t="str">
        <f>'Stats G2'!A6</f>
        <v>Brendan</v>
      </c>
      <c r="G4" t="str">
        <f>'Stats G2'!B6</f>
        <v>Bailey</v>
      </c>
      <c r="H4">
        <f>'Stats G2'!C6</f>
        <v>1</v>
      </c>
      <c r="I4">
        <f>'Stats G2'!E6</f>
        <v>0</v>
      </c>
      <c r="J4">
        <f>'Stats G2'!H6</f>
        <v>0</v>
      </c>
      <c r="K4">
        <f t="shared" ref="K4:K17" si="0">J4+I4</f>
        <v>0</v>
      </c>
    </row>
    <row r="5" spans="2:12" x14ac:dyDescent="0.2">
      <c r="F5" t="str">
        <f>'Stats G2'!A7</f>
        <v>Marquis</v>
      </c>
      <c r="G5" t="str">
        <f>'Stats G2'!B7</f>
        <v>Velez</v>
      </c>
      <c r="H5">
        <f>'Stats G2'!C7</f>
        <v>2</v>
      </c>
      <c r="I5">
        <f>'Stats G2'!E7</f>
        <v>1</v>
      </c>
      <c r="J5">
        <f>'Stats G2'!H7</f>
        <v>2</v>
      </c>
      <c r="K5">
        <f t="shared" si="0"/>
        <v>3</v>
      </c>
    </row>
    <row r="6" spans="2:12" x14ac:dyDescent="0.2">
      <c r="F6" t="str">
        <f>'Stats G2'!A8</f>
        <v>Marcus</v>
      </c>
      <c r="G6" t="str">
        <f>'Stats G2'!B8</f>
        <v>Draney</v>
      </c>
      <c r="H6">
        <f>'Stats G2'!C8</f>
        <v>4</v>
      </c>
      <c r="I6">
        <f>'Stats G2'!E8</f>
        <v>0</v>
      </c>
      <c r="J6">
        <f>'Stats G2'!H8</f>
        <v>9</v>
      </c>
      <c r="K6">
        <f t="shared" si="0"/>
        <v>9</v>
      </c>
    </row>
    <row r="7" spans="2:12" x14ac:dyDescent="0.2">
      <c r="F7" t="str">
        <f>'Stats G2'!A9</f>
        <v>Stefan</v>
      </c>
      <c r="G7" t="str">
        <f>'Stats G2'!B9</f>
        <v>Briggs</v>
      </c>
      <c r="H7">
        <f>'Stats G2'!C9</f>
        <v>8</v>
      </c>
      <c r="I7">
        <f>'Stats G2'!E9</f>
        <v>0</v>
      </c>
      <c r="J7">
        <f>'Stats G2'!H9</f>
        <v>1</v>
      </c>
      <c r="K7">
        <f t="shared" si="0"/>
        <v>1</v>
      </c>
    </row>
    <row r="8" spans="2:12" x14ac:dyDescent="0.2">
      <c r="F8" t="str">
        <f>'Stats G2'!A10</f>
        <v>Derrick</v>
      </c>
      <c r="G8" t="str">
        <f>'Stats G2'!B10</f>
        <v>Buys</v>
      </c>
      <c r="H8">
        <f>'Stats G2'!C10</f>
        <v>11</v>
      </c>
      <c r="I8">
        <f>'Stats G2'!E10</f>
        <v>1</v>
      </c>
      <c r="J8">
        <f>'Stats G2'!H10</f>
        <v>2</v>
      </c>
      <c r="K8">
        <f t="shared" si="0"/>
        <v>3</v>
      </c>
    </row>
    <row r="9" spans="2:12" x14ac:dyDescent="0.2">
      <c r="F9" t="str">
        <f>'Stats G2'!A11</f>
        <v>James</v>
      </c>
      <c r="G9" t="str">
        <f>'Stats G2'!B11</f>
        <v>Kamich</v>
      </c>
      <c r="H9">
        <f>'Stats G2'!C11</f>
        <v>22</v>
      </c>
      <c r="I9">
        <f>'Stats G2'!E11</f>
        <v>0</v>
      </c>
      <c r="J9">
        <f>'Stats G2'!H11</f>
        <v>0</v>
      </c>
      <c r="K9">
        <f t="shared" si="0"/>
        <v>0</v>
      </c>
    </row>
    <row r="10" spans="2:12" x14ac:dyDescent="0.2">
      <c r="F10" t="str">
        <f>'Stats G2'!A12</f>
        <v>Duncan</v>
      </c>
      <c r="G10" t="str">
        <f>'Stats G2'!B12</f>
        <v>Reid</v>
      </c>
      <c r="H10">
        <f>'Stats G2'!C12</f>
        <v>22</v>
      </c>
      <c r="I10">
        <f>'Stats G2'!E12</f>
        <v>0</v>
      </c>
      <c r="J10">
        <f>'Stats G2'!H12</f>
        <v>0</v>
      </c>
      <c r="K10">
        <f t="shared" si="0"/>
        <v>0</v>
      </c>
    </row>
    <row r="11" spans="2:12" x14ac:dyDescent="0.2">
      <c r="F11" t="str">
        <f>'Stats G2'!A13</f>
        <v>Darrian</v>
      </c>
      <c r="G11" t="str">
        <f>'Stats G2'!B13</f>
        <v>Briggs</v>
      </c>
      <c r="H11">
        <f>'Stats G2'!C13</f>
        <v>22</v>
      </c>
      <c r="I11">
        <f>'Stats G2'!E13</f>
        <v>4</v>
      </c>
      <c r="J11">
        <f>'Stats G2'!H13</f>
        <v>4</v>
      </c>
      <c r="K11">
        <f t="shared" si="0"/>
        <v>8</v>
      </c>
    </row>
    <row r="12" spans="2:12" x14ac:dyDescent="0.2">
      <c r="F12" t="str">
        <f>'Stats G2'!A14</f>
        <v>Deonte</v>
      </c>
      <c r="G12" t="str">
        <f>'Stats G2'!B14</f>
        <v>Burton</v>
      </c>
      <c r="H12">
        <f>'Stats G2'!C14</f>
        <v>24</v>
      </c>
      <c r="I12">
        <f>'Stats G2'!E14</f>
        <v>0</v>
      </c>
      <c r="J12">
        <f>'Stats G2'!H14</f>
        <v>1</v>
      </c>
      <c r="K12">
        <f t="shared" si="0"/>
        <v>1</v>
      </c>
    </row>
    <row r="13" spans="2:12" x14ac:dyDescent="0.2">
      <c r="F13" t="str">
        <f>'Stats G2'!A15</f>
        <v>Jarret</v>
      </c>
      <c r="G13" t="str">
        <f>'Stats G2'!B15</f>
        <v>Jordan</v>
      </c>
      <c r="H13">
        <f>'Stats G2'!C15</f>
        <v>25</v>
      </c>
      <c r="I13">
        <f>'Stats G2'!E15</f>
        <v>0</v>
      </c>
      <c r="J13">
        <f>'Stats G2'!H15</f>
        <v>0</v>
      </c>
      <c r="K13">
        <f t="shared" si="0"/>
        <v>0</v>
      </c>
    </row>
    <row r="14" spans="2:12" x14ac:dyDescent="0.2">
      <c r="F14" t="str">
        <f>'Stats G2'!A16</f>
        <v>Ousmaine</v>
      </c>
      <c r="G14" t="str">
        <f>'Stats G2'!B16</f>
        <v>Dia</v>
      </c>
      <c r="H14">
        <f>'Stats G2'!C16</f>
        <v>30</v>
      </c>
      <c r="I14">
        <f>'Stats G2'!E16</f>
        <v>0</v>
      </c>
      <c r="J14">
        <f>'Stats G2'!H16</f>
        <v>0</v>
      </c>
      <c r="K14">
        <f t="shared" si="0"/>
        <v>0</v>
      </c>
    </row>
    <row r="15" spans="2:12" x14ac:dyDescent="0.2">
      <c r="F15" t="str">
        <f>'Stats G2'!A17</f>
        <v>Oliver</v>
      </c>
      <c r="G15" t="str">
        <f>'Stats G2'!B17</f>
        <v>Jenson</v>
      </c>
      <c r="H15">
        <f>'Stats G2'!C17</f>
        <v>23</v>
      </c>
      <c r="I15">
        <f>'Stats G2'!E17</f>
        <v>1</v>
      </c>
      <c r="J15">
        <f>'Stats G2'!H17</f>
        <v>0</v>
      </c>
      <c r="K15">
        <f t="shared" si="0"/>
        <v>1</v>
      </c>
    </row>
    <row r="16" spans="2:12" x14ac:dyDescent="0.2">
      <c r="F16" t="str">
        <f>'Stats G2'!A18</f>
        <v>Dashawn</v>
      </c>
      <c r="G16" t="str">
        <f>'Stats G2'!B18</f>
        <v>Benson</v>
      </c>
      <c r="H16" t="s">
        <v>277</v>
      </c>
      <c r="I16">
        <f>'Stats G2'!E18</f>
        <v>2</v>
      </c>
      <c r="J16">
        <f>'Stats G2'!H18</f>
        <v>6</v>
      </c>
      <c r="K16">
        <f t="shared" si="0"/>
        <v>8</v>
      </c>
    </row>
    <row r="17" spans="6:12" x14ac:dyDescent="0.2">
      <c r="F17" t="str">
        <f>'Stats G2'!A19</f>
        <v>Makol</v>
      </c>
      <c r="G17" t="str">
        <f>'Stats G2'!B19</f>
        <v>Mawien</v>
      </c>
      <c r="H17">
        <f>'Stats G2'!C19</f>
        <v>10</v>
      </c>
      <c r="I17">
        <f>'Stats G2'!E19</f>
        <v>5</v>
      </c>
      <c r="J17">
        <f>'Stats G2'!H19</f>
        <v>3</v>
      </c>
      <c r="K17">
        <f t="shared" si="0"/>
        <v>8</v>
      </c>
    </row>
    <row r="18" spans="6:12" x14ac:dyDescent="0.2">
      <c r="H18" s="2" t="s">
        <v>5</v>
      </c>
      <c r="I18">
        <f>SUM(I3:I17)</f>
        <v>16</v>
      </c>
      <c r="J18">
        <f>SUM(J3:J17)</f>
        <v>31</v>
      </c>
      <c r="K18">
        <f>SUM(K3:K17)</f>
        <v>47</v>
      </c>
      <c r="L18">
        <v>1</v>
      </c>
    </row>
    <row r="20" spans="6:12" x14ac:dyDescent="0.2">
      <c r="F20" t="s">
        <v>4</v>
      </c>
      <c r="G20" t="str">
        <f>'Stats G2'!B21</f>
        <v>Drisdom</v>
      </c>
    </row>
    <row r="21" spans="6:12" x14ac:dyDescent="0.2">
      <c r="F21" t="s">
        <v>1</v>
      </c>
      <c r="G21" t="s">
        <v>2</v>
      </c>
      <c r="H21" t="s">
        <v>0</v>
      </c>
      <c r="I21" t="s">
        <v>245</v>
      </c>
      <c r="J21" t="s">
        <v>246</v>
      </c>
      <c r="K21" t="s">
        <v>247</v>
      </c>
      <c r="L21" t="s">
        <v>276</v>
      </c>
    </row>
    <row r="22" spans="6:12" x14ac:dyDescent="0.2">
      <c r="F22" t="str">
        <f>'Stats G2'!A23</f>
        <v>Terrence</v>
      </c>
      <c r="G22" t="str">
        <f>'Stats G2'!B23</f>
        <v>Drisdom</v>
      </c>
      <c r="H22">
        <f>'Stats G2'!C23</f>
        <v>0</v>
      </c>
      <c r="I22">
        <f>'Stats G2'!E23</f>
        <v>1</v>
      </c>
      <c r="J22">
        <f>'Stats G2'!H23</f>
        <v>4</v>
      </c>
      <c r="K22">
        <f>J22+I22</f>
        <v>5</v>
      </c>
    </row>
    <row r="23" spans="6:12" x14ac:dyDescent="0.2">
      <c r="F23" t="str">
        <f>'Stats G2'!A24</f>
        <v>Shaun</v>
      </c>
      <c r="G23" t="str">
        <f>'Stats G2'!B24</f>
        <v>Green</v>
      </c>
      <c r="H23">
        <f>'Stats G2'!C24</f>
        <v>1</v>
      </c>
      <c r="I23">
        <f>'Stats G2'!E24</f>
        <v>1</v>
      </c>
      <c r="J23">
        <f>'Stats G2'!H24</f>
        <v>2</v>
      </c>
      <c r="K23">
        <f t="shared" ref="K23:K36" si="1">J23+I23</f>
        <v>3</v>
      </c>
    </row>
    <row r="24" spans="6:12" x14ac:dyDescent="0.2">
      <c r="F24" t="str">
        <f>'Stats G2'!A25</f>
        <v>Dwayne</v>
      </c>
      <c r="G24" t="str">
        <f>'Stats G2'!B25</f>
        <v>Brown</v>
      </c>
      <c r="H24">
        <f>'Stats G2'!C25</f>
        <v>2</v>
      </c>
      <c r="I24">
        <f>'Stats G2'!E25</f>
        <v>1</v>
      </c>
      <c r="J24">
        <f>'Stats G2'!H25</f>
        <v>3</v>
      </c>
      <c r="K24">
        <f t="shared" si="1"/>
        <v>4</v>
      </c>
    </row>
    <row r="25" spans="6:12" x14ac:dyDescent="0.2">
      <c r="F25" t="str">
        <f>'Stats G2'!A26</f>
        <v>Tre</v>
      </c>
      <c r="G25" t="str">
        <f>'Stats G2'!B26</f>
        <v>Smith</v>
      </c>
      <c r="H25">
        <f>'Stats G2'!C26</f>
        <v>3</v>
      </c>
      <c r="I25">
        <f>'Stats G2'!E26</f>
        <v>1</v>
      </c>
      <c r="J25">
        <f>'Stats G2'!H26</f>
        <v>1</v>
      </c>
      <c r="K25">
        <f t="shared" si="1"/>
        <v>2</v>
      </c>
    </row>
    <row r="26" spans="6:12" x14ac:dyDescent="0.2">
      <c r="F26" t="str">
        <f>'Stats G2'!A27</f>
        <v>Brekkott</v>
      </c>
      <c r="G26" t="str">
        <f>'Stats G2'!B27</f>
        <v>Chapman</v>
      </c>
      <c r="H26">
        <f>'Stats G2'!C27</f>
        <v>6</v>
      </c>
      <c r="I26">
        <f>'Stats G2'!E27</f>
        <v>3</v>
      </c>
      <c r="J26">
        <f>'Stats G2'!H27</f>
        <v>6</v>
      </c>
      <c r="K26">
        <f t="shared" si="1"/>
        <v>9</v>
      </c>
    </row>
    <row r="27" spans="6:12" x14ac:dyDescent="0.2">
      <c r="F27" t="str">
        <f>'Stats G2'!A28</f>
        <v>Ronnie</v>
      </c>
      <c r="G27" t="str">
        <f>'Stats G2'!B28</f>
        <v>Price</v>
      </c>
      <c r="H27">
        <f>'Stats G2'!C28</f>
        <v>7</v>
      </c>
      <c r="I27">
        <f>'Stats G2'!E28</f>
        <v>0</v>
      </c>
      <c r="J27">
        <f>'Stats G2'!H28</f>
        <v>0</v>
      </c>
      <c r="K27">
        <f t="shared" si="1"/>
        <v>0</v>
      </c>
    </row>
    <row r="28" spans="6:12" x14ac:dyDescent="0.2">
      <c r="F28" t="str">
        <f>'Stats G2'!A29</f>
        <v>Isaiah</v>
      </c>
      <c r="G28" t="str">
        <f>'Stats G2'!B29</f>
        <v>Wright</v>
      </c>
      <c r="H28">
        <f>'Stats G2'!C29</f>
        <v>8</v>
      </c>
      <c r="I28">
        <f>'Stats G2'!E29</f>
        <v>0</v>
      </c>
      <c r="J28">
        <f>'Stats G2'!H29</f>
        <v>6</v>
      </c>
      <c r="K28">
        <f t="shared" si="1"/>
        <v>6</v>
      </c>
    </row>
    <row r="29" spans="6:12" x14ac:dyDescent="0.2">
      <c r="F29" t="str">
        <f>'Stats G2'!A30</f>
        <v>Tim</v>
      </c>
      <c r="G29" t="str">
        <f>'Stats G2'!B30</f>
        <v>Drisdom</v>
      </c>
      <c r="H29">
        <f>'Stats G2'!C30</f>
        <v>11</v>
      </c>
      <c r="I29">
        <f>'Stats G2'!E30</f>
        <v>0</v>
      </c>
      <c r="J29">
        <f>'Stats G2'!H30</f>
        <v>0</v>
      </c>
      <c r="K29">
        <f t="shared" si="1"/>
        <v>0</v>
      </c>
    </row>
    <row r="30" spans="6:12" x14ac:dyDescent="0.2">
      <c r="F30" t="str">
        <f>'Stats G2'!A31</f>
        <v>Dakarai</v>
      </c>
      <c r="G30" t="str">
        <f>'Stats G2'!B31</f>
        <v>Tucker</v>
      </c>
      <c r="H30">
        <f>'Stats G2'!C31</f>
        <v>14</v>
      </c>
      <c r="I30">
        <f>'Stats G2'!E31</f>
        <v>0</v>
      </c>
      <c r="J30">
        <f>'Stats G2'!H31</f>
        <v>0</v>
      </c>
      <c r="K30">
        <f t="shared" si="1"/>
        <v>0</v>
      </c>
    </row>
    <row r="31" spans="6:12" x14ac:dyDescent="0.2">
      <c r="F31" t="str">
        <f>'Stats G2'!A32</f>
        <v>AJ</v>
      </c>
      <c r="G31" t="str">
        <f>'Stats G2'!B32</f>
        <v>Hodges</v>
      </c>
      <c r="H31">
        <f>'Stats G2'!C32</f>
        <v>15</v>
      </c>
      <c r="I31">
        <f>'Stats G2'!E32</f>
        <v>1</v>
      </c>
      <c r="J31">
        <f>'Stats G2'!H32</f>
        <v>3</v>
      </c>
      <c r="K31">
        <f t="shared" si="1"/>
        <v>4</v>
      </c>
    </row>
    <row r="32" spans="6:12" x14ac:dyDescent="0.2">
      <c r="F32" t="str">
        <f>'Stats G2'!A33</f>
        <v>Makol</v>
      </c>
      <c r="G32" t="str">
        <f>'Stats G2'!B33</f>
        <v>Mawien</v>
      </c>
      <c r="H32">
        <f>'Stats G2'!C33</f>
        <v>34</v>
      </c>
      <c r="I32">
        <f>'Stats G2'!E33</f>
        <v>0</v>
      </c>
      <c r="J32">
        <f>'Stats G2'!H33</f>
        <v>0</v>
      </c>
      <c r="K32">
        <f t="shared" si="1"/>
        <v>0</v>
      </c>
    </row>
    <row r="33" spans="6:12" x14ac:dyDescent="0.2">
      <c r="F33" t="str">
        <f>'Stats G2'!A34</f>
        <v>Corbin</v>
      </c>
      <c r="G33" t="str">
        <f>'Stats G2'!B34</f>
        <v>Green</v>
      </c>
      <c r="H33">
        <f>'Stats G2'!C34</f>
        <v>98</v>
      </c>
      <c r="I33">
        <f>'Stats G2'!E34</f>
        <v>0</v>
      </c>
      <c r="J33">
        <f>'Stats G2'!H34</f>
        <v>3</v>
      </c>
      <c r="K33">
        <f t="shared" si="1"/>
        <v>3</v>
      </c>
    </row>
    <row r="34" spans="6:12" x14ac:dyDescent="0.2">
      <c r="F34" t="str">
        <f>'Stats G2'!A35</f>
        <v>Brandon</v>
      </c>
      <c r="G34" t="str">
        <f>'Stats G2'!B35</f>
        <v>Taylor</v>
      </c>
      <c r="H34">
        <f>'Stats G2'!C35</f>
        <v>0</v>
      </c>
      <c r="I34">
        <f>'Stats G2'!E35</f>
        <v>2</v>
      </c>
      <c r="J34">
        <f>'Stats G2'!H35</f>
        <v>2</v>
      </c>
      <c r="K34">
        <f t="shared" si="1"/>
        <v>4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 t="shared" si="1"/>
        <v>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1"/>
        <v>0</v>
      </c>
    </row>
    <row r="37" spans="6:12" x14ac:dyDescent="0.2">
      <c r="H37" s="2" t="s">
        <v>5</v>
      </c>
      <c r="I37">
        <f>SUM(I22:I36)</f>
        <v>10</v>
      </c>
      <c r="J37">
        <f>SUM(J22:J36)</f>
        <v>30</v>
      </c>
      <c r="K37">
        <f>SUM(K22:K36)</f>
        <v>40</v>
      </c>
      <c r="L37"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8"/>
  <sheetViews>
    <sheetView topLeftCell="A3" zoomScale="80" zoomScaleNormal="80" workbookViewId="0">
      <selection activeCell="Z9" sqref="Z9"/>
    </sheetView>
  </sheetViews>
  <sheetFormatPr baseColWidth="10" defaultColWidth="11.1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6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6" hidden="1" x14ac:dyDescent="0.2"/>
    <row r="3" spans="1:26" x14ac:dyDescent="0.2">
      <c r="A3" s="2" t="s">
        <v>7</v>
      </c>
      <c r="B3" s="1" t="s">
        <v>16</v>
      </c>
    </row>
    <row r="4" spans="1:26" x14ac:dyDescent="0.2">
      <c r="A4" t="s">
        <v>1</v>
      </c>
      <c r="B4" t="s">
        <v>2</v>
      </c>
      <c r="C4" t="s">
        <v>0</v>
      </c>
      <c r="E4" t="s">
        <v>245</v>
      </c>
      <c r="H4" t="s">
        <v>246</v>
      </c>
      <c r="K4" t="s">
        <v>243</v>
      </c>
      <c r="N4" t="s">
        <v>244</v>
      </c>
    </row>
    <row r="5" spans="1:26" s="6" customFormat="1" x14ac:dyDescent="0.2">
      <c r="A5" s="5" t="str">
        <f>_xlfn.IFNA(VLOOKUP($B$3&amp;ROWS($A$5:A5),Rosters!$B$2:$C$162,2,0),"?")</f>
        <v>Roman</v>
      </c>
      <c r="B5" s="5" t="str">
        <f>_xlfn.IFNA(VLOOKUP($B$3&amp;ROWS($B$5:B5),Rosters!$B$2:$D$162,3,0),"?")</f>
        <v>McKnight</v>
      </c>
      <c r="C5" s="5">
        <f>_xlfn.IFNA(VLOOKUP($B$3&amp;ROWS($C$5:C5),Rosters!$B$2:$E$162,4,0),"")</f>
        <v>0</v>
      </c>
      <c r="D5" s="5"/>
      <c r="E5" s="5">
        <v>2</v>
      </c>
      <c r="F5" s="5"/>
      <c r="G5" s="5"/>
      <c r="H5" s="5">
        <v>3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6" s="6" customFormat="1" x14ac:dyDescent="0.2">
      <c r="A6" s="6" t="str">
        <f>_xlfn.IFNA(VLOOKUP($B$3&amp;ROWS($A$5:A6),Rosters!$B$2:$C$162,2,0),"?")</f>
        <v>Brendan</v>
      </c>
      <c r="B6" s="6" t="str">
        <f>_xlfn.IFNA(VLOOKUP($B$3&amp;ROWS($B$5:B6),Rosters!$B$2:$D$162,3,0),"?")</f>
        <v>Bailey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 t="s">
        <v>269</v>
      </c>
    </row>
    <row r="7" spans="1:26" s="6" customFormat="1" x14ac:dyDescent="0.2">
      <c r="A7" s="5" t="str">
        <f>_xlfn.IFNA(VLOOKUP($B$3&amp;ROWS($A$5:A7),Rosters!$B$2:$C$162,2,0),"?")</f>
        <v>Marquis</v>
      </c>
      <c r="B7" s="5" t="str">
        <f>_xlfn.IFNA(VLOOKUP($B$3&amp;ROWS($B$5:B7),Rosters!$B$2:$D$162,3,0),"?")</f>
        <v>Velez</v>
      </c>
      <c r="C7" s="5">
        <f>_xlfn.IFNA(VLOOKUP($B$3&amp;ROWS($C$5:C7),Rosters!$B$2:$E$162,4,0),"")</f>
        <v>2</v>
      </c>
      <c r="D7" s="5"/>
      <c r="E7" s="5">
        <v>1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W7" s="6" t="s">
        <v>270</v>
      </c>
      <c r="X7" s="6">
        <v>1</v>
      </c>
      <c r="Y7" s="6">
        <v>2</v>
      </c>
      <c r="Z7" s="6">
        <f>Y7+X7</f>
        <v>3</v>
      </c>
    </row>
    <row r="8" spans="1:26" s="6" customFormat="1" x14ac:dyDescent="0.2">
      <c r="A8" s="6" t="str">
        <f>_xlfn.IFNA(VLOOKUP($B$3&amp;ROWS($A$5:A8),Rosters!$B$2:$C$162,2,0),"?")</f>
        <v>Marcus</v>
      </c>
      <c r="B8" s="6" t="str">
        <f>_xlfn.IFNA(VLOOKUP($B$3&amp;ROWS($B$5:B8),Rosters!$B$2:$D$162,3,0),"?")</f>
        <v>Draney</v>
      </c>
      <c r="C8" s="6">
        <f>_xlfn.IFNA(VLOOKUP($B$3&amp;ROWS($C$5:C8),Rosters!$B$2:$E$162,4,0),"")</f>
        <v>4</v>
      </c>
      <c r="E8" s="6">
        <v>0</v>
      </c>
      <c r="H8" s="6">
        <v>9</v>
      </c>
      <c r="K8" s="6">
        <v>0</v>
      </c>
      <c r="N8" s="6">
        <v>0</v>
      </c>
      <c r="Q8" s="6">
        <v>0</v>
      </c>
      <c r="T8" s="6">
        <v>0</v>
      </c>
      <c r="W8" s="6" t="s">
        <v>271</v>
      </c>
      <c r="X8" s="6">
        <v>1</v>
      </c>
      <c r="Y8" s="6">
        <v>2</v>
      </c>
      <c r="Z8" s="6">
        <f>Y8+X8</f>
        <v>3</v>
      </c>
    </row>
    <row r="9" spans="1:26" s="6" customFormat="1" x14ac:dyDescent="0.2">
      <c r="A9" s="5" t="str">
        <f>_xlfn.IFNA(VLOOKUP($B$3&amp;ROWS($A$5:A9),Rosters!$B$2:$C$162,2,0),"?")</f>
        <v>Stefan</v>
      </c>
      <c r="B9" s="5" t="str">
        <f>_xlfn.IFNA(VLOOKUP($B$3&amp;ROWS($B$5:B9),Rosters!$B$2:$D$162,3,0),"?")</f>
        <v>Briggs</v>
      </c>
      <c r="C9" s="5">
        <f>_xlfn.IFNA(VLOOKUP($B$3&amp;ROWS($C$5:C9),Rosters!$B$2:$E$162,4,0),"")</f>
        <v>8</v>
      </c>
      <c r="D9" s="5"/>
      <c r="E9" s="5">
        <v>0</v>
      </c>
      <c r="F9" s="5"/>
      <c r="G9" s="5"/>
      <c r="H9" s="5">
        <v>1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6" s="6" customFormat="1" x14ac:dyDescent="0.2">
      <c r="A10" s="6" t="str">
        <f>_xlfn.IFNA(VLOOKUP($B$3&amp;ROWS($A$5:A10),Rosters!$B$2:$C$162,2,0),"?")</f>
        <v>Derrick</v>
      </c>
      <c r="B10" s="6" t="str">
        <f>_xlfn.IFNA(VLOOKUP($B$3&amp;ROWS($B$5:B10),Rosters!$B$2:$D$162,3,0),"?")</f>
        <v>Buys</v>
      </c>
      <c r="C10" s="6">
        <f>_xlfn.IFNA(VLOOKUP($B$3&amp;ROWS($C$5:C10),Rosters!$B$2:$E$162,4,0),"")</f>
        <v>11</v>
      </c>
      <c r="E10" s="6">
        <v>1</v>
      </c>
      <c r="H10" s="6">
        <v>2</v>
      </c>
      <c r="K10" s="6">
        <v>0</v>
      </c>
      <c r="N10" s="6">
        <v>0</v>
      </c>
      <c r="Q10" s="6">
        <v>0</v>
      </c>
      <c r="T10" s="6">
        <v>0</v>
      </c>
    </row>
    <row r="11" spans="1:26" s="6" customFormat="1" x14ac:dyDescent="0.2">
      <c r="A11" s="5" t="str">
        <f>_xlfn.IFNA(VLOOKUP($B$3&amp;ROWS($A$5:A11),Rosters!$B$2:$C$162,2,0),"?")</f>
        <v>James</v>
      </c>
      <c r="B11" s="5" t="str">
        <f>_xlfn.IFNA(VLOOKUP($B$3&amp;ROWS($B$5:B11),Rosters!$B$2:$D$162,3,0),"?")</f>
        <v>Kamich</v>
      </c>
      <c r="C11" s="5">
        <f>_xlfn.IFNA(VLOOKUP($B$3&amp;ROWS($C$5:C11),Rosters!$B$2:$E$162,4,0),"")</f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6" s="6" customFormat="1" x14ac:dyDescent="0.2">
      <c r="A12" s="6" t="str">
        <f>_xlfn.IFNA(VLOOKUP($B$3&amp;ROWS($A$5:A12),Rosters!$B$2:$C$162,2,0),"?")</f>
        <v>Duncan</v>
      </c>
      <c r="B12" s="6" t="str">
        <f>_xlfn.IFNA(VLOOKUP($B$3&amp;ROWS($B$5:B12),Rosters!$B$2:$D$162,3,0),"?")</f>
        <v>Reid</v>
      </c>
      <c r="C12" s="6">
        <f>_xlfn.IFNA(VLOOKUP($B$3&amp;ROWS($C$5:C12),Rosters!$B$2:$E$162,4,0),"")</f>
        <v>22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6" s="6" customFormat="1" x14ac:dyDescent="0.2">
      <c r="A13" s="5" t="str">
        <f>_xlfn.IFNA(VLOOKUP($B$3&amp;ROWS($A$5:A13),Rosters!$B$2:$C$162,2,0),"?")</f>
        <v>Darrian</v>
      </c>
      <c r="B13" s="5" t="str">
        <f>_xlfn.IFNA(VLOOKUP($B$3&amp;ROWS($B$5:B13),Rosters!$B$2:$D$162,3,0),"?")</f>
        <v>Briggs</v>
      </c>
      <c r="C13" s="5">
        <f>_xlfn.IFNA(VLOOKUP($B$3&amp;ROWS($C$5:C13),Rosters!$B$2:$E$162,4,0),"")</f>
        <v>22</v>
      </c>
      <c r="D13" s="5"/>
      <c r="E13" s="5">
        <v>4</v>
      </c>
      <c r="F13" s="5"/>
      <c r="G13" s="5"/>
      <c r="H13" s="5">
        <v>4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6" s="6" customFormat="1" x14ac:dyDescent="0.2">
      <c r="A14" s="6" t="str">
        <f>_xlfn.IFNA(VLOOKUP($B$3&amp;ROWS($A$5:A14),Rosters!$B$2:$C$162,2,0),"?")</f>
        <v>Deonte</v>
      </c>
      <c r="B14" s="6" t="str">
        <f>_xlfn.IFNA(VLOOKUP($B$3&amp;ROWS($B$5:B14),Rosters!$B$2:$D$162,3,0),"?")</f>
        <v>Burton</v>
      </c>
      <c r="C14" s="6">
        <f>_xlfn.IFNA(VLOOKUP($B$3&amp;ROWS($C$5:C14),Rosters!$B$2:$E$162,4,0),"")</f>
        <v>24</v>
      </c>
      <c r="E14" s="6">
        <v>0</v>
      </c>
      <c r="H14" s="6">
        <v>1</v>
      </c>
      <c r="K14" s="6">
        <v>0</v>
      </c>
      <c r="N14" s="6">
        <v>0</v>
      </c>
      <c r="Q14" s="6">
        <v>0</v>
      </c>
      <c r="T14" s="6">
        <v>0</v>
      </c>
    </row>
    <row r="15" spans="1:26" s="6" customFormat="1" x14ac:dyDescent="0.2">
      <c r="A15" s="5" t="str">
        <f>_xlfn.IFNA(VLOOKUP($B$3&amp;ROWS($A$5:A15),Rosters!$B$2:$C$162,2,0),"?")</f>
        <v>Jarret</v>
      </c>
      <c r="B15" s="5" t="str">
        <f>_xlfn.IFNA(VLOOKUP($B$3&amp;ROWS($B$5:B15),Rosters!$B$2:$D$162,3,0),"?")</f>
        <v>Jordan</v>
      </c>
      <c r="C15" s="5">
        <f>_xlfn.IFNA(VLOOKUP($B$3&amp;ROWS($C$5:C15),Rosters!$B$2:$E$162,4,0),"")</f>
        <v>25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6" s="6" customFormat="1" x14ac:dyDescent="0.2">
      <c r="A16" s="6" t="str">
        <f>_xlfn.IFNA(VLOOKUP($B$3&amp;ROWS($A$5:A16),Rosters!$B$2:$C$162,2,0),"?")</f>
        <v>Ousmaine</v>
      </c>
      <c r="B16" s="6" t="str">
        <f>_xlfn.IFNA(VLOOKUP($B$3&amp;ROWS($B$5:B16),Rosters!$B$2:$D$162,3,0),"?")</f>
        <v>Dia</v>
      </c>
      <c r="C16" s="6">
        <f>_xlfn.IFNA(VLOOKUP($B$3&amp;ROWS($C$5:C16),Rosters!$B$2:$E$162,4,0),"")</f>
        <v>30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274</v>
      </c>
      <c r="B17" s="5" t="s">
        <v>275</v>
      </c>
      <c r="C17" s="5">
        <v>23</v>
      </c>
      <c r="D17" s="5"/>
      <c r="E17" s="5">
        <v>1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">
        <v>272</v>
      </c>
      <c r="B18" s="6" t="s">
        <v>273</v>
      </c>
      <c r="C18" s="8" t="s">
        <v>242</v>
      </c>
      <c r="E18" s="6">
        <v>2</v>
      </c>
      <c r="H18" s="6">
        <v>6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">
        <v>36</v>
      </c>
      <c r="B19" s="5" t="s">
        <v>37</v>
      </c>
      <c r="C19" s="5">
        <v>10</v>
      </c>
      <c r="D19" s="5"/>
      <c r="E19" s="5">
        <v>5</v>
      </c>
      <c r="F19" s="5"/>
      <c r="G19" s="5"/>
      <c r="H19" s="5">
        <v>3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16</v>
      </c>
      <c r="H20">
        <f>SUM(H5:H19)</f>
        <v>31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1" x14ac:dyDescent="0.2">
      <c r="A21" s="2" t="s">
        <v>8</v>
      </c>
      <c r="B21" s="1" t="s">
        <v>17</v>
      </c>
    </row>
    <row r="22" spans="1:21" x14ac:dyDescent="0.2">
      <c r="A22" t="s">
        <v>1</v>
      </c>
      <c r="B22" t="s">
        <v>2</v>
      </c>
      <c r="C22" t="s">
        <v>0</v>
      </c>
      <c r="E22" t="s">
        <v>245</v>
      </c>
      <c r="H22" t="s">
        <v>246</v>
      </c>
      <c r="K22" t="s">
        <v>243</v>
      </c>
      <c r="N22" t="s">
        <v>244</v>
      </c>
    </row>
    <row r="23" spans="1:21" s="6" customFormat="1" x14ac:dyDescent="0.2">
      <c r="A23" s="5" t="str">
        <f>_xlfn.IFNA(VLOOKUP($B$21&amp;ROWS($A$23:A23),Rosters!$B$2:$C$162,2,0),"?")</f>
        <v>Terrence</v>
      </c>
      <c r="B23" s="5" t="str">
        <f>_xlfn.IFNA(VLOOKUP($B$21&amp;ROWS($B$23:B23),Rosters!$B$2:$D$162,3,0),"?")</f>
        <v>Drisdom</v>
      </c>
      <c r="C23" s="5">
        <f>_xlfn.IFNA(VLOOKUP($B$21&amp;ROWS($C$23:C23),Rosters!$B$2:$E$162,4,0),"")</f>
        <v>0</v>
      </c>
      <c r="D23" s="5"/>
      <c r="E23" s="5">
        <v>1</v>
      </c>
      <c r="F23" s="5"/>
      <c r="G23" s="5"/>
      <c r="H23" s="5">
        <v>4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Shaun</v>
      </c>
      <c r="B24" s="6" t="str">
        <f>_xlfn.IFNA(VLOOKUP($B$21&amp;ROWS($B$23:B24),Rosters!$B$2:$D$162,3,0),"?")</f>
        <v>Green</v>
      </c>
      <c r="C24" s="6">
        <f>_xlfn.IFNA(VLOOKUP($B$21&amp;ROWS($C$23:C24),Rosters!$B$2:$E$162,4,0),"")</f>
        <v>1</v>
      </c>
      <c r="E24" s="6">
        <v>1</v>
      </c>
      <c r="H24" s="6">
        <v>2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Dwayne</v>
      </c>
      <c r="B25" s="5" t="str">
        <f>_xlfn.IFNA(VLOOKUP($B$21&amp;ROWS($B$23:B25),Rosters!$B$2:$D$162,3,0),"?")</f>
        <v>Brown</v>
      </c>
      <c r="C25" s="5">
        <f>_xlfn.IFNA(VLOOKUP($B$21&amp;ROWS($C$23:C25),Rosters!$B$2:$E$162,4,0),"")</f>
        <v>2</v>
      </c>
      <c r="D25" s="5"/>
      <c r="E25" s="5">
        <v>1</v>
      </c>
      <c r="F25" s="5"/>
      <c r="G25" s="5"/>
      <c r="H25" s="5">
        <v>3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Tre</v>
      </c>
      <c r="B26" s="6" t="str">
        <f>_xlfn.IFNA(VLOOKUP($B$21&amp;ROWS($B$23:B26),Rosters!$B$2:$D$162,3,0),"?")</f>
        <v>Smith</v>
      </c>
      <c r="C26" s="6">
        <f>_xlfn.IFNA(VLOOKUP($B$21&amp;ROWS($C$23:C26),Rosters!$B$2:$E$162,4,0),"")</f>
        <v>3</v>
      </c>
      <c r="E26" s="6">
        <v>1</v>
      </c>
      <c r="H26" s="6">
        <v>1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Brekkott</v>
      </c>
      <c r="B27" s="5" t="str">
        <f>_xlfn.IFNA(VLOOKUP($B$21&amp;ROWS($B$23:B27),Rosters!$B$2:$D$162,3,0),"?")</f>
        <v>Chapman</v>
      </c>
      <c r="C27" s="5">
        <f>_xlfn.IFNA(VLOOKUP($B$21&amp;ROWS($C$23:C27),Rosters!$B$2:$E$162,4,0),"")</f>
        <v>6</v>
      </c>
      <c r="D27" s="5"/>
      <c r="E27" s="5">
        <v>3</v>
      </c>
      <c r="F27" s="5"/>
      <c r="G27" s="5"/>
      <c r="H27" s="5">
        <v>6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Ronnie</v>
      </c>
      <c r="B28" s="6" t="str">
        <f>_xlfn.IFNA(VLOOKUP($B$21&amp;ROWS($B$23:B28),Rosters!$B$2:$D$162,3,0),"?")</f>
        <v>Price</v>
      </c>
      <c r="C28" s="6">
        <f>_xlfn.IFNA(VLOOKUP($B$21&amp;ROWS($C$23:C28),Rosters!$B$2:$E$162,4,0),"")</f>
        <v>7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Isaiah</v>
      </c>
      <c r="B29" s="5" t="str">
        <f>_xlfn.IFNA(VLOOKUP($B$21&amp;ROWS($B$23:B29),Rosters!$B$2:$D$162,3,0),"?")</f>
        <v>Wright</v>
      </c>
      <c r="C29" s="5">
        <f>_xlfn.IFNA(VLOOKUP($B$21&amp;ROWS($C$23:C29),Rosters!$B$2:$E$162,4,0),"")</f>
        <v>8</v>
      </c>
      <c r="D29" s="5"/>
      <c r="E29" s="5">
        <v>0</v>
      </c>
      <c r="F29" s="5"/>
      <c r="G29" s="5"/>
      <c r="H29" s="5">
        <v>6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Tim</v>
      </c>
      <c r="B30" s="6" t="str">
        <f>_xlfn.IFNA(VLOOKUP($B$21&amp;ROWS($B$23:B30),Rosters!$B$2:$D$162,3,0),"?")</f>
        <v>Drisdom</v>
      </c>
      <c r="C30" s="6">
        <f>_xlfn.IFNA(VLOOKUP($B$21&amp;ROWS($C$23:C30),Rosters!$B$2:$E$162,4,0),"")</f>
        <v>11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Dakarai</v>
      </c>
      <c r="B31" s="5" t="str">
        <f>_xlfn.IFNA(VLOOKUP($B$21&amp;ROWS($B$23:B31),Rosters!$B$2:$D$162,3,0),"?")</f>
        <v>Tucker</v>
      </c>
      <c r="C31" s="5">
        <f>_xlfn.IFNA(VLOOKUP($B$21&amp;ROWS($C$23:C31),Rosters!$B$2:$E$162,4,0),"")</f>
        <v>14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AJ</v>
      </c>
      <c r="B32" s="6" t="str">
        <f>_xlfn.IFNA(VLOOKUP($B$21&amp;ROWS($B$23:B32),Rosters!$B$2:$D$162,3,0),"?")</f>
        <v>Hodges</v>
      </c>
      <c r="C32" s="6">
        <f>_xlfn.IFNA(VLOOKUP($B$21&amp;ROWS($C$23:C32),Rosters!$B$2:$E$162,4,0),"")</f>
        <v>15</v>
      </c>
      <c r="E32" s="6">
        <v>1</v>
      </c>
      <c r="H32" s="6">
        <v>3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Makol</v>
      </c>
      <c r="B33" s="5" t="str">
        <f>_xlfn.IFNA(VLOOKUP($B$21&amp;ROWS($B$23:B33),Rosters!$B$2:$D$162,3,0),"?")</f>
        <v>Mawien</v>
      </c>
      <c r="C33" s="5">
        <f>_xlfn.IFNA(VLOOKUP($B$21&amp;ROWS($C$23:C33),Rosters!$B$2:$E$162,4,0),"")</f>
        <v>34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Corbin</v>
      </c>
      <c r="B34" s="6" t="str">
        <f>_xlfn.IFNA(VLOOKUP($B$21&amp;ROWS($B$23:B34),Rosters!$B$2:$D$162,3,0),"?")</f>
        <v>Green</v>
      </c>
      <c r="C34" s="6">
        <f>_xlfn.IFNA(VLOOKUP($B$21&amp;ROWS($C$23:C34),Rosters!$B$2:$E$162,4,0),"")</f>
        <v>98</v>
      </c>
      <c r="D34"/>
      <c r="E34" s="6">
        <v>0</v>
      </c>
      <c r="F34"/>
      <c r="G34"/>
      <c r="H34" s="6">
        <v>3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58</v>
      </c>
      <c r="B35" s="5" t="s">
        <v>110</v>
      </c>
      <c r="C35" s="5">
        <v>0</v>
      </c>
      <c r="D35" s="5"/>
      <c r="E35" s="5">
        <v>2</v>
      </c>
      <c r="F35" s="5"/>
      <c r="G35" s="5"/>
      <c r="H35" s="5">
        <v>2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10</v>
      </c>
      <c r="H38">
        <f>SUM(H23:H37)</f>
        <v>30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ColWidth="11.1640625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268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251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267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252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253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250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254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255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256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257</v>
      </c>
      <c r="D50" t="s">
        <v>258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259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260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261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249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262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263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264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264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264</v>
      </c>
      <c r="B143" t="str">
        <f>A143&amp;COUNTIF($A$2:$A143,A143)</f>
        <v>Guest3</v>
      </c>
      <c r="C143" t="s">
        <v>265</v>
      </c>
      <c r="D143" t="s">
        <v>239</v>
      </c>
      <c r="E143">
        <v>19</v>
      </c>
    </row>
    <row r="144" spans="1:5" x14ac:dyDescent="0.2">
      <c r="A144" t="s">
        <v>264</v>
      </c>
      <c r="B144" t="str">
        <f>A144&amp;COUNTIF($A$2:$A144,A144)</f>
        <v>Guest4</v>
      </c>
      <c r="C144" t="s">
        <v>241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2021-07-30T14:41:31Z</dcterms:modified>
</cp:coreProperties>
</file>