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163" documentId="8_{851E71F0-6A1C-4250-9745-BE86F801BA11}" xr6:coauthVersionLast="47" xr6:coauthVersionMax="47" xr10:uidLastSave="{23274CED-0ECD-40E4-821D-6DEF709F389E}"/>
  <bookViews>
    <workbookView xWindow="-120" yWindow="-120" windowWidth="2073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F13" i="2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C32" i="1"/>
  <c r="H31" i="2" s="1"/>
  <c r="A5" i="1"/>
  <c r="F10" i="2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H10" i="2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C34" i="1"/>
  <c r="H33" i="2" s="1"/>
  <c r="C26" i="1"/>
  <c r="H25" i="2" s="1"/>
  <c r="A18" i="1"/>
  <c r="F16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G10" i="2"/>
  <c r="C24" i="1"/>
  <c r="H23" i="2" s="1"/>
  <c r="B18" i="1"/>
  <c r="G16" i="2" s="1"/>
  <c r="C9" i="1"/>
  <c r="H7" i="2" s="1"/>
  <c r="A32" i="1"/>
  <c r="F31" i="2" s="1"/>
  <c r="A17" i="1"/>
  <c r="F15" i="2" s="1"/>
  <c r="A9" i="1"/>
  <c r="F7" i="2" s="1"/>
  <c r="B16" i="1"/>
  <c r="G14" i="2" s="1"/>
  <c r="G6" i="2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H17" i="2"/>
  <c r="F17" i="2"/>
  <c r="B10" i="1"/>
  <c r="G8" i="2" s="1"/>
  <c r="B37" i="1"/>
  <c r="G36" i="2" s="1"/>
  <c r="B29" i="1"/>
  <c r="G28" i="2" s="1"/>
  <c r="A16" i="1"/>
  <c r="F14" i="2" s="1"/>
  <c r="F6" i="2"/>
  <c r="G13" i="2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G17" i="2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<sst xmlns="http://schemas.openxmlformats.org/spreadsheetml/2006/main" count="493" uniqueCount="282">
  <si>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</si>
  <si>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</si>
  <si>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</si>
  <si>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</si>
  <si>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</si>
  <si>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</si>
  <si>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</si>
  <si>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</si>
  <si>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</si>
  <si>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</si>
  <si>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</si>
  <si>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</si>
  <si>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</si>
  <si>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</si>
  <si>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</si>
  <si>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</si>
  <si>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</si>
  <si>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</si>
  <si>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</si>
  <si>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</si>
  <si>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</si>
  <si>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</si>
  <si>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</si>
  <si>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</si>
  <si>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</si>
  <si>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</si>
  <si>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</si>
  <si>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</si>
  <si>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</si>
  <si>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</si>
  <si>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</si>
  <si>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</si>
  <si>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</si>
  <si>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</si>
  <si>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</si>
  <si>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</si>
  <si>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</si>
  <si>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</si>
  <si>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</si>
  <si>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</si>
  <si>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</si>
  <si>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</si>
  <si>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</si>
  <si>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</si>
  <si>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</si>
  <si>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</si>
  <si>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</si>
  <si>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</si>
  <si>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</si>
  <si>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</si>
  <si>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</si>
  <si>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</si>
  <si>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</si>
  <si>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</si>
  <si>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</si>
  <si>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</si>
  <si>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</si>
  <si>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</si>
  <si>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</si>
  <si>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</si>
  <si>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</si>
  <si>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</si>
  <si>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</si>
  <si>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</si>
  <si>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</si>
  <si>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</si>
  <si>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</si>
  <si>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</si>
  <si>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</si>
  <si>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</si>
  <si>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</si>
  <si>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</si>
  <si>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</si>
  <si>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</si>
  <si>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</si>
  <si>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</si>
  <si>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</si>
  <si>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</si>
  <si>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</si>
  <si>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</si>
  <si>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</si>
  <si>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</si>
  <si>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</si>
  <si>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</si>
  <si>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</si>
  <si>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</si>
  <si>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</si>
  <si>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</si>
  <si>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</si>
  <si>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</si>
  <si>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</si>
  <si>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</si>
  <si>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</si>
  <si>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</si>
  <si>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</si>
  <si>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</si>
  <si>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</si>
  <si>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</si>
  <si>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</si>
  <si>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</si>
  <si>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</si>
  <si>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</si>
  <si>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</si>
  <si>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</si>
  <si>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</si>
  <si>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</si>
  <si>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</si>
  <si>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</si>
  <si>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</si>
  <si>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</si>
  <si>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</si>
  <si>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</si>
  <si>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</si>
  <si>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</si>
  <si>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</si>
  <si>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</si>
  <si>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</si>
  <si>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</si>
  <si>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</si>
  <si>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</si>
  <si>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</si>
  <si>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</si>
  <si>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</si>
  <si>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</si>
  <si>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</si>
  <si>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</si>
  <si>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</si>
  <si>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</si>
  <si>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</si>
  <si>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</si>
  <si>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</si>
  <si>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</si>
  <si>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</si>
  <si>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</si>
  <si>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</si>
  <si>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</si>
  <si>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</si>
  <si>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</si>
  <si>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</si>
  <si>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</si>
  <si>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</si>
  <si>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</si>
  <si>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</si>
  <si>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</si>
  <si>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</si>
  <si>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</si>
  <si>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</si>
  <si>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</si>
  <si>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</si>
  <si>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</si>
  <si>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</si>
  <si>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</si>
  <si>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</si>
  <si>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</si>
  <si>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</si>
  <si>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</si>
  <si>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</si>
  <si>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</si>
  <si>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</si>
  <si>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</si>
  <si>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</si>
  <si>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</si>
  <si>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</si>
  <si>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</si>
  <si>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</si>
  <si>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</si>
  <si>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</si>
  <si>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</si>
  <si>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</si>
  <si>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</si>
  <si>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</si>
  <si>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</si>
  <si>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</si>
  <si>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</si>
  <si>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</si>
  <si>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</si>
  <si>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</si>
  <si>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</si>
  <si>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</si>
  <si>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</si>
  <si>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</si>
  <si>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</si>
  <si>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</si>
  <si>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</si>
  <si>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</si>
  <si>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</si>
  <si>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</si>
  <si>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</si>
  <si>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</si>
  <si>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</si>
  <si>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</si>
  <si>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</si>
  <si>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</si>
  <si>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</si>
  <si>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</si>
  <si>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</si>
  <si>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</si>
  <si>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</si>
  <si>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</si>
  <si>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</si>
  <si>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</si>
  <si>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</si>
  <si>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</si>
  <si>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</si>
  <si>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</si>
  <si>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</si>
  <si>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</si>
  <si>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</si>
  <si>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</si>
  <si>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</si>
  <si>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</si>
  <si>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</si>
  <si>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</si>
  <si>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</si>
  <si>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</si>
  <si>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</si>
  <si>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</si>
  <si>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</si>
  <si>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</si>
  <si>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</si>
  <si>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</si>
  <si>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</si>
  <si>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</si>
  <si>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</si>
  <si>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</si>
  <si>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</si>
  <si>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</si>
  <si>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</si>
  <si>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</si>
  <si>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</si>
  <si>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</si>
  <si>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</si>
  <si>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</si>
  <si>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</si>
  <si>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</si>
  <si>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</si>
  <si>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</si>
  <si>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</si>
  <si>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</si>
  <si>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</si>
  <si>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</si>
  <si>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</si>
  <si>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</si>
  <si>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</si>
  <si>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</si>
  <si>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</si>
  <si>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</si>
  <si>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</si>
  <si>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</si>
  <si>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</si>
  <si>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</si>
  <si>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</si>
  <si>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</si>
  <si>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</si>
  <si>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</si>
  <si>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</si>
  <si>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</si>
  <si>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</si>
  <si>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</si>
  <si>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</si>
  <si>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</si>
  <si>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</si>
  <si>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</si>
  <si>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</si>
  <si>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</si>
  <si>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</si>
  <si>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</si>
  <si>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</si>
  <si>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</si>
  <si>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</si>
  <si>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</si>
  <si>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</si>
  <si>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</si>
  <si>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</si>
  <si>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</si>
  <si>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Warr</t>
  </si>
  <si>
    <t>JJ</t>
  </si>
  <si>
    <t>Overton</t>
  </si>
  <si>
    <t>Dee</t>
  </si>
  <si>
    <t>Barnes</t>
  </si>
  <si>
    <t>Brigham</t>
  </si>
  <si>
    <t>Bateman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</si>
</sst>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3" workbookViewId="0">
      <selection activeCell="I22" sqref="I22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271</v>
      </c>
      <c r="F1" t="s">
        <v>9</v>
      </c>
      <c r="G1" t="str">
        <f>'Stats G2'!B3</f>
        <v>Dastrop</v>
      </c>
    </row>
    <row r="2" spans="2:12" x14ac:dyDescent="0.25">
      <c r="B2" t="str">
        <f>G1</f>
        <v>Dastrop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102</v>
      </c>
      <c r="C3" s="3" t="s">
        <v>15</v>
      </c>
      <c r="D3" s="4">
        <f>I37</f>
        <v>110</v>
      </c>
      <c r="F3" t="str">
        <f>'Stats G2'!A5</f>
        <v>Taylor</v>
      </c>
      <c r="G3" t="str">
        <f>'Stats G2'!B5</f>
        <v>Miller</v>
      </c>
      <c r="H3">
        <f>'Stats G2'!C5</f>
        <v>0</v>
      </c>
      <c r="I3">
        <f>'Stats G2'!H5*2+'Stats G2'!N5*3+'Stats G2'!T5</f>
        <v>15</v>
      </c>
      <c r="J3" t="str">
        <f>SUM('Stats G2'!N5+'Stats G2'!H5)&amp;"-"&amp;SUM('Stats G2'!E5+'Stats G2'!K5)</f>
        <v>7-14</v>
      </c>
      <c r="K3" t="str">
        <f>SUM('Stats G2'!N5)&amp;"-"&amp;SUM('Stats G2'!K5)</f>
        <v>1-4</v>
      </c>
      <c r="L3" t="str">
        <f>SUM('Stats G2'!T5)&amp;"-"&amp;SUM('Stats G2'!Q5)</f>
        <v>0-0</v>
      </c>
    </row>
    <row r="4" spans="2:12" x14ac:dyDescent="0.25">
      <c r="F4" t="str">
        <f>'Stats G2'!A6</f>
        <v>Quae</v>
      </c>
      <c r="G4" t="str">
        <f>'Stats G2'!B6</f>
        <v>Furlow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5">
      <c r="F5" t="str">
        <f>'Stats G2'!A7</f>
        <v>Jordan</v>
      </c>
      <c r="G5" t="str">
        <f>'Stats G2'!B7</f>
        <v>Gazdik</v>
      </c>
      <c r="H5">
        <f>'Stats G2'!C7</f>
        <v>2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5">
      <c r="F6" t="str">
        <f>'Stats G2'!A8</f>
        <v>Dee</v>
      </c>
      <c r="G6" t="str">
        <f>'Stats G2'!B8</f>
        <v>Barnes</v>
      </c>
      <c r="H6">
        <f>'Stats G2'!C8</f>
        <v>3</v>
      </c>
      <c r="I6">
        <f>'Stats G2'!H8*2+'Stats G2'!N8*3+'Stats G2'!T8</f>
        <v>26</v>
      </c>
      <c r="J6" t="str">
        <f>SUM('Stats G2'!N8+'Stats G2'!H8)&amp;"-"&amp;SUM('Stats G2'!E8+'Stats G2'!K8)</f>
        <v>12-24</v>
      </c>
      <c r="K6" t="str">
        <f>SUM('Stats G2'!N8)&amp;"-"&amp;SUM('Stats G2'!K8)</f>
        <v>2-11</v>
      </c>
      <c r="L6" t="str">
        <f>SUM('Stats G2'!T8)&amp;"-"&amp;SUM('Stats G2'!Q8)</f>
        <v>0-1</v>
      </c>
    </row>
    <row r="7" spans="2:12" x14ac:dyDescent="0.25">
      <c r="F7" t="str">
        <f>'Stats G2'!A9</f>
        <v>Chris</v>
      </c>
      <c r="G7" t="str">
        <f>'Stats G2'!B9</f>
        <v>Seeley</v>
      </c>
      <c r="H7">
        <f>'Stats G2'!C9</f>
        <v>4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5">
      <c r="F8" t="str">
        <f>'Stats G2'!A10</f>
        <v>Kylor</v>
      </c>
      <c r="G8" t="str">
        <f>'Stats G2'!B10</f>
        <v>Kelley</v>
      </c>
      <c r="H8">
        <f>'Stats G2'!C10</f>
        <v>6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5">
      <c r="F9" t="str">
        <f>'Stats G2'!A11</f>
        <v>Hunter</v>
      </c>
      <c r="G9" t="str">
        <f>'Stats G2'!B11</f>
        <v>Erickson</v>
      </c>
      <c r="H9">
        <f>'Stats G2'!C11</f>
        <v>10</v>
      </c>
      <c r="I9">
        <f>'Stats G2'!H11*2+'Stats G2'!N11*3+'Stats G2'!T11</f>
        <v>17</v>
      </c>
      <c r="J9" t="str">
        <f>SUM('Stats G2'!N11+'Stats G2'!H11)&amp;"-"&amp;SUM('Stats G2'!E11+'Stats G2'!K11)</f>
        <v>8-14</v>
      </c>
      <c r="K9" t="str">
        <f>SUM('Stats G2'!N11)&amp;"-"&amp;SUM('Stats G2'!K11)</f>
        <v>0-4</v>
      </c>
      <c r="L9" t="str">
        <f>SUM('Stats G2'!T11)&amp;"-"&amp;SUM('Stats G2'!Q11)</f>
        <v>1-1</v>
      </c>
    </row>
    <row r="10" spans="2:12" x14ac:dyDescent="0.25">
      <c r="F10" t="str">
        <f>'Stats G2'!A12</f>
        <v>JJ</v>
      </c>
      <c r="G10" t="str">
        <f>'Stats G2'!B12</f>
        <v>Overton</v>
      </c>
      <c r="H10">
        <f>'Stats G2'!C12</f>
        <v>10</v>
      </c>
      <c r="I10">
        <f>'Stats G2'!H12*2+'Stats G2'!N12*3+'Stats G2'!T12</f>
        <v>17</v>
      </c>
      <c r="J10" t="str">
        <f>SUM('Stats G2'!N12+'Stats G2'!H12)&amp;"-"&amp;SUM('Stats G2'!E12+'Stats G2'!K12)</f>
        <v>7-21</v>
      </c>
      <c r="K10" t="str">
        <f>SUM('Stats G2'!N12)&amp;"-"&amp;SUM('Stats G2'!K12)</f>
        <v>0-7</v>
      </c>
      <c r="L10" t="str">
        <f>SUM('Stats G2'!T12)&amp;"-"&amp;SUM('Stats G2'!Q12)</f>
        <v>3-4</v>
      </c>
    </row>
    <row r="11" spans="2:12" x14ac:dyDescent="0.25">
      <c r="F11" t="str">
        <f>'Stats G2'!A13</f>
        <v>Mckay</v>
      </c>
      <c r="G11" t="str">
        <f>'Stats G2'!B13</f>
        <v>Johnson</v>
      </c>
      <c r="H11">
        <f>'Stats G2'!C13</f>
        <v>13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5">
      <c r="F12" t="str">
        <f>'Stats G2'!A14</f>
        <v>Khalil</v>
      </c>
      <c r="G12" t="str">
        <f>'Stats G2'!B14</f>
        <v>Ahmad</v>
      </c>
      <c r="H12">
        <f>'Stats G2'!C14</f>
        <v>14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5">
      <c r="F13" t="str">
        <f>'Stats G2'!A15</f>
        <v>Brigham</v>
      </c>
      <c r="G13" t="str">
        <f>'Stats G2'!B15</f>
        <v>Bateman</v>
      </c>
      <c r="H13">
        <f>'Stats G2'!C15</f>
        <v>15</v>
      </c>
      <c r="I13">
        <f>'Stats G2'!H15*2+'Stats G2'!N15*3+'Stats G2'!T15</f>
        <v>8</v>
      </c>
      <c r="J13" t="str">
        <f>SUM('Stats G2'!N15+'Stats G2'!H15)&amp;"-"&amp;SUM('Stats G2'!E15+'Stats G2'!K15)</f>
        <v>3-6</v>
      </c>
      <c r="K13" t="str">
        <f>SUM('Stats G2'!N15)&amp;"-"&amp;SUM('Stats G2'!K15)</f>
        <v>1-4</v>
      </c>
      <c r="L13" t="str">
        <f>SUM('Stats G2'!T15)&amp;"-"&amp;SUM('Stats G2'!Q15)</f>
        <v>1-2</v>
      </c>
    </row>
    <row r="14" spans="2:12" x14ac:dyDescent="0.25">
      <c r="F14" t="str">
        <f>'Stats G2'!A16</f>
        <v>John</v>
      </c>
      <c r="G14" t="str">
        <f>'Stats G2'!B16</f>
        <v>Bennett</v>
      </c>
      <c r="H14">
        <f>'Stats G2'!C16</f>
        <v>22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5">
      <c r="F15" t="str">
        <f>'Stats G2'!A17</f>
        <v xml:space="preserve">Caleb </v>
      </c>
      <c r="G15" t="str">
        <f>'Stats G2'!B17</f>
        <v>Lohner</v>
      </c>
      <c r="H15">
        <f>'Stats G2'!C17</f>
        <v>33</v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5">
      <c r="F16" t="str">
        <f>'Stats G2'!A18</f>
        <v>Johnny</v>
      </c>
      <c r="G16" t="str">
        <f>'Stats G2'!B18</f>
        <v>Dupre</v>
      </c>
      <c r="H16">
        <f>'Stats G2'!C18</f>
        <v>41</v>
      </c>
      <c r="I16">
        <f>'Stats G2'!H18*2+'Stats G2'!N18*3+'Stats G2'!T18</f>
        <v>2</v>
      </c>
      <c r="J16" t="str">
        <f>SUM('Stats G2'!N18+'Stats G2'!H18)&amp;"-"&amp;SUM('Stats G2'!E18+'Stats G2'!K18)</f>
        <v>1-1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Brandon</v>
      </c>
      <c r="G17" t="str">
        <f>'Stats G2'!B19</f>
        <v>Warr</v>
      </c>
      <c r="H17">
        <f>'Stats G2'!C19</f>
        <v>45</v>
      </c>
      <c r="I17">
        <f>'Stats G2'!H19*2+'Stats G2'!N19*3+'Stats G2'!T19</f>
        <v>17</v>
      </c>
      <c r="J17" t="str">
        <f>SUM('Stats G2'!N19+'Stats G2'!H19)&amp;"-"&amp;SUM('Stats G2'!E19+'Stats G2'!K19)</f>
        <v>5-10</v>
      </c>
      <c r="K17" t="str">
        <f>SUM('Stats G2'!N19)&amp;"-"&amp;SUM('Stats G2'!K19)</f>
        <v>3-8</v>
      </c>
      <c r="L17" t="str">
        <f>SUM('Stats G2'!T19)&amp;"-"&amp;SUM('Stats G2'!Q19)</f>
        <v>4-4</v>
      </c>
    </row>
    <row r="18" spans="6:12" x14ac:dyDescent="0.25">
      <c r="H18" s="2" t="s">
        <v>14</v>
      </c>
      <c r="I18">
        <f>SUM(I3:I17)</f>
        <v>102</v>
      </c>
      <c r="J18" t="str">
        <f>SUM('Stats G2'!N20+'Stats G2'!H20)&amp;"-"&amp;SUM('Stats G2'!E20+'Stats G2'!K20)</f>
        <v>43-90</v>
      </c>
      <c r="K18" t="str">
        <f>SUM('Stats G2'!N20)&amp;"-"&amp;SUM('Stats G2'!K20)</f>
        <v>7-38</v>
      </c>
      <c r="L18" t="str">
        <f>SUM('Stats G2'!T20)&amp;"-"&amp;SUM('Stats G2'!Q20)</f>
        <v>9-12</v>
      </c>
    </row>
    <row r="20" spans="6:12" x14ac:dyDescent="0.25">
      <c r="F20" t="s">
        <v>13</v>
      </c>
      <c r="G20" t="str">
        <f>'Stats G2'!B21</f>
        <v>Fulton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G2'!H23*2+'Stats G2'!N23*3+'Stats G2'!T23</f>
        <v>8</v>
      </c>
      <c r="J22" t="str">
        <f>SUM('Stats G2'!N23+'Stats G2'!H23)&amp;"-"&amp;SUM('Stats G2'!E23+'Stats G2'!K23)</f>
        <v>4-12</v>
      </c>
      <c r="K22" t="str">
        <f>SUM('Stats G2'!N23)&amp;"-"&amp;SUM('Stats G2'!K23)</f>
        <v>0-5</v>
      </c>
      <c r="L22" t="str">
        <f>SUM('Stats G2'!T23)&amp;"-"&amp;SUM('Stats G2'!Q23)</f>
        <v>0-0</v>
      </c>
    </row>
    <row r="23" spans="6:12" x14ac:dyDescent="0.25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G2'!H24*2+'Stats G2'!N24*3+'Stats G2'!T24</f>
        <v>17</v>
      </c>
      <c r="J23" t="str">
        <f>SUM('Stats G2'!N24+'Stats G2'!H24)&amp;"-"&amp;SUM('Stats G2'!E24+'Stats G2'!K24)</f>
        <v>7-14</v>
      </c>
      <c r="K23" t="str">
        <f>SUM('Stats G2'!N24)&amp;"-"&amp;SUM('Stats G2'!K24)</f>
        <v>3-7</v>
      </c>
      <c r="L23" t="str">
        <f>SUM('Stats G2'!T24)&amp;"-"&amp;SUM('Stats G2'!Q24)</f>
        <v>0-1</v>
      </c>
    </row>
    <row r="24" spans="6:12" x14ac:dyDescent="0.25">
      <c r="F24" t="str">
        <f>'Stats G2'!A25</f>
        <v xml:space="preserve">Conner </v>
      </c>
      <c r="G24" t="str">
        <f>'Stats G2'!B25</f>
        <v>Toolson</v>
      </c>
      <c r="H24">
        <f>'Stats G2'!C25</f>
        <v>5</v>
      </c>
      <c r="I24">
        <f>'Stats G2'!H25*2+'Stats G2'!N25*3+'Stats G2'!T25</f>
        <v>0</v>
      </c>
      <c r="J24" t="str">
        <f>SUM('Stats G2'!N25+'Stats G2'!H25)&amp;"-"&amp;SUM('Stats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5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G2'!H26*2+'Stats G2'!N26*3+'Stats G2'!T26</f>
        <v>38</v>
      </c>
      <c r="J25" t="str">
        <f>SUM('Stats G2'!N26+'Stats G2'!H26)&amp;"-"&amp;SUM('Stats G2'!E26+'Stats G2'!K26)</f>
        <v>13-22</v>
      </c>
      <c r="K25" t="str">
        <f>SUM('Stats G2'!N26)&amp;"-"&amp;SUM('Stats G2'!K26)</f>
        <v>4-7</v>
      </c>
      <c r="L25" t="str">
        <f>SUM('Stats G2'!T26)&amp;"-"&amp;SUM('Stats G2'!Q26)</f>
        <v>8-8</v>
      </c>
    </row>
    <row r="26" spans="6:12" x14ac:dyDescent="0.25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G2'!H27*2+'Stats G2'!N27*3+'Stats G2'!T27</f>
        <v>23</v>
      </c>
      <c r="J26" t="str">
        <f>SUM('Stats G2'!N27+'Stats G2'!H27)&amp;"-"&amp;SUM('Stats G2'!E27+'Stats G2'!K27)</f>
        <v>10-20</v>
      </c>
      <c r="K26" t="str">
        <f>SUM('Stats G2'!N27)&amp;"-"&amp;SUM('Stats G2'!K27)</f>
        <v>3-7</v>
      </c>
      <c r="L26" t="str">
        <f>SUM('Stats G2'!T27)&amp;"-"&amp;SUM('Stats G2'!Q27)</f>
        <v>0-0</v>
      </c>
    </row>
    <row r="27" spans="6:12" x14ac:dyDescent="0.25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5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G2'!H29*2+'Stats G2'!N29*3+'Stats G2'!T29</f>
        <v>11</v>
      </c>
      <c r="J28" t="str">
        <f>SUM('Stats G2'!N29+'Stats G2'!H29)&amp;"-"&amp;SUM('Stats G2'!E29+'Stats G2'!K29)</f>
        <v>4-14</v>
      </c>
      <c r="K28" t="str">
        <f>SUM('Stats G2'!N29)&amp;"-"&amp;SUM('Stats G2'!K29)</f>
        <v>1-8</v>
      </c>
      <c r="L28" t="str">
        <f>SUM('Stats G2'!T29)&amp;"-"&amp;SUM('Stats G2'!Q29)</f>
        <v>2-2</v>
      </c>
    </row>
    <row r="29" spans="6:12" x14ac:dyDescent="0.25">
      <c r="F29" t="str">
        <f>'Stats G2'!A30</f>
        <v>Trevor</v>
      </c>
      <c r="G29" t="str">
        <f>'Stats G2'!B30</f>
        <v>Thompson</v>
      </c>
      <c r="H29">
        <f>'Stats G2'!C30</f>
        <v>23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5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G2'!H31*2+'Stats G2'!N31*3+'Stats G2'!T31</f>
        <v>13</v>
      </c>
      <c r="J30" t="str">
        <f>SUM('Stats G2'!N31+'Stats G2'!H31)&amp;"-"&amp;SUM('Stats G2'!E31+'Stats G2'!K31)</f>
        <v>5-14</v>
      </c>
      <c r="K30" t="str">
        <f>SUM('Stats G2'!N31)&amp;"-"&amp;SUM('Stats G2'!K31)</f>
        <v>3-10</v>
      </c>
      <c r="L30" t="str">
        <f>SUM('Stats G2'!T31)&amp;"-"&amp;SUM('Stats G2'!Q31)</f>
        <v>0-0</v>
      </c>
    </row>
    <row r="31" spans="6:12" x14ac:dyDescent="0.25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5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5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5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5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5">
      <c r="H37" s="2" t="s">
        <v>14</v>
      </c>
      <c r="I37">
        <f>SUM(I22:I36)</f>
        <v>110</v>
      </c>
      <c r="J37" t="str">
        <f>SUM('Stats G2'!N38+'Stats G2'!H38)&amp;"-"&amp;SUM('Stats G2'!E38+'Stats G2'!K38)</f>
        <v>43-96</v>
      </c>
      <c r="K37" t="str">
        <f>SUM('Stats G2'!N38)&amp;"-"&amp;SUM('Stats G2'!K38)</f>
        <v>14-44</v>
      </c>
      <c r="L37" t="str">
        <f>SUM('Stats G2'!T38)&amp;"-"&amp;SUM('Stats G2'!Q38)</f>
        <v>10-11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8" workbookViewId="0">
      <selection activeCell="I21" sqref="I21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24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10</v>
      </c>
      <c r="F5" s="5"/>
      <c r="G5" s="5"/>
      <c r="H5" s="5">
        <v>6</v>
      </c>
      <c r="I5" s="5"/>
      <c r="J5" s="5"/>
      <c r="K5" s="5">
        <v>4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5">
      <c r="A8" s="6" t="s">
        <v>278</v>
      </c>
      <c r="B8" s="6" t="s">
        <v>279</v>
      </c>
      <c r="C8" s="6">
        <f>_xlfn.IFNA(VLOOKUP($B$3&amp;ROWS($C$5:C8),Rosters!$B$2:$E$162,4,0),"")</f>
        <v>3</v>
      </c>
      <c r="E8" s="6">
        <v>13</v>
      </c>
      <c r="H8" s="6">
        <v>10</v>
      </c>
      <c r="K8" s="6">
        <v>11</v>
      </c>
      <c r="N8" s="6">
        <v>2</v>
      </c>
      <c r="Q8" s="6">
        <v>1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10</v>
      </c>
      <c r="F11" s="5"/>
      <c r="G11" s="5"/>
      <c r="H11" s="5">
        <v>8</v>
      </c>
      <c r="I11" s="5"/>
      <c r="J11" s="5"/>
      <c r="K11" s="5">
        <v>4</v>
      </c>
      <c r="L11" s="5"/>
      <c r="M11" s="5"/>
      <c r="N11" s="5">
        <v>0</v>
      </c>
      <c r="O11" s="5"/>
      <c r="P11" s="5"/>
      <c r="Q11" s="5">
        <v>1</v>
      </c>
      <c r="R11" s="5"/>
      <c r="S11" s="5"/>
      <c r="T11" s="5">
        <v>1</v>
      </c>
      <c r="U11" s="5"/>
    </row>
    <row r="12" spans="1:21" s="6" customFormat="1" x14ac:dyDescent="0.25">
      <c r="A12" s="6" t="s">
        <v>276</v>
      </c>
      <c r="B12" s="6" t="s">
        <v>277</v>
      </c>
      <c r="C12" s="6">
        <v>10</v>
      </c>
      <c r="E12" s="6">
        <v>14</v>
      </c>
      <c r="H12" s="6">
        <v>7</v>
      </c>
      <c r="K12" s="6">
        <v>7</v>
      </c>
      <c r="N12" s="6">
        <v>0</v>
      </c>
      <c r="Q12" s="6">
        <v>4</v>
      </c>
      <c r="T12" s="6">
        <v>3</v>
      </c>
    </row>
    <row r="13" spans="1:21" s="6" customFormat="1" x14ac:dyDescent="0.25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">
        <v>280</v>
      </c>
      <c r="B15" s="5" t="s">
        <v>281</v>
      </c>
      <c r="C15" s="5">
        <f>_xlfn.IFNA(VLOOKUP($B$3&amp;ROWS($C$5:C15),Rosters!$B$2:$E$162,4,0),"")</f>
        <v>15</v>
      </c>
      <c r="D15" s="5"/>
      <c r="E15" s="5">
        <v>2</v>
      </c>
      <c r="F15" s="5"/>
      <c r="G15" s="5"/>
      <c r="H15" s="5">
        <v>2</v>
      </c>
      <c r="I15" s="5"/>
      <c r="J15" s="5"/>
      <c r="K15" s="5">
        <v>4</v>
      </c>
      <c r="L15" s="5"/>
      <c r="M15" s="5"/>
      <c r="N15" s="5">
        <v>1</v>
      </c>
      <c r="O15" s="5"/>
      <c r="P15" s="5"/>
      <c r="Q15" s="5">
        <v>2</v>
      </c>
      <c r="R15" s="5"/>
      <c r="S15" s="5"/>
      <c r="T15" s="5">
        <v>1</v>
      </c>
      <c r="U15" s="5"/>
    </row>
    <row r="16" spans="1:21" s="6" customFormat="1" x14ac:dyDescent="0.25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 xml:space="preserve">Caleb 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1</v>
      </c>
      <c r="H18" s="6">
        <v>1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">
        <v>74</v>
      </c>
      <c r="B19" s="5" t="s">
        <v>275</v>
      </c>
      <c r="C19" s="5">
        <v>45</v>
      </c>
      <c r="D19" s="5"/>
      <c r="E19" s="5">
        <v>2</v>
      </c>
      <c r="F19" s="5"/>
      <c r="G19" s="5"/>
      <c r="H19" s="5">
        <v>2</v>
      </c>
      <c r="I19" s="5"/>
      <c r="J19" s="5"/>
      <c r="K19" s="5">
        <v>8</v>
      </c>
      <c r="L19" s="5"/>
      <c r="M19" s="5"/>
      <c r="N19" s="5">
        <v>3</v>
      </c>
      <c r="O19" s="5"/>
      <c r="P19" s="5"/>
      <c r="Q19" s="5">
        <v>4</v>
      </c>
      <c r="R19" s="5"/>
      <c r="S19" s="5"/>
      <c r="T19" s="5">
        <v>4</v>
      </c>
      <c r="U19" s="5"/>
    </row>
    <row r="20" spans="1:21" x14ac:dyDescent="0.25">
      <c r="E20">
        <f>SUM(E5:E19)</f>
        <v>52</v>
      </c>
      <c r="H20">
        <f>SUM(H5:H19)</f>
        <v>36</v>
      </c>
      <c r="K20">
        <f>SUM(K5:K19)</f>
        <v>38</v>
      </c>
      <c r="N20">
        <f>SUM(N5:N19)</f>
        <v>7</v>
      </c>
      <c r="Q20">
        <f>SUM(Q5:Q19)</f>
        <v>12</v>
      </c>
      <c r="T20">
        <f>SUM(T5:T19)</f>
        <v>9</v>
      </c>
    </row>
    <row r="21" spans="1:21" x14ac:dyDescent="0.25">
      <c r="A21" s="2" t="s">
        <v>17</v>
      </c>
      <c r="B21" s="1" t="s">
        <v>28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7</v>
      </c>
      <c r="F23" s="5"/>
      <c r="G23" s="5"/>
      <c r="H23" s="5">
        <v>4</v>
      </c>
      <c r="I23" s="5"/>
      <c r="J23" s="5"/>
      <c r="K23" s="5">
        <v>5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5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7</v>
      </c>
      <c r="H24" s="6">
        <v>4</v>
      </c>
      <c r="K24" s="6">
        <v>7</v>
      </c>
      <c r="N24" s="6">
        <v>3</v>
      </c>
      <c r="Q24" s="6">
        <v>1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 xml:space="preserve">Conner 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15</v>
      </c>
      <c r="H26" s="6">
        <v>9</v>
      </c>
      <c r="K26" s="6">
        <v>7</v>
      </c>
      <c r="N26" s="6">
        <v>4</v>
      </c>
      <c r="Q26" s="6">
        <v>8</v>
      </c>
      <c r="T26" s="6">
        <v>8</v>
      </c>
    </row>
    <row r="27" spans="1:21" s="6" customFormat="1" x14ac:dyDescent="0.25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13</v>
      </c>
      <c r="F27" s="5"/>
      <c r="G27" s="5"/>
      <c r="H27" s="5">
        <v>7</v>
      </c>
      <c r="I27" s="5"/>
      <c r="J27" s="5"/>
      <c r="K27" s="5">
        <v>7</v>
      </c>
      <c r="L27" s="5"/>
      <c r="M27" s="5"/>
      <c r="N27" s="5">
        <v>3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6</v>
      </c>
      <c r="F29" s="5"/>
      <c r="G29" s="5"/>
      <c r="H29" s="5">
        <v>3</v>
      </c>
      <c r="I29" s="5"/>
      <c r="J29" s="5"/>
      <c r="K29" s="5">
        <v>8</v>
      </c>
      <c r="L29" s="5"/>
      <c r="M29" s="5"/>
      <c r="N29" s="5">
        <v>1</v>
      </c>
      <c r="O29" s="5"/>
      <c r="P29" s="5"/>
      <c r="Q29" s="5">
        <v>2</v>
      </c>
      <c r="R29" s="5"/>
      <c r="S29" s="5"/>
      <c r="T29" s="5">
        <v>2</v>
      </c>
      <c r="U29" s="5"/>
    </row>
    <row r="30" spans="1:21" s="6" customFormat="1" x14ac:dyDescent="0.25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5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4</v>
      </c>
      <c r="F31" s="5"/>
      <c r="G31" s="5"/>
      <c r="H31" s="5">
        <v>2</v>
      </c>
      <c r="I31" s="5"/>
      <c r="J31" s="5"/>
      <c r="K31" s="5">
        <v>10</v>
      </c>
      <c r="L31" s="5"/>
      <c r="M31" s="5"/>
      <c r="N31" s="5">
        <v>3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52</v>
      </c>
      <c r="H38">
        <f>SUM(H23:H37)</f>
        <v>29</v>
      </c>
      <c r="K38">
        <f>SUM(K23:K37)</f>
        <v>44</v>
      </c>
      <c r="N38">
        <f>SUM(N23:N37)</f>
        <v>14</v>
      </c>
      <c r="Q38">
        <f>SUM(Q23:Q37)</f>
        <v>11</v>
      </c>
      <c r="T38">
        <f>SUM(T23:T37)</f>
        <v>10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2021-07-31T02:50:59Z</dcterms:modified>
</cp:coreProperties>
</file>