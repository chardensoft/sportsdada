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1T155838Z-001/"/>
    </mc:Choice>
  </mc:AlternateContent>
  <xr:revisionPtr revIDLastSave="0" documentId="13_ncr:1_{6CC04F3A-AA65-1444-9C30-6958D6B6B128}" xr6:coauthVersionLast="47" xr6:coauthVersionMax="47" xr10:uidLastSave="{00000000-0000-0000-0000-000000000000}"/>
  <bookViews>
    <workbookView xWindow="9700" yWindow="500" windowWidth="191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M37" i="2"/>
  <c r="L37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N22" i="2"/>
  <c r="M22" i="2"/>
  <c r="L22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3" i="2"/>
  <c r="M3" i="2"/>
  <c r="L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O37" i="2"/>
  <c r="O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H10" i="2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G10" i="2"/>
  <c r="C24" i="1"/>
  <c r="H23" i="2" s="1"/>
  <c r="A30" i="1"/>
  <c r="F29" i="2" s="1"/>
  <c r="G17" i="2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F10" i="2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G6" i="2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F13" i="2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F6" i="2"/>
  <c r="G13" i="2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<sst xmlns="http://schemas.openxmlformats.org/spreadsheetml/2006/main" count="506" uniqueCount="281">
  <si>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</si>
  <si>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</si>
  <si>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</si>
  <si>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</si>
  <si>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</si>
  <si>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</si>
  <si>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</si>
  <si>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</si>
  <si>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</si>
  <si>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</si>
  <si>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</si>
  <si>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</si>
  <si>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</si>
  <si>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</si>
  <si>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</si>
  <si>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</si>
  <si>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</si>
  <si>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</si>
  <si>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</si>
  <si>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</si>
  <si>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</si>
  <si>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</si>
  <si>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</si>
  <si>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</si>
  <si>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</si>
  <si>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</si>
  <si>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</si>
  <si>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</si>
  <si>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</si>
  <si>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</si>
  <si>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</si>
  <si>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</si>
  <si>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</si>
  <si>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</si>
  <si>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</si>
  <si>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</si>
  <si>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</si>
  <si>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</si>
  <si>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</si>
  <si>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</si>
  <si>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</si>
  <si>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</si>
  <si>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</si>
  <si>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</si>
  <si>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</si>
  <si>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</si>
  <si>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</si>
  <si>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</si>
  <si>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</si>
  <si>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</si>
  <si>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</si>
  <si>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</si>
  <si>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</si>
  <si>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</si>
  <si>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</si>
  <si>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</si>
  <si>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</si>
  <si>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</si>
  <si>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</si>
  <si>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</si>
  <si>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</si>
  <si>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</si>
  <si>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</si>
  <si>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</si>
  <si>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</si>
  <si>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</si>
  <si>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</si>
  <si>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</si>
  <si>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</si>
  <si>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</si>
  <si>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</si>
  <si>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</si>
  <si>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</si>
  <si>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</si>
  <si>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</si>
  <si>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</si>
  <si>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</si>
  <si>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</si>
  <si>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</si>
  <si>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</si>
  <si>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</si>
  <si>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</si>
  <si>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</si>
  <si>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</si>
  <si>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</si>
  <si>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</si>
  <si>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</si>
  <si>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</si>
  <si>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</si>
  <si>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</si>
  <si>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</si>
  <si>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</si>
  <si>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</si>
  <si>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</si>
  <si>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</si>
  <si>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</si>
  <si>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</si>
  <si>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</si>
  <si>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</si>
  <si>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</si>
  <si>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</si>
  <si>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</si>
  <si>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</si>
  <si>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</si>
  <si>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</si>
  <si>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</si>
  <si>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</si>
  <si>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</si>
  <si>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</si>
  <si>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</si>
  <si>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</si>
  <si>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</si>
  <si>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</si>
  <si>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</si>
  <si>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</si>
  <si>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</si>
  <si>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</si>
  <si>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</si>
  <si>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</si>
  <si>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</si>
  <si>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</si>
  <si>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</si>
  <si>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</si>
  <si>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</si>
  <si>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</si>
  <si>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</si>
  <si>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</si>
  <si>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</si>
  <si>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</si>
  <si>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</si>
  <si>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</si>
  <si>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</si>
  <si>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</si>
  <si>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</si>
  <si>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</si>
  <si>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</si>
  <si>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</si>
  <si>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</si>
  <si>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</si>
  <si>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</si>
  <si>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</si>
  <si>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</si>
  <si>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</si>
  <si>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</si>
  <si>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</si>
  <si>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</si>
  <si>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</si>
  <si>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</si>
  <si>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</si>
  <si>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</si>
  <si>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</si>
  <si>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</si>
  <si>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</si>
  <si>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</si>
  <si>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</si>
  <si>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</si>
  <si>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</si>
  <si>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</si>
  <si>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</si>
  <si>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</si>
  <si>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</si>
  <si>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</si>
  <si>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</si>
  <si>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</si>
  <si>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</si>
  <si>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</si>
  <si>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</si>
  <si>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</si>
  <si>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</si>
  <si>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</si>
  <si>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</si>
  <si>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</si>
  <si>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</si>
  <si>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</si>
  <si>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</si>
  <si>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</si>
  <si>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</si>
  <si>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</si>
  <si>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</si>
  <si>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</si>
  <si>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</si>
  <si>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</si>
  <si>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</si>
  <si>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</si>
  <si>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</si>
  <si>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</si>
  <si>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</si>
  <si>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</si>
  <si>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</si>
  <si>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</si>
  <si>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</si>
  <si>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</si>
  <si>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</si>
  <si>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</si>
  <si>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</si>
  <si>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</si>
  <si>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</si>
  <si>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</si>
  <si>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</si>
  <si>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</si>
  <si>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</si>
  <si>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</si>
  <si>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</si>
  <si>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</si>
  <si>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</si>
  <si>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</si>
  <si>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</si>
  <si>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</si>
  <si>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</si>
  <si>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</si>
  <si>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</si>
  <si>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</si>
  <si>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</si>
  <si>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</si>
  <si>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</si>
  <si>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</si>
  <si>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</si>
  <si>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</si>
  <si>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</si>
  <si>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</si>
  <si>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</si>
  <si>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</si>
  <si>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</si>
  <si>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</si>
  <si>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</si>
  <si>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</si>
  <si>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</si>
  <si>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</si>
  <si>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</si>
  <si>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</si>
  <si>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</si>
  <si>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</si>
  <si>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</si>
  <si>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</si>
  <si>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</si>
  <si>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</si>
  <si>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</si>
  <si>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</si>
  <si>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</si>
  <si>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</si>
  <si>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</si>
  <si>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</si>
  <si>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</si>
  <si>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</si>
  <si>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</si>
  <si>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</si>
  <si>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</si>
  <si>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</si>
  <si>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</si>
  <si>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</si>
  <si>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</si>
  <si>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</si>
  <si>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</si>
  <si>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</si>
  <si>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</si>
  <si>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</si>
  <si>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</si>
  <si>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</si>
  <si>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</si>
  <si>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</si>
  <si>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</si>
  <si>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</si>
  <si>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</si>
  <si>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</si>
  <si>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</si>
  <si>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</si>
  <si>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</si>
  <si>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</si>
  <si>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</si>
  <si>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Warr</t>
  </si>
  <si>
    <t>JJ</t>
  </si>
  <si>
    <t>Overton</t>
  </si>
  <si>
    <t>Dee</t>
  </si>
  <si>
    <t>Barnes</t>
  </si>
  <si>
    <t>REB</t>
  </si>
  <si>
    <t>STLS</t>
  </si>
  <si>
    <t>PF</t>
  </si>
  <si>
    <t>Brigham</t>
  </si>
  <si>
    <t>Bateman</t>
  </si>
  <si>
    <t>TREB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</si>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</sst>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J19" sqref="J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247</v>
      </c>
      <c r="F1" t="s">
        <v>3</v>
      </c>
      <c r="G1" t="str">
        <f>'Stats G2'!B3</f>
        <v>Dastrop</v>
      </c>
    </row>
    <row r="2" spans="2:15" x14ac:dyDescent="0.2">
      <c r="B2" t="str">
        <f>G1</f>
        <v>Dastrop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248</v>
      </c>
      <c r="J2" t="s">
        <v>279</v>
      </c>
      <c r="K2" t="s">
        <v>280</v>
      </c>
      <c r="L2" t="s">
        <v>243</v>
      </c>
      <c r="M2" t="s">
        <v>244</v>
      </c>
      <c r="N2" t="s">
        <v>276</v>
      </c>
      <c r="O2" t="s">
        <v>246</v>
      </c>
    </row>
    <row r="3" spans="2:15" x14ac:dyDescent="0.2">
      <c r="B3">
        <f>I18</f>
        <v>26</v>
      </c>
      <c r="C3" s="3" t="s">
        <v>6</v>
      </c>
      <c r="D3" s="4">
        <f>J37</f>
        <v>36</v>
      </c>
      <c r="F3" t="str">
        <f>'Stats G2'!A5</f>
        <v>Taylor</v>
      </c>
      <c r="G3" t="str">
        <f>'Stats G2'!B5</f>
        <v>Miller</v>
      </c>
      <c r="H3">
        <f>'Stats G2'!C5</f>
        <v>0</v>
      </c>
      <c r="I3">
        <f>'Stats G2'!E5</f>
        <v>11</v>
      </c>
      <c r="J3">
        <f>'Stats G2'!H5</f>
        <v>11</v>
      </c>
      <c r="K3">
        <f>'Stats G2'!K5</f>
        <v>2</v>
      </c>
      <c r="L3">
        <f>'Stats G2'!N5</f>
        <v>1</v>
      </c>
      <c r="M3">
        <f>'Stats G2'!Q5</f>
        <v>0</v>
      </c>
      <c r="N3">
        <f>'Stats G2'!T5</f>
        <v>0</v>
      </c>
    </row>
    <row r="4" spans="2:15" x14ac:dyDescent="0.2">
      <c r="F4" t="str">
        <f>'Stats G2'!A6</f>
        <v>Quae</v>
      </c>
      <c r="G4" t="str">
        <f>'Stats G2'!B6</f>
        <v>Furlow</v>
      </c>
      <c r="H4">
        <f>'Stats G2'!C6</f>
        <v>1</v>
      </c>
      <c r="I4">
        <f>'Stats G2'!E6</f>
        <v>1</v>
      </c>
      <c r="J4">
        <f>'Stats G2'!H6</f>
        <v>0</v>
      </c>
      <c r="K4">
        <f>'Stats G2'!K6</f>
        <v>0</v>
      </c>
      <c r="L4">
        <f>'Stats G2'!N6</f>
        <v>0</v>
      </c>
      <c r="M4">
        <f>'Stats G2'!Q6</f>
        <v>0</v>
      </c>
      <c r="N4">
        <f>'Stats G2'!T6</f>
        <v>0</v>
      </c>
    </row>
    <row r="5" spans="2:15" x14ac:dyDescent="0.2">
      <c r="F5" t="str">
        <f>'Stats G2'!A7</f>
        <v>Jordan</v>
      </c>
      <c r="G5" t="str">
        <f>'Stats G2'!B7</f>
        <v>Gazdik</v>
      </c>
      <c r="H5">
        <f>'Stats G2'!C7</f>
        <v>2</v>
      </c>
      <c r="I5">
        <f>'Stats G2'!E7</f>
        <v>0</v>
      </c>
      <c r="J5">
        <f>'Stats G2'!H7</f>
        <v>0</v>
      </c>
      <c r="K5">
        <f>'Stats G2'!K7</f>
        <v>1</v>
      </c>
      <c r="L5">
        <f>'Stats G2'!N7</f>
        <v>0</v>
      </c>
      <c r="M5">
        <f>'Stats G2'!Q7</f>
        <v>0</v>
      </c>
      <c r="N5">
        <f>'Stats G2'!T7</f>
        <v>0</v>
      </c>
    </row>
    <row r="6" spans="2:15" x14ac:dyDescent="0.2">
      <c r="F6" t="str">
        <f>'Stats G2'!A8</f>
        <v>Dee</v>
      </c>
      <c r="G6" t="str">
        <f>'Stats G2'!B8</f>
        <v>Barnes</v>
      </c>
      <c r="H6">
        <f>'Stats G2'!C8</f>
        <v>3</v>
      </c>
      <c r="I6">
        <f>'Stats G2'!E8</f>
        <v>4</v>
      </c>
      <c r="J6">
        <f>'Stats G2'!H8</f>
        <v>5</v>
      </c>
      <c r="K6">
        <f>'Stats G2'!K8</f>
        <v>0</v>
      </c>
      <c r="L6">
        <f>'Stats G2'!N8</f>
        <v>1</v>
      </c>
      <c r="M6">
        <f>'Stats G2'!Q8</f>
        <v>2</v>
      </c>
      <c r="N6">
        <f>'Stats G2'!T8</f>
        <v>2</v>
      </c>
    </row>
    <row r="7" spans="2:15" x14ac:dyDescent="0.2">
      <c r="F7" t="str">
        <f>'Stats G2'!A9</f>
        <v>Chris</v>
      </c>
      <c r="G7" t="str">
        <f>'Stats G2'!B9</f>
        <v>Seeley</v>
      </c>
      <c r="H7">
        <f>'Stats G2'!C9</f>
        <v>4</v>
      </c>
      <c r="I7">
        <f>'Stats G2'!E9</f>
        <v>0</v>
      </c>
      <c r="J7">
        <f>'Stats G2'!H9</f>
        <v>0</v>
      </c>
      <c r="K7">
        <f>'Stats G2'!K9</f>
        <v>0</v>
      </c>
      <c r="L7">
        <f>'Stats G2'!N9</f>
        <v>0</v>
      </c>
      <c r="M7">
        <f>'Stats G2'!Q9</f>
        <v>0</v>
      </c>
      <c r="N7">
        <f>'Stats G2'!T9</f>
        <v>0</v>
      </c>
    </row>
    <row r="8" spans="2:15" x14ac:dyDescent="0.2">
      <c r="F8" t="str">
        <f>'Stats G2'!A10</f>
        <v>Kylor</v>
      </c>
      <c r="G8" t="str">
        <f>'Stats G2'!B10</f>
        <v>Kelley</v>
      </c>
      <c r="H8">
        <f>'Stats G2'!C10</f>
        <v>6</v>
      </c>
      <c r="I8">
        <f>'Stats G2'!E10</f>
        <v>0</v>
      </c>
      <c r="J8">
        <f>'Stats G2'!H10</f>
        <v>0</v>
      </c>
      <c r="K8">
        <f>'Stats G2'!K10</f>
        <v>0</v>
      </c>
      <c r="L8">
        <f>'Stats G2'!N10</f>
        <v>0</v>
      </c>
      <c r="M8">
        <f>'Stats G2'!Q10</f>
        <v>0</v>
      </c>
      <c r="N8">
        <f>'Stats G2'!T10</f>
        <v>0</v>
      </c>
    </row>
    <row r="9" spans="2:15" x14ac:dyDescent="0.2">
      <c r="F9" t="str">
        <f>'Stats G2'!A11</f>
        <v>Hunter</v>
      </c>
      <c r="G9" t="str">
        <f>'Stats G2'!B11</f>
        <v>Erickson</v>
      </c>
      <c r="H9">
        <f>'Stats G2'!C11</f>
        <v>10</v>
      </c>
      <c r="I9">
        <f>'Stats G2'!E11</f>
        <v>7</v>
      </c>
      <c r="J9">
        <f>'Stats G2'!H11</f>
        <v>10</v>
      </c>
      <c r="K9">
        <f>'Stats G2'!K11</f>
        <v>1</v>
      </c>
      <c r="L9">
        <f>'Stats G2'!N11</f>
        <v>1</v>
      </c>
      <c r="M9">
        <f>'Stats G2'!Q11</f>
        <v>1</v>
      </c>
      <c r="N9">
        <f>'Stats G2'!T11</f>
        <v>0</v>
      </c>
    </row>
    <row r="10" spans="2:15" x14ac:dyDescent="0.2">
      <c r="F10" t="str">
        <f>'Stats G2'!A12</f>
        <v>JJ</v>
      </c>
      <c r="G10" t="str">
        <f>'Stats G2'!B12</f>
        <v>Overton</v>
      </c>
      <c r="H10">
        <f>'Stats G2'!C12</f>
        <v>10</v>
      </c>
      <c r="I10">
        <f>'Stats G2'!E12</f>
        <v>1</v>
      </c>
      <c r="J10">
        <f>'Stats G2'!H12</f>
        <v>9</v>
      </c>
      <c r="K10">
        <f>'Stats G2'!K12</f>
        <v>0</v>
      </c>
      <c r="L10">
        <f>'Stats G2'!N12</f>
        <v>7</v>
      </c>
      <c r="M10">
        <f>'Stats G2'!Q12</f>
        <v>1</v>
      </c>
      <c r="N10">
        <f>'Stats G2'!T12</f>
        <v>2</v>
      </c>
    </row>
    <row r="11" spans="2:15" x14ac:dyDescent="0.2">
      <c r="F11" t="str">
        <f>'Stats G2'!A13</f>
        <v>Mckay</v>
      </c>
      <c r="G11" t="str">
        <f>'Stats G2'!B13</f>
        <v>Johnson</v>
      </c>
      <c r="H11">
        <f>'Stats G2'!C13</f>
        <v>13</v>
      </c>
      <c r="I11">
        <f>'Stats G2'!E13</f>
        <v>0</v>
      </c>
      <c r="J11">
        <f>'Stats G2'!H13</f>
        <v>1</v>
      </c>
      <c r="K11">
        <f>'Stats G2'!K13</f>
        <v>0</v>
      </c>
      <c r="L11">
        <f>'Stats G2'!N13</f>
        <v>0</v>
      </c>
      <c r="M11">
        <f>'Stats G2'!Q13</f>
        <v>0</v>
      </c>
      <c r="N11">
        <f>'Stats G2'!T13</f>
        <v>0</v>
      </c>
    </row>
    <row r="12" spans="2:15" x14ac:dyDescent="0.2">
      <c r="F12" t="str">
        <f>'Stats G2'!A14</f>
        <v>Khalil</v>
      </c>
      <c r="G12" t="str">
        <f>'Stats G2'!B14</f>
        <v>Ahmad</v>
      </c>
      <c r="H12">
        <f>'Stats G2'!C14</f>
        <v>14</v>
      </c>
      <c r="I12">
        <f>'Stats G2'!E14</f>
        <v>0</v>
      </c>
      <c r="J12">
        <f>'Stats G2'!H14</f>
        <v>0</v>
      </c>
      <c r="K12">
        <f>'Stats G2'!K14</f>
        <v>0</v>
      </c>
      <c r="L12">
        <f>'Stats G2'!N14</f>
        <v>0</v>
      </c>
      <c r="M12">
        <f>'Stats G2'!Q14</f>
        <v>0</v>
      </c>
      <c r="N12">
        <f>'Stats G2'!T14</f>
        <v>0</v>
      </c>
    </row>
    <row r="13" spans="2:15" x14ac:dyDescent="0.2">
      <c r="F13" t="str">
        <f>'Stats G2'!A15</f>
        <v>Brigham</v>
      </c>
      <c r="G13" t="str">
        <f>'Stats G2'!B15</f>
        <v>Bateman</v>
      </c>
      <c r="H13">
        <f>'Stats G2'!C15</f>
        <v>15</v>
      </c>
      <c r="I13">
        <f>'Stats G2'!E15</f>
        <v>0</v>
      </c>
      <c r="J13">
        <f>'Stats G2'!H15</f>
        <v>2</v>
      </c>
      <c r="K13">
        <f>'Stats G2'!K15</f>
        <v>0</v>
      </c>
      <c r="L13">
        <f>'Stats G2'!N15</f>
        <v>0</v>
      </c>
      <c r="M13">
        <f>'Stats G2'!Q15</f>
        <v>0</v>
      </c>
      <c r="N13">
        <f>'Stats G2'!T15</f>
        <v>3</v>
      </c>
    </row>
    <row r="14" spans="2:15" x14ac:dyDescent="0.2">
      <c r="F14" t="str">
        <f>'Stats G2'!A16</f>
        <v>John</v>
      </c>
      <c r="G14" t="str">
        <f>'Stats G2'!B16</f>
        <v>Bennett</v>
      </c>
      <c r="H14">
        <f>'Stats G2'!C16</f>
        <v>22</v>
      </c>
      <c r="I14">
        <f>'Stats G2'!E16</f>
        <v>0</v>
      </c>
      <c r="J14">
        <f>'Stats G2'!H16</f>
        <v>1</v>
      </c>
      <c r="K14">
        <f>'Stats G2'!K16</f>
        <v>0</v>
      </c>
      <c r="L14">
        <f>'Stats G2'!N16</f>
        <v>0</v>
      </c>
      <c r="M14">
        <f>'Stats G2'!Q16</f>
        <v>0</v>
      </c>
      <c r="N14">
        <f>'Stats G2'!T16</f>
        <v>0</v>
      </c>
    </row>
    <row r="15" spans="2:15" x14ac:dyDescent="0.2">
      <c r="F15" t="str">
        <f>'Stats G2'!A17</f>
        <v>Caleb</v>
      </c>
      <c r="G15" t="str">
        <f>'Stats G2'!B17</f>
        <v>Lohner</v>
      </c>
      <c r="H15">
        <f>'Stats G2'!C17</f>
        <v>33</v>
      </c>
      <c r="I15">
        <f>'Stats G2'!E17</f>
        <v>0</v>
      </c>
      <c r="J15">
        <f>'Stats G2'!H17</f>
        <v>0</v>
      </c>
      <c r="K15">
        <f>'Stats G2'!K17</f>
        <v>0</v>
      </c>
      <c r="L15">
        <f>'Stats G2'!N17</f>
        <v>0</v>
      </c>
      <c r="M15">
        <f>'Stats G2'!Q17</f>
        <v>0</v>
      </c>
      <c r="N15">
        <f>'Stats G2'!T17</f>
        <v>0</v>
      </c>
    </row>
    <row r="16" spans="2:15" x14ac:dyDescent="0.2">
      <c r="F16" t="str">
        <f>'Stats G2'!A18</f>
        <v>Johnny</v>
      </c>
      <c r="G16" t="str">
        <f>'Stats G2'!B18</f>
        <v>Dupre</v>
      </c>
      <c r="H16">
        <f>'Stats G2'!C18</f>
        <v>41</v>
      </c>
      <c r="I16">
        <f>'Stats G2'!E18</f>
        <v>0</v>
      </c>
      <c r="J16">
        <f>'Stats G2'!H18</f>
        <v>0</v>
      </c>
      <c r="K16">
        <f>'Stats G2'!K18</f>
        <v>0</v>
      </c>
      <c r="L16">
        <f>'Stats G2'!N18</f>
        <v>0</v>
      </c>
      <c r="M16">
        <f>'Stats G2'!Q18</f>
        <v>0</v>
      </c>
      <c r="N16">
        <f>'Stats G2'!T18</f>
        <v>4</v>
      </c>
    </row>
    <row r="17" spans="6:15" x14ac:dyDescent="0.2">
      <c r="F17" t="str">
        <f>'Stats G2'!A19</f>
        <v>Brandon</v>
      </c>
      <c r="G17" t="str">
        <f>'Stats G2'!B19</f>
        <v>Warr</v>
      </c>
      <c r="H17">
        <f>'Stats G2'!C19</f>
        <v>45</v>
      </c>
      <c r="I17">
        <f>'Stats G2'!E19</f>
        <v>2</v>
      </c>
      <c r="J17">
        <f>'Stats G2'!H19</f>
        <v>11</v>
      </c>
      <c r="K17">
        <f>'Stats G2'!K19</f>
        <v>2</v>
      </c>
      <c r="L17">
        <f>'Stats G2'!N19</f>
        <v>2</v>
      </c>
      <c r="M17">
        <f>'Stats G2'!Q19</f>
        <v>0</v>
      </c>
      <c r="N17">
        <f>'Stats G2'!T19</f>
        <v>3</v>
      </c>
    </row>
    <row r="18" spans="6:15" x14ac:dyDescent="0.2">
      <c r="H18" s="2" t="s">
        <v>5</v>
      </c>
      <c r="I18">
        <f t="shared" ref="I18:N18" si="0">SUM(I3:I17)</f>
        <v>26</v>
      </c>
      <c r="J18">
        <f t="shared" si="0"/>
        <v>50</v>
      </c>
      <c r="K18">
        <f t="shared" si="0"/>
        <v>6</v>
      </c>
      <c r="L18">
        <f t="shared" si="0"/>
        <v>12</v>
      </c>
      <c r="M18">
        <f t="shared" si="0"/>
        <v>4</v>
      </c>
      <c r="N18">
        <f t="shared" si="0"/>
        <v>14</v>
      </c>
      <c r="O18">
        <f>'Stats G2'!W5</f>
        <v>1</v>
      </c>
    </row>
    <row r="20" spans="6:15" x14ac:dyDescent="0.2">
      <c r="F20" t="s">
        <v>4</v>
      </c>
      <c r="G20" t="str">
        <f>'Stats G2'!B21</f>
        <v>Fulton</v>
      </c>
    </row>
    <row r="21" spans="6:15" x14ac:dyDescent="0.2">
      <c r="F21" t="s">
        <v>1</v>
      </c>
      <c r="G21" t="s">
        <v>2</v>
      </c>
      <c r="H21" t="s">
        <v>0</v>
      </c>
      <c r="I21" t="s">
        <v>248</v>
      </c>
      <c r="J21" t="s">
        <v>279</v>
      </c>
      <c r="K21" t="s">
        <v>280</v>
      </c>
      <c r="L21" t="s">
        <v>243</v>
      </c>
      <c r="M21" t="s">
        <v>244</v>
      </c>
      <c r="N21" t="s">
        <v>276</v>
      </c>
      <c r="O21" t="s">
        <v>246</v>
      </c>
    </row>
    <row r="22" spans="6:15" x14ac:dyDescent="0.2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G2'!E23</f>
        <v>0</v>
      </c>
      <c r="J22">
        <f>'Stats G2'!H23</f>
        <v>3</v>
      </c>
      <c r="K22">
        <f>'Stats G2'!K23</f>
        <v>0</v>
      </c>
      <c r="L22">
        <f>'Stats G2'!N23</f>
        <v>2</v>
      </c>
      <c r="M22">
        <f>'Stats G2'!Q23</f>
        <v>0</v>
      </c>
      <c r="N22">
        <f>'Stats G2'!T23</f>
        <v>2</v>
      </c>
    </row>
    <row r="23" spans="6:15" x14ac:dyDescent="0.2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G2'!E24</f>
        <v>3</v>
      </c>
      <c r="J23">
        <f>'Stats G2'!H24</f>
        <v>4</v>
      </c>
      <c r="K23">
        <f>'Stats G2'!K24</f>
        <v>1</v>
      </c>
      <c r="L23">
        <f>'Stats G2'!N24</f>
        <v>1</v>
      </c>
      <c r="M23">
        <f>'Stats G2'!Q24</f>
        <v>0</v>
      </c>
      <c r="N23">
        <f>'Stats G2'!T24</f>
        <v>2</v>
      </c>
    </row>
    <row r="24" spans="6:15" x14ac:dyDescent="0.2">
      <c r="F24" t="str">
        <f>'Stats G2'!A25</f>
        <v>Conner</v>
      </c>
      <c r="G24" t="str">
        <f>'Stats G2'!B25</f>
        <v>Toolson</v>
      </c>
      <c r="H24">
        <f>'Stats G2'!C25</f>
        <v>5</v>
      </c>
      <c r="I24">
        <f>'Stats G2'!E25</f>
        <v>0</v>
      </c>
      <c r="J24">
        <f>'Stats G2'!H25</f>
        <v>0</v>
      </c>
      <c r="K24">
        <f>'Stats G2'!K25</f>
        <v>0</v>
      </c>
      <c r="L24">
        <f>'Stats G2'!N25</f>
        <v>0</v>
      </c>
      <c r="M24">
        <f>'Stats G2'!Q25</f>
        <v>0</v>
      </c>
      <c r="N24">
        <f>'Stats G2'!T25</f>
        <v>0</v>
      </c>
    </row>
    <row r="25" spans="6:15" x14ac:dyDescent="0.2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G2'!E26</f>
        <v>7</v>
      </c>
      <c r="J25">
        <f>'Stats G2'!H26</f>
        <v>5</v>
      </c>
      <c r="K25">
        <f>'Stats G2'!K26</f>
        <v>0</v>
      </c>
      <c r="L25">
        <f>'Stats G2'!N26</f>
        <v>4</v>
      </c>
      <c r="M25">
        <f>'Stats G2'!Q26</f>
        <v>1</v>
      </c>
      <c r="N25">
        <f>'Stats G2'!T26</f>
        <v>4</v>
      </c>
    </row>
    <row r="26" spans="6:15" x14ac:dyDescent="0.2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G2'!E27</f>
        <v>12</v>
      </c>
      <c r="J26">
        <f>'Stats G2'!H27</f>
        <v>13</v>
      </c>
      <c r="K26">
        <f>'Stats G2'!K27</f>
        <v>1</v>
      </c>
      <c r="L26">
        <f>'Stats G2'!N27</f>
        <v>1</v>
      </c>
      <c r="M26">
        <f>'Stats G2'!Q27</f>
        <v>0</v>
      </c>
      <c r="N26">
        <f>'Stats G2'!T27</f>
        <v>0</v>
      </c>
    </row>
    <row r="27" spans="6:15" x14ac:dyDescent="0.2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G2'!E28</f>
        <v>0</v>
      </c>
      <c r="J27">
        <f>'Stats G2'!H28</f>
        <v>0</v>
      </c>
      <c r="K27">
        <f>'Stats G2'!K28</f>
        <v>0</v>
      </c>
      <c r="L27">
        <f>'Stats G2'!N28</f>
        <v>0</v>
      </c>
      <c r="M27">
        <f>'Stats G2'!Q28</f>
        <v>0</v>
      </c>
      <c r="N27">
        <f>'Stats G2'!T28</f>
        <v>0</v>
      </c>
    </row>
    <row r="28" spans="6:15" x14ac:dyDescent="0.2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G2'!E29</f>
        <v>2</v>
      </c>
      <c r="J28">
        <f>'Stats G2'!H29</f>
        <v>6</v>
      </c>
      <c r="K28">
        <f>'Stats G2'!K29</f>
        <v>3</v>
      </c>
      <c r="L28">
        <f>'Stats G2'!N29</f>
        <v>1</v>
      </c>
      <c r="M28">
        <f>'Stats G2'!Q29</f>
        <v>0</v>
      </c>
      <c r="N28">
        <f>'Stats G2'!T29</f>
        <v>1</v>
      </c>
    </row>
    <row r="29" spans="6:15" x14ac:dyDescent="0.2">
      <c r="F29" t="str">
        <f>'Stats G2'!A30</f>
        <v>Trevor</v>
      </c>
      <c r="G29" t="str">
        <f>'Stats G2'!B30</f>
        <v>Thompson</v>
      </c>
      <c r="H29">
        <f>'Stats G2'!C30</f>
        <v>23</v>
      </c>
      <c r="I29">
        <f>'Stats G2'!E30</f>
        <v>0</v>
      </c>
      <c r="J29">
        <f>'Stats G2'!H30</f>
        <v>0</v>
      </c>
      <c r="K29">
        <f>'Stats G2'!K30</f>
        <v>0</v>
      </c>
      <c r="L29">
        <f>'Stats G2'!N30</f>
        <v>0</v>
      </c>
      <c r="M29">
        <f>'Stats G2'!Q30</f>
        <v>0</v>
      </c>
      <c r="N29">
        <f>'Stats G2'!T30</f>
        <v>0</v>
      </c>
    </row>
    <row r="30" spans="6:15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3</v>
      </c>
      <c r="J30">
        <f>'Stats G2'!H31</f>
        <v>5</v>
      </c>
      <c r="K30">
        <f>'Stats G2'!K31</f>
        <v>6</v>
      </c>
      <c r="L30">
        <f>'Stats G2'!N31</f>
        <v>2</v>
      </c>
      <c r="M30">
        <f>'Stats G2'!Q31</f>
        <v>0</v>
      </c>
      <c r="N30">
        <f>'Stats G2'!T31</f>
        <v>1</v>
      </c>
    </row>
    <row r="31" spans="6:15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>'Stats G2'!K32</f>
        <v>0</v>
      </c>
      <c r="L31">
        <f>'Stats G2'!N32</f>
        <v>0</v>
      </c>
      <c r="M31">
        <f>'Stats G2'!Q32</f>
        <v>0</v>
      </c>
      <c r="N31">
        <f>'Stats G2'!T32</f>
        <v>0</v>
      </c>
    </row>
    <row r="32" spans="6:15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  <c r="L32">
        <f>'Stats G2'!N33</f>
        <v>0</v>
      </c>
      <c r="M32">
        <f>'Stats G2'!Q33</f>
        <v>0</v>
      </c>
      <c r="N32">
        <f>'Stats G2'!T33</f>
        <v>0</v>
      </c>
    </row>
    <row r="33" spans="6:15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  <c r="L33">
        <f>'Stats G2'!N34</f>
        <v>0</v>
      </c>
      <c r="M33">
        <f>'Stats G2'!Q34</f>
        <v>0</v>
      </c>
      <c r="N33">
        <f>'Stats G2'!T34</f>
        <v>0</v>
      </c>
    </row>
    <row r="34" spans="6:15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  <c r="L34">
        <f>'Stats G2'!N35</f>
        <v>0</v>
      </c>
      <c r="M34">
        <f>'Stats G2'!Q35</f>
        <v>0</v>
      </c>
      <c r="N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  <c r="L35">
        <f>'Stats G2'!N36</f>
        <v>0</v>
      </c>
      <c r="M35">
        <f>'Stats G2'!Q36</f>
        <v>0</v>
      </c>
      <c r="N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  <c r="L36">
        <f>'Stats G2'!N37</f>
        <v>0</v>
      </c>
      <c r="M36">
        <f>'Stats G2'!Q37</f>
        <v>0</v>
      </c>
      <c r="N36">
        <f>'Stats G2'!T37</f>
        <v>0</v>
      </c>
    </row>
    <row r="37" spans="6:15" x14ac:dyDescent="0.2">
      <c r="H37" s="2" t="s">
        <v>5</v>
      </c>
      <c r="I37">
        <f t="shared" ref="I37:N37" si="1">SUM(I22:I36)</f>
        <v>27</v>
      </c>
      <c r="J37">
        <f t="shared" si="1"/>
        <v>36</v>
      </c>
      <c r="K37">
        <f t="shared" si="1"/>
        <v>11</v>
      </c>
      <c r="L37">
        <f t="shared" si="1"/>
        <v>11</v>
      </c>
      <c r="M37">
        <f t="shared" si="1"/>
        <v>1</v>
      </c>
      <c r="N37">
        <f t="shared" si="1"/>
        <v>10</v>
      </c>
      <c r="O37">
        <f>'Stats G2'!W23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10" zoomScaleNormal="110" workbookViewId="0">
      <selection activeCell="X5" sqref="X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15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274</v>
      </c>
      <c r="K4" t="s">
        <v>275</v>
      </c>
      <c r="N4" t="s">
        <v>243</v>
      </c>
      <c r="Q4" t="s">
        <v>244</v>
      </c>
      <c r="T4" t="s">
        <v>276</v>
      </c>
    </row>
    <row r="5" spans="1:23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11</v>
      </c>
      <c r="F5" s="5"/>
      <c r="G5" s="5"/>
      <c r="H5" s="5">
        <v>11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245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1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">
        <v>272</v>
      </c>
      <c r="B8" s="6" t="s">
        <v>273</v>
      </c>
      <c r="C8" s="6">
        <f>_xlfn.IFNA(VLOOKUP($B$3&amp;ROWS($C$5:C8),Rosters!$B$2:$E$162,4,0),"")</f>
        <v>3</v>
      </c>
      <c r="E8" s="6">
        <v>4</v>
      </c>
      <c r="H8" s="6">
        <v>5</v>
      </c>
      <c r="K8" s="6">
        <v>0</v>
      </c>
      <c r="N8" s="6">
        <v>1</v>
      </c>
      <c r="Q8" s="6">
        <v>2</v>
      </c>
      <c r="T8" s="6">
        <v>2</v>
      </c>
    </row>
    <row r="9" spans="1:23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7</v>
      </c>
      <c r="F11" s="5"/>
      <c r="G11" s="5"/>
      <c r="H11" s="5">
        <v>10</v>
      </c>
      <c r="I11" s="5"/>
      <c r="J11" s="5"/>
      <c r="K11" s="5">
        <v>1</v>
      </c>
      <c r="L11" s="5"/>
      <c r="M11" s="5"/>
      <c r="N11" s="5">
        <v>1</v>
      </c>
      <c r="O11" s="5"/>
      <c r="P11" s="5"/>
      <c r="Q11" s="5">
        <v>1</v>
      </c>
      <c r="R11" s="5"/>
      <c r="S11" s="5"/>
      <c r="T11" s="5">
        <v>0</v>
      </c>
      <c r="U11" s="5"/>
    </row>
    <row r="12" spans="1:23" s="6" customFormat="1" x14ac:dyDescent="0.2">
      <c r="A12" s="6" t="s">
        <v>270</v>
      </c>
      <c r="B12" s="6" t="s">
        <v>271</v>
      </c>
      <c r="C12" s="6">
        <v>10</v>
      </c>
      <c r="E12" s="6">
        <v>1</v>
      </c>
      <c r="H12" s="6">
        <v>9</v>
      </c>
      <c r="K12" s="6">
        <v>0</v>
      </c>
      <c r="N12" s="6">
        <v>7</v>
      </c>
      <c r="Q12" s="6">
        <v>1</v>
      </c>
      <c r="T12" s="6">
        <v>2</v>
      </c>
    </row>
    <row r="13" spans="1:23" s="6" customFormat="1" x14ac:dyDescent="0.2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277</v>
      </c>
      <c r="B15" s="5" t="s">
        <v>278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3</v>
      </c>
      <c r="U15" s="5"/>
    </row>
    <row r="16" spans="1:23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1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Caleb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4</v>
      </c>
    </row>
    <row r="19" spans="1:23" s="6" customFormat="1" x14ac:dyDescent="0.2">
      <c r="A19" s="5" t="s">
        <v>58</v>
      </c>
      <c r="B19" s="5" t="s">
        <v>269</v>
      </c>
      <c r="C19" s="5">
        <v>45</v>
      </c>
      <c r="D19" s="5"/>
      <c r="E19" s="5">
        <v>2</v>
      </c>
      <c r="F19" s="5"/>
      <c r="G19" s="5"/>
      <c r="H19" s="5">
        <v>11</v>
      </c>
      <c r="I19" s="5"/>
      <c r="J19" s="5"/>
      <c r="K19" s="5">
        <v>2</v>
      </c>
      <c r="L19" s="5"/>
      <c r="M19" s="5"/>
      <c r="N19" s="5">
        <v>2</v>
      </c>
      <c r="O19" s="5"/>
      <c r="P19" s="5"/>
      <c r="Q19" s="5">
        <v>0</v>
      </c>
      <c r="R19" s="5"/>
      <c r="S19" s="5"/>
      <c r="T19" s="5">
        <v>3</v>
      </c>
      <c r="U19" s="5"/>
    </row>
    <row r="20" spans="1:23" x14ac:dyDescent="0.2">
      <c r="E20">
        <f>SUM(E5:E19)</f>
        <v>26</v>
      </c>
      <c r="H20">
        <f>SUM(H5:H19)</f>
        <v>50</v>
      </c>
      <c r="K20">
        <f>SUM(K5:K19)</f>
        <v>6</v>
      </c>
      <c r="N20">
        <f>SUM(N5:N19)</f>
        <v>12</v>
      </c>
      <c r="Q20">
        <f>SUM(Q5:Q19)</f>
        <v>4</v>
      </c>
      <c r="T20">
        <f>SUM(T5:T19)</f>
        <v>14</v>
      </c>
    </row>
    <row r="21" spans="1:23" x14ac:dyDescent="0.2">
      <c r="A21" s="2" t="s">
        <v>8</v>
      </c>
      <c r="B21" s="1" t="s">
        <v>19</v>
      </c>
    </row>
    <row r="22" spans="1:23" x14ac:dyDescent="0.2">
      <c r="A22" t="s">
        <v>1</v>
      </c>
      <c r="B22" t="s">
        <v>2</v>
      </c>
      <c r="C22" t="s">
        <v>0</v>
      </c>
      <c r="E22" t="s">
        <v>248</v>
      </c>
      <c r="H22" t="s">
        <v>274</v>
      </c>
      <c r="K22" t="s">
        <v>275</v>
      </c>
      <c r="N22" t="s">
        <v>243</v>
      </c>
      <c r="Q22" t="s">
        <v>244</v>
      </c>
      <c r="T22" t="s">
        <v>276</v>
      </c>
    </row>
    <row r="23" spans="1:23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3</v>
      </c>
      <c r="I23" s="5"/>
      <c r="J23" s="5"/>
      <c r="K23" s="5">
        <v>0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2</v>
      </c>
      <c r="U23" s="5"/>
      <c r="V23" s="6" t="s">
        <v>245</v>
      </c>
      <c r="W23" s="6">
        <v>3</v>
      </c>
    </row>
    <row r="24" spans="1:23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3</v>
      </c>
      <c r="H24" s="6">
        <v>4</v>
      </c>
      <c r="K24" s="6">
        <v>1</v>
      </c>
      <c r="N24" s="6">
        <v>1</v>
      </c>
      <c r="Q24" s="6">
        <v>0</v>
      </c>
      <c r="T24" s="6">
        <v>2</v>
      </c>
    </row>
    <row r="25" spans="1:23" s="6" customFormat="1" x14ac:dyDescent="0.2">
      <c r="A25" s="5" t="str">
        <f>_xlfn.IFNA(VLOOKUP($B$21&amp;ROWS($A$23:A25),Rosters!$B$2:$C$162,2,0),"?")</f>
        <v>Conner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7</v>
      </c>
      <c r="H26" s="6">
        <v>5</v>
      </c>
      <c r="K26" s="6">
        <v>0</v>
      </c>
      <c r="N26" s="6">
        <v>4</v>
      </c>
      <c r="Q26" s="6">
        <v>1</v>
      </c>
      <c r="T26" s="6">
        <v>4</v>
      </c>
    </row>
    <row r="27" spans="1:23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12</v>
      </c>
      <c r="F27" s="5"/>
      <c r="G27" s="5"/>
      <c r="H27" s="5">
        <v>13</v>
      </c>
      <c r="I27" s="5"/>
      <c r="J27" s="5"/>
      <c r="K27" s="5">
        <v>1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2</v>
      </c>
      <c r="F29" s="5"/>
      <c r="G29" s="5"/>
      <c r="H29" s="5">
        <v>6</v>
      </c>
      <c r="I29" s="5"/>
      <c r="J29" s="5"/>
      <c r="K29" s="5">
        <v>3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1</v>
      </c>
      <c r="U29" s="5"/>
    </row>
    <row r="30" spans="1:23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3</v>
      </c>
      <c r="F31" s="5"/>
      <c r="G31" s="5"/>
      <c r="H31" s="5">
        <v>5</v>
      </c>
      <c r="I31" s="5"/>
      <c r="J31" s="5"/>
      <c r="K31" s="5">
        <v>6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1</v>
      </c>
      <c r="U31" s="5"/>
    </row>
    <row r="32" spans="1:23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27</v>
      </c>
      <c r="H38">
        <f>SUM(H23:H37)</f>
        <v>36</v>
      </c>
      <c r="K38">
        <f>SUM(K23:K37)</f>
        <v>11</v>
      </c>
      <c r="N38">
        <f>SUM(N23:N37)</f>
        <v>11</v>
      </c>
      <c r="Q38">
        <f>SUM(Q23:Q37)</f>
        <v>1</v>
      </c>
      <c r="T38">
        <f>SUM(T23:T37)</f>
        <v>10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2021-08-02T03:45:53Z</dcterms:modified>
</cp:coreProperties>
</file>