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F30BDC27-2C6C-2746-B0EC-8AB066620A2E}" xr6:coauthVersionLast="47" xr6:coauthVersionMax="47" xr10:uidLastSave="{00000000-0000-0000-0000-000000000000}"/>
  <bookViews>
    <workbookView xWindow="0" yWindow="500" windowWidth="15900" windowHeight="1592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2" l="1"/>
  <c r="G22" i="2"/>
  <c r="H22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F35" i="2"/>
  <c r="G35" i="2"/>
  <c r="H35" i="2"/>
  <c r="F3" i="2"/>
  <c r="G3" i="2"/>
  <c r="H3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F16" i="2"/>
  <c r="G16" i="2"/>
  <c r="H16" i="2"/>
  <c r="B2" i="3"/>
  <c r="G2" i="3" a="1"/>
  <c r="G2" i="3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101" i="3" l="1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I3" i="2"/>
  <c r="J3" i="2"/>
  <c r="L3" i="2"/>
  <c r="M3" i="2"/>
  <c r="K3" i="2"/>
  <c r="I4" i="2"/>
  <c r="J4" i="2"/>
  <c r="K4" i="2"/>
  <c r="L4" i="2"/>
  <c r="M4" i="2"/>
  <c r="I5" i="2"/>
  <c r="J5" i="2"/>
  <c r="K5" i="2"/>
  <c r="L5" i="2"/>
  <c r="M5" i="2"/>
  <c r="I6" i="2"/>
  <c r="J6" i="2"/>
  <c r="K6" i="2"/>
  <c r="L6" i="2"/>
  <c r="M6" i="2"/>
  <c r="I7" i="2"/>
  <c r="J7" i="2"/>
  <c r="K7" i="2"/>
  <c r="L7" i="2"/>
  <c r="M7" i="2"/>
  <c r="I8" i="2"/>
  <c r="J8" i="2"/>
  <c r="K8" i="2"/>
  <c r="L8" i="2"/>
  <c r="M8" i="2"/>
  <c r="I9" i="2"/>
  <c r="J9" i="2"/>
  <c r="K9" i="2"/>
  <c r="L9" i="2"/>
  <c r="M9" i="2"/>
  <c r="I10" i="2"/>
  <c r="J10" i="2"/>
  <c r="K10" i="2"/>
  <c r="L10" i="2"/>
  <c r="M10" i="2"/>
  <c r="I11" i="2"/>
  <c r="J11" i="2"/>
  <c r="K11" i="2"/>
  <c r="L11" i="2"/>
  <c r="M11" i="2"/>
  <c r="I12" i="2"/>
  <c r="J12" i="2"/>
  <c r="K12" i="2"/>
  <c r="L12" i="2"/>
  <c r="M12" i="2"/>
  <c r="I13" i="2"/>
  <c r="J13" i="2"/>
  <c r="K13" i="2"/>
  <c r="L13" i="2"/>
  <c r="M13" i="2"/>
  <c r="I14" i="2"/>
  <c r="J14" i="2"/>
  <c r="K14" i="2"/>
  <c r="L14" i="2"/>
  <c r="M14" i="2"/>
  <c r="I15" i="2"/>
  <c r="J15" i="2"/>
  <c r="K15" i="2"/>
  <c r="L15" i="2"/>
  <c r="M15" i="2"/>
  <c r="I16" i="2"/>
  <c r="J16" i="2"/>
  <c r="K16" i="2"/>
  <c r="L16" i="2"/>
  <c r="M16" i="2"/>
  <c r="I17" i="2"/>
  <c r="J17" i="2"/>
  <c r="K17" i="2"/>
  <c r="L17" i="2"/>
  <c r="M17" i="2"/>
  <c r="I22" i="2"/>
  <c r="J22" i="2"/>
  <c r="K22" i="2"/>
  <c r="L22" i="2"/>
  <c r="M22" i="2"/>
  <c r="I23" i="2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M37" i="2" l="1"/>
  <c r="I37" i="2"/>
  <c r="I18" i="2"/>
  <c r="M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37" i="2" l="1"/>
  <c r="L37" i="2"/>
  <c r="L18" i="2"/>
  <c r="J37" i="2"/>
  <c r="K18" i="2"/>
  <c r="J18" i="2"/>
  <c r="B89" i="3"/>
  <c r="B90" i="3"/>
  <c r="B91" i="3"/>
  <c r="B92" i="3"/>
  <c r="B93" i="3"/>
  <c r="B94" i="3"/>
  <c r="B95" i="3"/>
  <c r="B96" i="3"/>
  <c r="B97" i="3"/>
  <c r="B98" i="3"/>
  <c r="B99" i="3"/>
  <c r="B100" i="3"/>
  <c r="G20" i="2" l="1"/>
  <c r="D2" i="2" s="1"/>
  <c r="G1" i="2"/>
  <c r="B2" i="2" s="1"/>
  <c r="C19" i="1" l="1"/>
  <c r="H17" i="2" s="1"/>
  <c r="A17" i="1"/>
  <c r="B36" i="1"/>
  <c r="A37" i="1"/>
  <c r="F36" i="2" s="1"/>
  <c r="B19" i="1"/>
  <c r="G17" i="2" s="1"/>
  <c r="A36" i="1"/>
  <c r="A19" i="1"/>
  <c r="F17" i="2" s="1"/>
  <c r="B37" i="1"/>
  <c r="G36" i="2" s="1"/>
  <c r="C18" i="1"/>
  <c r="B18" i="1"/>
  <c r="A18" i="1"/>
  <c r="B17" i="1"/>
  <c r="C36" i="1"/>
  <c r="C37" i="1"/>
  <c r="H36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<sst xmlns="http://schemas.openxmlformats.org/spreadsheetml/2006/main" count="362" uniqueCount="183">
  <si>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</si>
  <si>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</si>
  <si>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</si>
  <si>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</si>
  <si>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</si>
  <si>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</si>
  <si>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</si>
  <si>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</si>
  <si>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</si>
  <si>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</si>
  <si>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</si>
  <si>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</si>
  <si>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</si>
  <si>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</si>
  <si>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</si>
  <si>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</si>
  <si>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</si>
  <si>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</si>
  <si>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</si>
  <si>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</si>
  <si>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</si>
  <si>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</si>
  <si>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</si>
  <si>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</si>
  <si>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</si>
  <si>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</si>
  <si>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</si>
  <si>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</si>
  <si>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Cunningham</t>
  </si>
  <si>
    <t>KJ</t>
  </si>
  <si>
    <t>Team Stan</t>
  </si>
  <si>
    <t>Harmon</t>
  </si>
  <si>
    <t>Justin</t>
  </si>
  <si>
    <t>Gerlach</t>
  </si>
  <si>
    <t>Ibe</t>
  </si>
  <si>
    <t>Furlow</t>
  </si>
  <si>
    <t>Quae</t>
  </si>
  <si>
    <t>Carlon</t>
  </si>
  <si>
    <t>Branden</t>
  </si>
  <si>
    <t>Tucker</t>
  </si>
  <si>
    <t>Rayjon</t>
  </si>
  <si>
    <t>Sneed</t>
  </si>
  <si>
    <t>Xavier</t>
  </si>
  <si>
    <t>Cox</t>
  </si>
  <si>
    <t>Anthony</t>
  </si>
  <si>
    <t>Davy</t>
  </si>
  <si>
    <t>Eli</t>
  </si>
  <si>
    <t>Porter</t>
  </si>
  <si>
    <t>Zahir</t>
  </si>
  <si>
    <t>Bailey</t>
  </si>
  <si>
    <t>Brendan</t>
  </si>
  <si>
    <t>Leach</t>
  </si>
  <si>
    <t>Ronald</t>
  </si>
  <si>
    <t>Anderson</t>
  </si>
  <si>
    <t>Tone</t>
  </si>
  <si>
    <t>Ashworth</t>
  </si>
  <si>
    <t>Steven</t>
  </si>
  <si>
    <t>Team Berger</t>
  </si>
  <si>
    <t>Viko</t>
  </si>
  <si>
    <t>Sly</t>
  </si>
  <si>
    <t>Brandon</t>
  </si>
  <si>
    <t>Jones</t>
  </si>
  <si>
    <t>Rylan</t>
  </si>
  <si>
    <t>Butterfield</t>
  </si>
  <si>
    <t>Spencer</t>
  </si>
  <si>
    <t>Jackson</t>
  </si>
  <si>
    <t>Zavon</t>
  </si>
  <si>
    <t>Brown</t>
  </si>
  <si>
    <t>Peter</t>
  </si>
  <si>
    <t>Seljaas</t>
  </si>
  <si>
    <t>Zac</t>
  </si>
  <si>
    <t>Danny</t>
  </si>
  <si>
    <t>Van Dyke</t>
  </si>
  <si>
    <t>Parker</t>
  </si>
  <si>
    <t>Harris</t>
  </si>
  <si>
    <t>Sean</t>
  </si>
  <si>
    <t>Davis</t>
  </si>
  <si>
    <t>Gerad</t>
  </si>
  <si>
    <t>Team Joyce</t>
  </si>
  <si>
    <t>Velez</t>
  </si>
  <si>
    <t>Sam</t>
  </si>
  <si>
    <t>Troy</t>
  </si>
  <si>
    <t>Evan</t>
  </si>
  <si>
    <t>Harding</t>
  </si>
  <si>
    <t>Connor</t>
  </si>
  <si>
    <t>Farrer</t>
  </si>
  <si>
    <t>Trey</t>
  </si>
  <si>
    <t>Paulos</t>
  </si>
  <si>
    <t>Nic</t>
  </si>
  <si>
    <t>Kelley</t>
  </si>
  <si>
    <t>Kylor</t>
  </si>
  <si>
    <t>Nield</t>
  </si>
  <si>
    <t>Blaze</t>
  </si>
  <si>
    <t>Childs</t>
  </si>
  <si>
    <t>Yoeli</t>
  </si>
  <si>
    <t>Namdar</t>
  </si>
  <si>
    <t>Neema</t>
  </si>
  <si>
    <t>Kuath</t>
  </si>
  <si>
    <t>Kur</t>
  </si>
  <si>
    <t>Goodman</t>
  </si>
  <si>
    <t>Dayon</t>
  </si>
  <si>
    <t>Team Erickson</t>
  </si>
  <si>
    <t>Erickson</t>
  </si>
  <si>
    <t>Hunter</t>
  </si>
  <si>
    <t>Funk</t>
  </si>
  <si>
    <t>Taylor</t>
  </si>
  <si>
    <t>Nixon</t>
  </si>
  <si>
    <t>Dalton</t>
  </si>
  <si>
    <t>Brock</t>
  </si>
  <si>
    <t>George</t>
  </si>
  <si>
    <t>Gideon</t>
  </si>
  <si>
    <t>Greenhalgh</t>
  </si>
  <si>
    <t>Alrek</t>
  </si>
  <si>
    <t>Miller</t>
  </si>
  <si>
    <t>Morris</t>
  </si>
  <si>
    <t>Brenden</t>
  </si>
  <si>
    <t>Team Bullock</t>
  </si>
  <si>
    <t>Barkley</t>
  </si>
  <si>
    <t>Kentrell</t>
  </si>
  <si>
    <t>Burgess</t>
  </si>
  <si>
    <t>Tyler</t>
  </si>
  <si>
    <t>Bullock</t>
  </si>
  <si>
    <t>Thomas</t>
  </si>
  <si>
    <t>Burgon</t>
  </si>
  <si>
    <t>Colton</t>
  </si>
  <si>
    <t>Gallegos</t>
  </si>
  <si>
    <t>Ray</t>
  </si>
  <si>
    <t>Gilson</t>
  </si>
  <si>
    <t>Marqus</t>
  </si>
  <si>
    <t>Nann</t>
  </si>
  <si>
    <t>Charles</t>
  </si>
  <si>
    <t>Zaid</t>
  </si>
  <si>
    <t>Duce</t>
  </si>
  <si>
    <t>Hill</t>
  </si>
  <si>
    <t>Kyndayl</t>
  </si>
  <si>
    <t>Loveridge</t>
  </si>
  <si>
    <t>Jordan</t>
  </si>
  <si>
    <t>Jefferson</t>
  </si>
  <si>
    <t>Tyus</t>
  </si>
  <si>
    <t>Markson</t>
  </si>
  <si>
    <t>Bryant</t>
  </si>
  <si>
    <t>Team Drisdom</t>
  </si>
  <si>
    <t>Chapman</t>
  </si>
  <si>
    <t>Brekott</t>
  </si>
  <si>
    <t>Vai</t>
  </si>
  <si>
    <t>Martinez</t>
  </si>
  <si>
    <t>Zeus</t>
  </si>
  <si>
    <t>Green</t>
  </si>
  <si>
    <t>Shaun</t>
  </si>
  <si>
    <t>Butler</t>
  </si>
  <si>
    <t>Jared</t>
  </si>
  <si>
    <t>Drisdom</t>
  </si>
  <si>
    <t>Terrence</t>
  </si>
  <si>
    <t>Tim</t>
  </si>
  <si>
    <t>Smith</t>
  </si>
  <si>
    <t>Tre</t>
  </si>
  <si>
    <t>Hodges</t>
  </si>
  <si>
    <t>Aubrey</t>
  </si>
  <si>
    <t>Corbin</t>
  </si>
  <si>
    <t>Heiden</t>
  </si>
  <si>
    <t>Jaxon</t>
  </si>
  <si>
    <t>Team Covington</t>
  </si>
  <si>
    <t>Koroma</t>
  </si>
  <si>
    <t>Dwayne</t>
  </si>
  <si>
    <t>Hayhurst</t>
  </si>
  <si>
    <t>Austin</t>
  </si>
  <si>
    <t>Macea</t>
  </si>
  <si>
    <t>Garcia</t>
  </si>
  <si>
    <t>Vasquez</t>
  </si>
  <si>
    <t>Alejandro</t>
  </si>
  <si>
    <t>Covington</t>
  </si>
  <si>
    <t>Nick</t>
  </si>
  <si>
    <t>Brady</t>
  </si>
  <si>
    <t>Cuff</t>
  </si>
  <si>
    <t>Tanner</t>
  </si>
  <si>
    <t>Garff</t>
  </si>
  <si>
    <t>Tyson</t>
  </si>
  <si>
    <t>Pollard</t>
  </si>
  <si>
    <t>Mulibea</t>
  </si>
  <si>
    <t>Andre</t>
  </si>
  <si>
    <t>Team Egan</t>
  </si>
  <si>
    <t>Team Humphreys</t>
  </si>
  <si>
    <t>Team Humphrey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</si>
</sst>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281349</xdr:colOff>
      <xdr:row>20</xdr:row>
      <xdr:rowOff>112213</xdr:rowOff>
    </xdr:from>
    <xdr:to>
      <xdr:col>25</xdr:col>
      <xdr:colOff>307629</xdr:colOff>
      <xdr:row>20</xdr:row>
      <xdr:rowOff>168373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14:cNvPr>
            <xdr14:cNvContentPartPr/>
          </xdr14:nvContentPartPr>
          <xdr14:nvPr macro=""/>
          <xdr14:xfrm>
            <a:off x="12423960" y="3668213"/>
            <a:ext cx="26280" cy="56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8EEC24C-3DE4-8E8C-5D1E-981980576CA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14960" y="3659573"/>
              <a:ext cx="43920" cy="7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208730</xdr:colOff>
      <xdr:row>4</xdr:row>
      <xdr:rowOff>29443</xdr:rowOff>
    </xdr:from>
    <xdr:to>
      <xdr:col>8</xdr:col>
      <xdr:colOff>236450</xdr:colOff>
      <xdr:row>4</xdr:row>
      <xdr:rowOff>66883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14:cNvPr>
            <xdr14:cNvContentPartPr/>
          </xdr14:nvContentPartPr>
          <xdr14:nvPr macro=""/>
          <xdr14:xfrm>
            <a:off x="4812480" y="426318"/>
            <a:ext cx="27720" cy="3744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E8E1A1C-69DE-BA34-3BFC-0285ECEEADB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803480" y="417318"/>
              <a:ext cx="45360" cy="5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6-25T01:17:23.6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52 6729 0 0,'-1'-49'447'0'0,"4"47"-971"0"0,3 6 67 0 0,2 7-95 0 0,0 6-455 0 0,-1 0 0 0 0,6 20 0 0 0,5 14-932 0 0,-9-33 1264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6-25T01:20:19.6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55 760 0 0,'1'-2'27'0'0,"2"-4"9"0"0,-1 0-1 0 0,1 0 1 0 0,0 0-1 0 0,1 0 1 0 0,4-6-1 0 0,-7 12-39 0 0,0-1 0 0 0,0 0 0 0 0,-1 0 0 0 0,1 0 0 0 0,0 0 0 0 0,0 1 1 0 0,0-1-1 0 0,0 0 0 0 0,0 1 0 0 0,0-1 0 0 0,0 1 0 0 0,0-1 0 0 0,0 1 0 0 0,0 0 0 0 0,0-1 0 0 0,0 1 0 0 0,1 0 0 0 0,-1 0 0 0 0,0 0 0 0 0,0-1 1 0 0,0 1-1 0 0,0 0 0 0 0,0 1 0 0 0,1-1 0 0 0,-1 0 0 0 0,0 0 0 0 0,0 0 0 0 0,0 1 0 0 0,0-1 0 0 0,0 1 0 0 0,0-1 0 0 0,0 1 0 0 0,0-1 0 0 0,0 1 1 0 0,0-1-1 0 0,0 1 0 0 0,0 0 0 0 0,1 0 0 0 0,-1 1-5 0 0,0-1-1 0 0,0 1 1 0 0,0-1 0 0 0,0 1 0 0 0,0 0 0 0 0,0-1 0 0 0,0 1-1 0 0,-1 0 1 0 0,1-1 0 0 0,-1 1 0 0 0,1 0 0 0 0,-1 0 0 0 0,0 0-1 0 0,1-1 1 0 0,-1 1 0 0 0,0 0 0 0 0,0 0 0 0 0,0 0-1 0 0,-1 0 1 0 0,1-1 0 0 0,0 1 0 0 0,-1 2 0 0 0,-13 40-175 0 0,10-35-260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I8" sqref="I8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Bullock</v>
      </c>
    </row>
    <row r="2" spans="2:13" x14ac:dyDescent="0.2">
      <c r="B2" t="str">
        <f>G1</f>
        <v>Team Bullock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27</v>
      </c>
    </row>
    <row r="3" spans="2:13" x14ac:dyDescent="0.2">
      <c r="B3">
        <f>I18</f>
        <v>135</v>
      </c>
      <c r="C3" s="3" t="s">
        <v>13</v>
      </c>
      <c r="D3" s="4">
        <f>I37</f>
        <v>99</v>
      </c>
      <c r="F3" t="str">
        <f>'Stats G1'!A5</f>
        <v>Tyus</v>
      </c>
      <c r="G3" t="str">
        <f>'Stats G1'!B5</f>
        <v>Jefferson</v>
      </c>
      <c r="H3">
        <f>'Stats G1'!C5</f>
        <v>3</v>
      </c>
      <c r="I3">
        <f>'Stats G1'!H5*2+'Stats G1'!N5*3+'Stats G1'!T5</f>
        <v>20</v>
      </c>
      <c r="J3" t="str">
        <f>SUM('Stats G1'!H5+'Stats G1'!N5)&amp;"-"&amp;SUM('Stats G1'!E5+'Stats G1'!K5)</f>
        <v>8-17</v>
      </c>
      <c r="K3" t="str">
        <f>SUM('Stats G1'!N5)&amp;"-"&amp;SUM('Stats G1'!K5)</f>
        <v>1-5</v>
      </c>
      <c r="L3" t="str">
        <f>SUM('Stats G1'!T5)&amp;"-"&amp;SUM('Stats G1'!Q5)</f>
        <v>3-3</v>
      </c>
      <c r="M3">
        <f>'Stats G1'!W5</f>
        <v>0</v>
      </c>
    </row>
    <row r="4" spans="2:13" x14ac:dyDescent="0.2">
      <c r="F4" t="str">
        <f>'Stats G1'!A6</f>
        <v>Jordan</v>
      </c>
      <c r="G4" t="str">
        <f>'Stats G1'!B6</f>
        <v>Loveridge</v>
      </c>
      <c r="H4">
        <f>'Stats G1'!C6</f>
        <v>21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Kyndayl</v>
      </c>
      <c r="G5" t="str">
        <f>'Stats G1'!B7</f>
        <v>Hill</v>
      </c>
      <c r="H5">
        <f>'Stats G1'!C7</f>
        <v>15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G1'!H8*2+'Stats G1'!N8*3+'Stats G1'!T8</f>
        <v>5</v>
      </c>
      <c r="J6" t="str">
        <f>SUM('Stats G1'!H8+'Stats G1'!N8)&amp;"-"&amp;SUM('Stats G1'!E8+'Stats G1'!K8)</f>
        <v>2-3</v>
      </c>
      <c r="K6" t="str">
        <f>SUM('Stats G1'!N8)&amp;"-"&amp;SUM('Stats G1'!K8)</f>
        <v>0-0</v>
      </c>
      <c r="L6" t="str">
        <f>SUM('Stats G1'!T8)&amp;"-"&amp;SUM('Stats G1'!Q8)</f>
        <v>1-2</v>
      </c>
      <c r="M6">
        <f>'Stats G1'!W8</f>
        <v>0</v>
      </c>
    </row>
    <row r="7" spans="2:13" x14ac:dyDescent="0.2">
      <c r="F7" t="str">
        <f>'Stats G1'!A9</f>
        <v>Charles</v>
      </c>
      <c r="G7" t="str">
        <f>'Stats G1'!B9</f>
        <v>Nann</v>
      </c>
      <c r="H7">
        <f>'Stats G1'!C9</f>
        <v>7</v>
      </c>
      <c r="I7">
        <f>'Stats G1'!H9*2+'Stats G1'!N9*3+'Stats G1'!T9</f>
        <v>9</v>
      </c>
      <c r="J7" t="str">
        <f>SUM('Stats G1'!H9+'Stats G1'!N9)&amp;"-"&amp;SUM('Stats G1'!E9+'Stats G1'!K9)</f>
        <v>4-6</v>
      </c>
      <c r="K7" t="str">
        <f>SUM('Stats G1'!N9)&amp;"-"&amp;SUM('Stats G1'!K9)</f>
        <v>1-1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Marqus</v>
      </c>
      <c r="G8" t="str">
        <f>'Stats G1'!B10</f>
        <v>Gilson</v>
      </c>
      <c r="H8">
        <v>10</v>
      </c>
      <c r="I8">
        <f>'Stats G1'!H10*2+'Stats G1'!N10*3+'Stats G1'!T10</f>
        <v>12</v>
      </c>
      <c r="J8" t="str">
        <f>SUM('Stats G1'!H10+'Stats G1'!N10)&amp;"-"&amp;SUM('Stats G1'!E10+'Stats G1'!K10)</f>
        <v>5-7</v>
      </c>
      <c r="K8" t="str">
        <f>SUM('Stats G1'!N10)&amp;"-"&amp;SUM('Stats G1'!K10)</f>
        <v>0-0</v>
      </c>
      <c r="L8" t="str">
        <f>SUM('Stats G1'!T10)&amp;"-"&amp;SUM('Stats G1'!Q10)</f>
        <v>2-3</v>
      </c>
      <c r="M8">
        <f>'Stats G1'!W10</f>
        <v>0</v>
      </c>
    </row>
    <row r="9" spans="2:13" x14ac:dyDescent="0.2">
      <c r="F9" t="str">
        <f>'Stats G1'!A11</f>
        <v>Ray</v>
      </c>
      <c r="G9" t="str">
        <f>'Stats G1'!B11</f>
        <v>Gallegos</v>
      </c>
      <c r="H9">
        <f>'Stats G1'!C11</f>
        <v>8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Colton</v>
      </c>
      <c r="G10" t="str">
        <f>'Stats G1'!B12</f>
        <v>Burgon</v>
      </c>
      <c r="H10">
        <f>'Stats G1'!C12</f>
        <v>20</v>
      </c>
      <c r="I10">
        <f>'Stats G1'!H12*2+'Stats G1'!N12*3+'Stats G1'!T12</f>
        <v>16</v>
      </c>
      <c r="J10" t="str">
        <f>SUM('Stats G1'!H12+'Stats G1'!N12)&amp;"-"&amp;SUM('Stats G1'!E12+'Stats G1'!K12)</f>
        <v>8-13</v>
      </c>
      <c r="K10" t="str">
        <f>SUM('Stats G1'!N12)&amp;"-"&amp;SUM('Stats G1'!K12)</f>
        <v>0-0</v>
      </c>
      <c r="L10" t="str">
        <f>SUM('Stats G1'!T12)&amp;"-"&amp;SUM('Stats G1'!Q12)</f>
        <v>0-2</v>
      </c>
      <c r="M10">
        <f>'Stats G1'!W12</f>
        <v>0</v>
      </c>
    </row>
    <row r="11" spans="2:13" x14ac:dyDescent="0.2">
      <c r="F11" t="str">
        <f>'Stats G1'!A13</f>
        <v>Thomas</v>
      </c>
      <c r="G11" t="str">
        <f>'Stats G1'!B13</f>
        <v>Bullock</v>
      </c>
      <c r="H11">
        <f>'Stats G1'!C13</f>
        <v>22</v>
      </c>
      <c r="I11">
        <f>'Stats G1'!H13*2+'Stats G1'!N13*3+'Stats G1'!T13</f>
        <v>26</v>
      </c>
      <c r="J11" t="str">
        <f>SUM('Stats G1'!H13+'Stats G1'!N13)&amp;"-"&amp;SUM('Stats G1'!E13+'Stats G1'!K13)</f>
        <v>9-17</v>
      </c>
      <c r="K11" t="str">
        <f>SUM('Stats G1'!N13)&amp;"-"&amp;SUM('Stats G1'!K13)</f>
        <v>5-9</v>
      </c>
      <c r="L11" t="str">
        <f>SUM('Stats G1'!T13)&amp;"-"&amp;SUM('Stats G1'!Q13)</f>
        <v>3-4</v>
      </c>
      <c r="M11">
        <f>'Stats G1'!W13</f>
        <v>0</v>
      </c>
    </row>
    <row r="12" spans="2:13" x14ac:dyDescent="0.2">
      <c r="F12" t="str">
        <f>'Stats G1'!A14</f>
        <v>Tyler</v>
      </c>
      <c r="G12" t="str">
        <f>'Stats G1'!B14</f>
        <v>Burgess</v>
      </c>
      <c r="H12">
        <f>'Stats G1'!C14</f>
        <v>23</v>
      </c>
      <c r="I12">
        <f>'Stats G1'!H14*2+'Stats G1'!N14*3+'Stats G1'!T14</f>
        <v>9</v>
      </c>
      <c r="J12" t="str">
        <f>SUM('Stats G1'!H14+'Stats G1'!N14)&amp;"-"&amp;SUM('Stats G1'!E14+'Stats G1'!K14)</f>
        <v>4-4</v>
      </c>
      <c r="K12" t="str">
        <f>SUM('Stats G1'!N14)&amp;"-"&amp;SUM('Stats G1'!K14)</f>
        <v>1-1</v>
      </c>
      <c r="L12" t="str">
        <f>SUM('Stats G1'!T14)&amp;"-"&amp;SUM('Stats G1'!Q14)</f>
        <v>0-0</v>
      </c>
      <c r="M12">
        <f>'Stats G1'!W14</f>
        <v>0</v>
      </c>
    </row>
    <row r="13" spans="2:13" x14ac:dyDescent="0.2">
      <c r="F13" t="str">
        <f>'Stats G1'!A15</f>
        <v>Kentrell</v>
      </c>
      <c r="G13" t="str">
        <f>'Stats G1'!B15</f>
        <v>Barkley</v>
      </c>
      <c r="H13">
        <f>'Stats G1'!C15</f>
        <v>12</v>
      </c>
      <c r="I13">
        <f>'Stats G1'!H15*2+'Stats G1'!N15*3+'Stats G1'!T15</f>
        <v>36</v>
      </c>
      <c r="J13" t="str">
        <f>SUM('Stats G1'!H15+'Stats G1'!N15)&amp;"-"&amp;SUM('Stats G1'!E15+'Stats G1'!K15)</f>
        <v>13-19</v>
      </c>
      <c r="K13" t="str">
        <f>SUM('Stats G1'!N15)&amp;"-"&amp;SUM('Stats G1'!K15)</f>
        <v>2-3</v>
      </c>
      <c r="L13" t="str">
        <f>SUM('Stats G1'!T15)&amp;"-"&amp;SUM('Stats G1'!Q15)</f>
        <v>8-10</v>
      </c>
      <c r="M13">
        <f>'Stats G1'!W15</f>
        <v>0</v>
      </c>
    </row>
    <row r="14" spans="2:13" x14ac:dyDescent="0.2">
      <c r="F14" t="str">
        <f>'Stats G1'!A16</f>
        <v>Brenden</v>
      </c>
      <c r="G14" t="str">
        <f>'Stats G1'!B16</f>
        <v>Morris</v>
      </c>
      <c r="H14">
        <f>'Stats G1'!C16</f>
        <v>23</v>
      </c>
      <c r="I14">
        <f>'Stats G1'!H16*2+'Stats G1'!N16*3+'Stats G1'!T16</f>
        <v>2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2-2</v>
      </c>
      <c r="M14">
        <f>'Stats G1'!W16</f>
        <v>0</v>
      </c>
    </row>
    <row r="15" spans="2:13" x14ac:dyDescent="0.2">
      <c r="F15" t="str">
        <f>'Stats G1'!A17</f>
        <v>?</v>
      </c>
      <c r="G15" t="str">
        <f>'Stats G1'!B17</f>
        <v>?</v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135</v>
      </c>
      <c r="J18" t="str">
        <f>SUM('Stats G1'!H20+'Stats G1'!N20)&amp;"-"&amp;SUM('Stats G1'!E20+'Stats G1'!K20)</f>
        <v>53-86</v>
      </c>
      <c r="K18" t="str">
        <f>SUM('Stats G1'!N20)&amp;"-"&amp;SUM('Stats G1'!K20)</f>
        <v>10-19</v>
      </c>
      <c r="L18" t="str">
        <f>SUM('Stats G1'!T20)&amp;"-"&amp;SUM('Stats G1'!Q20)</f>
        <v>19-26</v>
      </c>
      <c r="M18">
        <f>SUM(M3:M17)</f>
        <v>0</v>
      </c>
    </row>
    <row r="20" spans="6:13" x14ac:dyDescent="0.2">
      <c r="F20" t="s">
        <v>11</v>
      </c>
      <c r="G20" t="str">
        <f>'Stats G1'!B21</f>
        <v>Team Stan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27</v>
      </c>
    </row>
    <row r="22" spans="6:13" x14ac:dyDescent="0.2">
      <c r="F22" t="str">
        <f>'Stats G1'!A23</f>
        <v>Tone</v>
      </c>
      <c r="G22" t="str">
        <f>'Stats G1'!B23</f>
        <v>Anderson</v>
      </c>
      <c r="H22">
        <f>'Stats G1'!C23</f>
        <v>0</v>
      </c>
      <c r="I22">
        <f>'Stats G1'!H23*2+'Stats G1'!N23*3+'Stats G1'!T23</f>
        <v>4</v>
      </c>
      <c r="J22" t="str">
        <f>SUM('Stats G1'!H23+'Stats G1'!N23)&amp;"-"&amp;SUM('Stats G1'!E23+'Stats G1'!K23)</f>
        <v>1-3</v>
      </c>
      <c r="K22" t="str">
        <f>SUM('Stats G1'!N23)&amp;"-"&amp;SUM('Stats G1'!K23)</f>
        <v>0-1</v>
      </c>
      <c r="L22" t="str">
        <f>SUM('Stats G1'!T23)&amp;"-"&amp;SUM('Stats G1'!Q23)</f>
        <v>2-2</v>
      </c>
      <c r="M22">
        <f>'Stats G1'!W23</f>
        <v>0</v>
      </c>
    </row>
    <row r="23" spans="6:13" x14ac:dyDescent="0.2">
      <c r="F23" t="str">
        <f>'Stats G1'!A24</f>
        <v>Ronald</v>
      </c>
      <c r="G23" t="str">
        <f>'Stats G1'!B24</f>
        <v>Leach</v>
      </c>
      <c r="H23">
        <f>'Stats G1'!C24</f>
        <v>32</v>
      </c>
      <c r="I23">
        <f>'Stats G1'!H24*2+'Stats G1'!N24*3+'Stats G1'!T24</f>
        <v>8</v>
      </c>
      <c r="J23" t="str">
        <f>SUM('Stats G1'!H24+'Stats G1'!N24)&amp;"-"&amp;SUM('Stats G1'!E24+'Stats G1'!K24)</f>
        <v>4-7</v>
      </c>
      <c r="K23" t="str">
        <f>SUM('Stats G1'!N24)&amp;"-"&amp;SUM('Stats G1'!K24)</f>
        <v>0-0</v>
      </c>
      <c r="L23" t="str">
        <f>SUM('Stats G1'!T24)&amp;"-"&amp;SUM('Stats G1'!Q24)</f>
        <v>0-2</v>
      </c>
      <c r="M23">
        <f>'Stats G1'!W24</f>
        <v>0</v>
      </c>
    </row>
    <row r="24" spans="6:13" x14ac:dyDescent="0.2">
      <c r="F24" t="str">
        <f>'Stats G1'!A25</f>
        <v>Brendan</v>
      </c>
      <c r="G24" t="str">
        <f>'Stats G1'!B25</f>
        <v>Bailey</v>
      </c>
      <c r="H24">
        <f>'Stats G1'!C25</f>
        <v>1</v>
      </c>
      <c r="I24">
        <f>'Stats G1'!H25*2+'Stats G1'!N25*3+'Stats G1'!T25</f>
        <v>27</v>
      </c>
      <c r="J24" t="str">
        <f>SUM('Stats G1'!H25+'Stats G1'!N25)&amp;"-"&amp;SUM('Stats G1'!E25+'Stats G1'!K25)</f>
        <v>12-22</v>
      </c>
      <c r="K24" t="str">
        <f>SUM('Stats G1'!N25)&amp;"-"&amp;SUM('Stats G1'!K25)</f>
        <v>3-11</v>
      </c>
      <c r="L24" t="str">
        <f>SUM('Stats G1'!T25)&amp;"-"&amp;SUM('Stats G1'!Q25)</f>
        <v>0-1</v>
      </c>
      <c r="M24">
        <f>'Stats G1'!W25</f>
        <v>0</v>
      </c>
    </row>
    <row r="25" spans="6:13" x14ac:dyDescent="0.2">
      <c r="F25" t="str">
        <f>'Stats G1'!A26</f>
        <v>Zahir</v>
      </c>
      <c r="G25" t="str">
        <f>'Stats G1'!B26</f>
        <v>Porter</v>
      </c>
      <c r="H25">
        <f>'Stats G1'!C26</f>
        <v>5</v>
      </c>
      <c r="I25">
        <f>'Stats G1'!H26*2+'Stats G1'!N26*3+'Stats G1'!T26</f>
        <v>13</v>
      </c>
      <c r="J25" t="str">
        <f>SUM('Stats G1'!H26+'Stats G1'!N26)&amp;"-"&amp;SUM('Stats G1'!E26+'Stats G1'!K26)</f>
        <v>5-18</v>
      </c>
      <c r="K25" t="str">
        <f>SUM('Stats G1'!N26)&amp;"-"&amp;SUM('Stats G1'!K26)</f>
        <v>1-7</v>
      </c>
      <c r="L25" t="str">
        <f>SUM('Stats G1'!T26)&amp;"-"&amp;SUM('Stats G1'!Q26)</f>
        <v>2-3</v>
      </c>
      <c r="M25">
        <f>'Stats G1'!W26</f>
        <v>0</v>
      </c>
    </row>
    <row r="26" spans="6:13" x14ac:dyDescent="0.2">
      <c r="F26" t="str">
        <f>'Stats G1'!A27</f>
        <v>Eli</v>
      </c>
      <c r="G26" t="str">
        <f>'Stats G1'!B27</f>
        <v>Davy</v>
      </c>
      <c r="H26">
        <f>'Stats G1'!C27</f>
        <v>2</v>
      </c>
      <c r="I26">
        <f>'Stats G1'!H27*2+'Stats G1'!N27*3+'Stats G1'!T27</f>
        <v>17</v>
      </c>
      <c r="J26" t="str">
        <f>SUM('Stats G1'!H27+'Stats G1'!N27)&amp;"-"&amp;SUM('Stats G1'!E27+'Stats G1'!K27)</f>
        <v>7-12</v>
      </c>
      <c r="K26" t="str">
        <f>SUM('Stats G1'!N27)&amp;"-"&amp;SUM('Stats G1'!K27)</f>
        <v>1-3</v>
      </c>
      <c r="L26" t="str">
        <f>SUM('Stats G1'!T27)&amp;"-"&amp;SUM('Stats G1'!Q27)</f>
        <v>2-2</v>
      </c>
      <c r="M26">
        <f>'Stats G1'!W27</f>
        <v>0</v>
      </c>
    </row>
    <row r="27" spans="6:13" x14ac:dyDescent="0.2">
      <c r="F27" t="str">
        <f>'Stats G1'!A28</f>
        <v>Anthony</v>
      </c>
      <c r="G27" t="str">
        <f>'Stats G1'!B28</f>
        <v>Cox</v>
      </c>
      <c r="H27">
        <f>'Stats G1'!C28</f>
        <v>11</v>
      </c>
      <c r="I27">
        <f>'Stats G1'!H28*2+'Stats G1'!N28*3+'Stats G1'!T28</f>
        <v>3</v>
      </c>
      <c r="J27" t="str">
        <f>SUM('Stats G1'!H28+'Stats G1'!N28)&amp;"-"&amp;SUM('Stats G1'!E28+'Stats G1'!K28)</f>
        <v>1-4</v>
      </c>
      <c r="K27" t="str">
        <f>SUM('Stats G1'!N28)&amp;"-"&amp;SUM('Stats G1'!K28)</f>
        <v>1-3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Xavier</v>
      </c>
      <c r="G28" t="str">
        <f>'Stats G1'!B29</f>
        <v>Sneed</v>
      </c>
      <c r="H28">
        <f>'Stats G1'!C29</f>
        <v>20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Rayjon</v>
      </c>
      <c r="G29" t="str">
        <f>'Stats G1'!B30</f>
        <v>Tucker</v>
      </c>
      <c r="H29">
        <f>'Stats G1'!C30</f>
        <v>59</v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Branden</v>
      </c>
      <c r="G30" t="str">
        <f>'Stats G1'!B31</f>
        <v>Carlon</v>
      </c>
      <c r="H30">
        <f>'Stats G1'!C31</f>
        <v>35</v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  <c r="M30">
        <f>'Stats G1'!W31</f>
        <v>0</v>
      </c>
    </row>
    <row r="31" spans="6:13" x14ac:dyDescent="0.2">
      <c r="F31" t="str">
        <f>'Stats G1'!A32</f>
        <v>Quae</v>
      </c>
      <c r="G31" t="str">
        <f>'Stats G1'!B32</f>
        <v>Furlow</v>
      </c>
      <c r="H31">
        <f>'Stats G1'!C32</f>
        <v>3</v>
      </c>
      <c r="I31">
        <f>'Stats G1'!H32*2+'Stats G1'!N32*3+'Stats G1'!T32</f>
        <v>9</v>
      </c>
      <c r="J31" t="str">
        <f>SUM('Stats G1'!H32+'Stats G1'!N32)&amp;"-"&amp;SUM('Stats G1'!E32+'Stats G1'!K32)</f>
        <v>3-5</v>
      </c>
      <c r="K31" t="str">
        <f>SUM('Stats G1'!N32)&amp;"-"&amp;SUM('Stats G1'!K32)</f>
        <v>0-2</v>
      </c>
      <c r="L31" t="str">
        <f>SUM('Stats G1'!T32)&amp;"-"&amp;SUM('Stats G1'!Q32)</f>
        <v>3-6</v>
      </c>
      <c r="M31">
        <f>'Stats G1'!W32</f>
        <v>0</v>
      </c>
    </row>
    <row r="32" spans="6:13" x14ac:dyDescent="0.2">
      <c r="F32" t="str">
        <f>'Stats G1'!A33</f>
        <v>Ibe</v>
      </c>
      <c r="G32" t="str">
        <f>'Stats G1'!B33</f>
        <v>Gerlach</v>
      </c>
      <c r="H32">
        <f>'Stats G1'!C33</f>
        <v>20</v>
      </c>
      <c r="I32">
        <f>'Stats G1'!H33*2+'Stats G1'!N33*3+'Stats G1'!T33</f>
        <v>18</v>
      </c>
      <c r="J32" t="str">
        <f>SUM('Stats G1'!H33+'Stats G1'!N33)&amp;"-"&amp;SUM('Stats G1'!E33+'Stats G1'!K33)</f>
        <v>7-13</v>
      </c>
      <c r="K32" t="str">
        <f>SUM('Stats G1'!N33)&amp;"-"&amp;SUM('Stats G1'!K33)</f>
        <v>3-8</v>
      </c>
      <c r="L32" t="str">
        <f>SUM('Stats G1'!T33)&amp;"-"&amp;SUM('Stats G1'!Q33)</f>
        <v>1-1</v>
      </c>
      <c r="M32">
        <f>'Stats G1'!W33</f>
        <v>0</v>
      </c>
    </row>
    <row r="33" spans="6:13" x14ac:dyDescent="0.2">
      <c r="F33" t="str">
        <f>'Stats G1'!A34</f>
        <v>Justin</v>
      </c>
      <c r="G33" t="str">
        <f>'Stats G1'!B34</f>
        <v>Harmon</v>
      </c>
      <c r="H33">
        <f>'Stats G1'!C34</f>
        <v>24</v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KJ</v>
      </c>
      <c r="G34" t="str">
        <f>'Stats G1'!B35</f>
        <v>Cunningham</v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99</v>
      </c>
      <c r="J37" t="str">
        <f>SUM('Stats G1'!H38+'Stats G1'!N38)&amp;"-"&amp;SUM('Stats G1'!E38+'Stats G1'!K38)</f>
        <v>40-84</v>
      </c>
      <c r="K37" t="str">
        <f>SUM('Stats G1'!N38)&amp;"-"&amp;SUM('Stats G1'!K38)</f>
        <v>9-35</v>
      </c>
      <c r="L37" t="str">
        <f>SUM('Stats G1'!T38)&amp;"-"&amp;SUM('Stats G1'!Q38)</f>
        <v>10-17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64" zoomScaleNormal="90" workbookViewId="0">
      <selection activeCell="Q11" sqref="Q11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116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27</v>
      </c>
    </row>
    <row r="5" spans="1:24" s="6" customFormat="1" x14ac:dyDescent="0.2">
      <c r="A5" t="s">
        <v>138</v>
      </c>
      <c r="B5" t="s">
        <v>137</v>
      </c>
      <c r="C5">
        <v>3</v>
      </c>
      <c r="D5" s="5"/>
      <c r="E5" s="5">
        <v>12</v>
      </c>
      <c r="F5" s="5"/>
      <c r="G5" s="5"/>
      <c r="H5" s="5">
        <v>7</v>
      </c>
      <c r="I5" s="5"/>
      <c r="J5" s="5"/>
      <c r="K5" s="5">
        <v>5</v>
      </c>
      <c r="L5" s="5"/>
      <c r="M5" s="5"/>
      <c r="N5" s="5">
        <v>1</v>
      </c>
      <c r="O5" s="5"/>
      <c r="P5" s="5"/>
      <c r="Q5" s="5">
        <v>3</v>
      </c>
      <c r="R5" s="5"/>
      <c r="S5" s="5"/>
      <c r="T5" s="5">
        <v>3</v>
      </c>
      <c r="U5" s="5"/>
      <c r="V5" s="5"/>
      <c r="W5" s="5">
        <v>0</v>
      </c>
      <c r="X5" s="5"/>
    </row>
    <row r="6" spans="1:24" s="6" customFormat="1" x14ac:dyDescent="0.2">
      <c r="A6" t="s">
        <v>136</v>
      </c>
      <c r="B6" t="s">
        <v>135</v>
      </c>
      <c r="C6">
        <v>21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t="s">
        <v>134</v>
      </c>
      <c r="B7" t="s">
        <v>133</v>
      </c>
      <c r="C7">
        <v>15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t="s">
        <v>132</v>
      </c>
      <c r="B8" t="s">
        <v>131</v>
      </c>
      <c r="C8">
        <v>5</v>
      </c>
      <c r="E8" s="6">
        <v>3</v>
      </c>
      <c r="H8" s="6">
        <v>2</v>
      </c>
      <c r="K8" s="6">
        <v>0</v>
      </c>
      <c r="N8" s="6">
        <v>0</v>
      </c>
      <c r="Q8" s="6">
        <v>2</v>
      </c>
      <c r="T8" s="6">
        <v>1</v>
      </c>
      <c r="W8" s="6">
        <v>0</v>
      </c>
    </row>
    <row r="9" spans="1:24" s="6" customFormat="1" x14ac:dyDescent="0.2">
      <c r="A9" t="s">
        <v>130</v>
      </c>
      <c r="B9" t="s">
        <v>129</v>
      </c>
      <c r="C9">
        <v>7</v>
      </c>
      <c r="D9" s="5"/>
      <c r="E9" s="5">
        <v>5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t="s">
        <v>128</v>
      </c>
      <c r="B10" t="s">
        <v>127</v>
      </c>
      <c r="C10">
        <v>24</v>
      </c>
      <c r="E10" s="6">
        <v>7</v>
      </c>
      <c r="H10" s="6">
        <v>5</v>
      </c>
      <c r="K10" s="6">
        <v>0</v>
      </c>
      <c r="N10" s="6">
        <v>0</v>
      </c>
      <c r="Q10" s="6">
        <v>3</v>
      </c>
      <c r="T10" s="6">
        <v>2</v>
      </c>
      <c r="W10" s="6">
        <v>0</v>
      </c>
    </row>
    <row r="11" spans="1:24" s="6" customFormat="1" x14ac:dyDescent="0.2">
      <c r="A11" t="s">
        <v>126</v>
      </c>
      <c r="B11" t="s">
        <v>125</v>
      </c>
      <c r="C11"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t="s">
        <v>124</v>
      </c>
      <c r="B12" t="s">
        <v>123</v>
      </c>
      <c r="C12">
        <v>20</v>
      </c>
      <c r="E12" s="6">
        <v>13</v>
      </c>
      <c r="H12" s="6">
        <v>8</v>
      </c>
      <c r="K12" s="6">
        <v>0</v>
      </c>
      <c r="N12" s="6">
        <v>0</v>
      </c>
      <c r="Q12" s="6">
        <v>2</v>
      </c>
      <c r="T12" s="6">
        <v>0</v>
      </c>
      <c r="W12" s="6">
        <v>0</v>
      </c>
    </row>
    <row r="13" spans="1:24" s="6" customFormat="1" x14ac:dyDescent="0.2">
      <c r="A13" t="s">
        <v>122</v>
      </c>
      <c r="B13" t="s">
        <v>121</v>
      </c>
      <c r="C13">
        <v>22</v>
      </c>
      <c r="D13" s="5"/>
      <c r="E13" s="5">
        <v>8</v>
      </c>
      <c r="F13" s="5"/>
      <c r="G13" s="5"/>
      <c r="H13" s="5">
        <v>4</v>
      </c>
      <c r="I13" s="5"/>
      <c r="J13" s="5"/>
      <c r="K13" s="5">
        <v>9</v>
      </c>
      <c r="L13" s="5"/>
      <c r="M13" s="5"/>
      <c r="N13" s="5">
        <v>5</v>
      </c>
      <c r="O13" s="5"/>
      <c r="P13" s="5"/>
      <c r="Q13" s="5">
        <v>4</v>
      </c>
      <c r="R13" s="5"/>
      <c r="S13" s="5"/>
      <c r="T13" s="5">
        <v>3</v>
      </c>
      <c r="U13" s="5"/>
      <c r="V13" s="5"/>
      <c r="W13" s="5">
        <v>0</v>
      </c>
      <c r="X13" s="5"/>
    </row>
    <row r="14" spans="1:24" s="6" customFormat="1" x14ac:dyDescent="0.2">
      <c r="A14" t="s">
        <v>120</v>
      </c>
      <c r="B14" t="s">
        <v>119</v>
      </c>
      <c r="C14">
        <v>23</v>
      </c>
      <c r="E14" s="6">
        <v>3</v>
      </c>
      <c r="H14" s="6">
        <v>3</v>
      </c>
      <c r="K14" s="6">
        <v>1</v>
      </c>
      <c r="N14" s="6">
        <v>1</v>
      </c>
      <c r="Q14" s="6">
        <v>0</v>
      </c>
      <c r="T14" s="6">
        <v>0</v>
      </c>
      <c r="W14" s="6">
        <v>0</v>
      </c>
    </row>
    <row r="15" spans="1:24" s="6" customFormat="1" x14ac:dyDescent="0.2">
      <c r="A15" t="s">
        <v>118</v>
      </c>
      <c r="B15" t="s">
        <v>117</v>
      </c>
      <c r="C15">
        <v>12</v>
      </c>
      <c r="D15" s="5"/>
      <c r="E15" s="5">
        <v>16</v>
      </c>
      <c r="F15" s="5"/>
      <c r="G15" s="5"/>
      <c r="H15" s="5">
        <v>11</v>
      </c>
      <c r="I15" s="5"/>
      <c r="J15" s="5"/>
      <c r="K15" s="5">
        <v>3</v>
      </c>
      <c r="L15" s="5"/>
      <c r="M15" s="5"/>
      <c r="N15" s="5">
        <v>2</v>
      </c>
      <c r="O15" s="5"/>
      <c r="P15" s="5"/>
      <c r="Q15" s="5">
        <v>10</v>
      </c>
      <c r="R15" s="5"/>
      <c r="S15" s="5"/>
      <c r="T15" s="5">
        <v>8</v>
      </c>
      <c r="U15" s="5"/>
      <c r="V15" s="5"/>
      <c r="W15" s="5">
        <v>0</v>
      </c>
      <c r="X15" s="5"/>
    </row>
    <row r="16" spans="1:24" s="6" customFormat="1" x14ac:dyDescent="0.2">
      <c r="A16" t="s">
        <v>115</v>
      </c>
      <c r="B16" t="s">
        <v>114</v>
      </c>
      <c r="C16">
        <v>23</v>
      </c>
      <c r="E16" s="6">
        <v>0</v>
      </c>
      <c r="H16" s="6">
        <v>0</v>
      </c>
      <c r="K16" s="6">
        <v>0</v>
      </c>
      <c r="N16" s="6">
        <v>0</v>
      </c>
      <c r="Q16" s="6">
        <v>2</v>
      </c>
      <c r="T16" s="6">
        <v>2</v>
      </c>
      <c r="W16" s="6">
        <v>0</v>
      </c>
    </row>
    <row r="17" spans="1:24" s="6" customFormat="1" x14ac:dyDescent="0.2">
      <c r="A17" s="5" t="str">
        <f>_xlfn.IFNA(VLOOKUP($B$3&amp;ROWS($A$5:A17),Rosters!$B$89:$C$163,2,0),"?")</f>
        <v>?</v>
      </c>
      <c r="B17" s="5" t="str">
        <f>_xlfn.IFNA(VLOOKUP($B$3&amp;ROWS($B$5:B17),Rosters!$B$89:$D$163,3,0),"?")</f>
        <v>?</v>
      </c>
      <c r="C17" s="5">
        <v>10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_xlfn.IFNA(VLOOKUP($B$3&amp;ROWS($A$5:A18),Rosters!$B$89:$C$163,2,0),"?")</f>
        <v>?</v>
      </c>
      <c r="B18" s="6" t="str">
        <f>_xlfn.IFNA(VLOOKUP($B$3&amp;ROWS($B$5:B18),Rosters!$B$89:$D$163,3,0),"?")</f>
        <v>?</v>
      </c>
      <c r="C18" s="6" t="str">
        <f>_xlfn.IFNA(VLOOKUP($B$3&amp;ROWS($C$5:C18),Rosters!$B$89:$E$163,4,0),"")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_xlfn.IFNA(VLOOKUP($B$3&amp;ROWS($A$5:A19),Rosters!$B$89:$C$163,2,0),"?")</f>
        <v>?</v>
      </c>
      <c r="B19" s="5" t="str">
        <f>_xlfn.IFNA(VLOOKUP($B$3&amp;ROWS($B$5:B19),Rosters!$B$89:$D$163,3,0),"?")</f>
        <v>?</v>
      </c>
      <c r="C19" s="5" t="str">
        <f>_xlfn.IFNA(VLOOKUP($B$3&amp;ROWS($C$5:C19),Rosters!$B$89:$E$163,4,0),"")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67</v>
      </c>
      <c r="H20" s="6">
        <f>SUM(H5:H19)</f>
        <v>43</v>
      </c>
      <c r="K20" s="6">
        <f>SUM(K5:K19)</f>
        <v>19</v>
      </c>
      <c r="N20" s="6">
        <f>SUM(N5:N19)</f>
        <v>10</v>
      </c>
      <c r="Q20" s="6">
        <f>SUM(Q5:Q19)</f>
        <v>26</v>
      </c>
      <c r="T20" s="6">
        <f>SUM(T5:T19)</f>
        <v>19</v>
      </c>
      <c r="W20" s="6">
        <f>SUM(W5:W19)</f>
        <v>0</v>
      </c>
    </row>
    <row r="21" spans="1:24" x14ac:dyDescent="0.2">
      <c r="A21" s="2" t="s">
        <v>16</v>
      </c>
      <c r="B21" s="1" t="s">
        <v>30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27</v>
      </c>
    </row>
    <row r="23" spans="1:24" s="6" customFormat="1" x14ac:dyDescent="0.2">
      <c r="A23" t="s">
        <v>54</v>
      </c>
      <c r="B23" t="s">
        <v>53</v>
      </c>
      <c r="C23">
        <v>0</v>
      </c>
      <c r="D23" s="5"/>
      <c r="E23" s="5">
        <v>2</v>
      </c>
      <c r="F23" s="5"/>
      <c r="G23" s="5"/>
      <c r="H23" s="5">
        <v>1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2</v>
      </c>
      <c r="R23" s="5"/>
      <c r="S23" s="5"/>
      <c r="T23" s="5">
        <v>2</v>
      </c>
      <c r="U23" s="5"/>
      <c r="V23" s="5"/>
      <c r="W23" s="5">
        <v>0</v>
      </c>
      <c r="X23" s="5"/>
    </row>
    <row r="24" spans="1:24" x14ac:dyDescent="0.2">
      <c r="A24" t="s">
        <v>52</v>
      </c>
      <c r="B24" t="s">
        <v>51</v>
      </c>
      <c r="C24">
        <v>32</v>
      </c>
      <c r="D24" s="6"/>
      <c r="E24" s="6">
        <v>7</v>
      </c>
      <c r="F24" s="6"/>
      <c r="G24" s="6"/>
      <c r="H24" s="6">
        <v>4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2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t="s">
        <v>50</v>
      </c>
      <c r="B25" t="s">
        <v>49</v>
      </c>
      <c r="C25">
        <v>1</v>
      </c>
      <c r="D25" s="5"/>
      <c r="E25" s="5">
        <v>11</v>
      </c>
      <c r="F25" s="5"/>
      <c r="G25" s="5"/>
      <c r="H25" s="5">
        <v>9</v>
      </c>
      <c r="I25" s="5"/>
      <c r="J25" s="5"/>
      <c r="K25" s="5">
        <v>11</v>
      </c>
      <c r="L25" s="5"/>
      <c r="M25" s="5"/>
      <c r="N25" s="5">
        <v>3</v>
      </c>
      <c r="O25" s="5"/>
      <c r="P25" s="5"/>
      <c r="Q25" s="5">
        <v>1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">
        <v>48</v>
      </c>
      <c r="B26" t="s">
        <v>47</v>
      </c>
      <c r="C26">
        <v>5</v>
      </c>
      <c r="D26" s="6"/>
      <c r="E26" s="6">
        <v>11</v>
      </c>
      <c r="F26" s="6"/>
      <c r="G26" s="6"/>
      <c r="H26" s="6">
        <v>4</v>
      </c>
      <c r="I26" s="6"/>
      <c r="J26" s="6"/>
      <c r="K26" s="6">
        <v>7</v>
      </c>
      <c r="L26" s="6"/>
      <c r="M26" s="6"/>
      <c r="N26" s="6">
        <v>1</v>
      </c>
      <c r="O26" s="6"/>
      <c r="P26" s="6"/>
      <c r="Q26" s="6">
        <v>3</v>
      </c>
      <c r="R26" s="6"/>
      <c r="S26" s="6"/>
      <c r="T26" s="6">
        <v>2</v>
      </c>
      <c r="U26" s="6"/>
      <c r="V26" s="6"/>
      <c r="W26" s="6">
        <v>0</v>
      </c>
      <c r="X26" s="6"/>
    </row>
    <row r="27" spans="1:24" s="6" customFormat="1" x14ac:dyDescent="0.2">
      <c r="A27" t="s">
        <v>46</v>
      </c>
      <c r="B27" t="s">
        <v>45</v>
      </c>
      <c r="C27">
        <v>2</v>
      </c>
      <c r="D27" s="5"/>
      <c r="E27" s="5">
        <v>9</v>
      </c>
      <c r="F27" s="5"/>
      <c r="G27" s="5"/>
      <c r="H27" s="5">
        <v>6</v>
      </c>
      <c r="I27" s="5"/>
      <c r="J27" s="5"/>
      <c r="K27" s="5">
        <v>3</v>
      </c>
      <c r="L27" s="5"/>
      <c r="M27" s="5"/>
      <c r="N27" s="5">
        <v>1</v>
      </c>
      <c r="O27" s="5"/>
      <c r="P27" s="5"/>
      <c r="Q27" s="5">
        <v>2</v>
      </c>
      <c r="R27" s="5"/>
      <c r="S27" s="5"/>
      <c r="T27" s="5">
        <v>2</v>
      </c>
      <c r="U27" s="5"/>
      <c r="V27" s="5"/>
      <c r="W27" s="5">
        <v>0</v>
      </c>
      <c r="X27" s="5"/>
    </row>
    <row r="28" spans="1:24" x14ac:dyDescent="0.2">
      <c r="A28" t="s">
        <v>44</v>
      </c>
      <c r="B28" t="s">
        <v>43</v>
      </c>
      <c r="C28">
        <v>11</v>
      </c>
      <c r="D28" s="6"/>
      <c r="E28" s="6">
        <v>1</v>
      </c>
      <c r="F28" s="6"/>
      <c r="G28" s="6"/>
      <c r="H28" s="6">
        <v>0</v>
      </c>
      <c r="I28" s="6"/>
      <c r="J28" s="6"/>
      <c r="K28" s="6">
        <v>3</v>
      </c>
      <c r="L28" s="6"/>
      <c r="M28" s="6"/>
      <c r="N28" s="6">
        <v>1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t="s">
        <v>42</v>
      </c>
      <c r="B29" t="s">
        <v>41</v>
      </c>
      <c r="C29">
        <v>20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">
        <v>40</v>
      </c>
      <c r="B30" t="s">
        <v>39</v>
      </c>
      <c r="C30">
        <v>59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t="s">
        <v>38</v>
      </c>
      <c r="B31" t="s">
        <v>37</v>
      </c>
      <c r="C31">
        <v>35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">
        <v>36</v>
      </c>
      <c r="B32" t="s">
        <v>35</v>
      </c>
      <c r="C32">
        <v>3</v>
      </c>
      <c r="D32" s="6"/>
      <c r="E32" s="6">
        <v>3</v>
      </c>
      <c r="F32" s="6"/>
      <c r="G32" s="6"/>
      <c r="H32" s="6">
        <v>3</v>
      </c>
      <c r="I32" s="6"/>
      <c r="J32" s="6"/>
      <c r="K32" s="6">
        <v>2</v>
      </c>
      <c r="L32" s="6"/>
      <c r="M32" s="6"/>
      <c r="N32" s="6">
        <v>0</v>
      </c>
      <c r="O32" s="6"/>
      <c r="P32" s="6"/>
      <c r="Q32" s="6">
        <v>6</v>
      </c>
      <c r="R32" s="6"/>
      <c r="S32" s="6"/>
      <c r="T32" s="6">
        <v>3</v>
      </c>
      <c r="U32" s="6"/>
      <c r="V32" s="6"/>
      <c r="W32" s="6">
        <v>0</v>
      </c>
      <c r="X32" s="6"/>
    </row>
    <row r="33" spans="1:24" s="6" customFormat="1" x14ac:dyDescent="0.2">
      <c r="A33" t="s">
        <v>34</v>
      </c>
      <c r="B33" t="s">
        <v>33</v>
      </c>
      <c r="C33">
        <v>20</v>
      </c>
      <c r="D33" s="5"/>
      <c r="E33" s="5">
        <v>5</v>
      </c>
      <c r="F33" s="5"/>
      <c r="G33" s="5"/>
      <c r="H33" s="5">
        <v>4</v>
      </c>
      <c r="I33" s="5"/>
      <c r="J33" s="5"/>
      <c r="K33" s="5">
        <v>8</v>
      </c>
      <c r="L33" s="5"/>
      <c r="M33" s="5"/>
      <c r="N33" s="5">
        <v>3</v>
      </c>
      <c r="O33" s="5"/>
      <c r="P33" s="5"/>
      <c r="Q33" s="5">
        <v>1</v>
      </c>
      <c r="R33" s="5"/>
      <c r="S33" s="5"/>
      <c r="T33" s="5">
        <v>1</v>
      </c>
      <c r="U33" s="5"/>
      <c r="V33" s="5"/>
      <c r="W33" s="5">
        <v>0</v>
      </c>
      <c r="X33" s="5"/>
    </row>
    <row r="34" spans="1:24" x14ac:dyDescent="0.2">
      <c r="A34" t="s">
        <v>32</v>
      </c>
      <c r="B34" t="s">
        <v>31</v>
      </c>
      <c r="C34">
        <v>24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t="s">
        <v>29</v>
      </c>
      <c r="B35" t="s">
        <v>28</v>
      </c>
      <c r="C35"/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_xlfn.IFNA(VLOOKUP($B$21&amp;ROWS($A$23:A36),Rosters!$B$89:$C$163,2,0),"?")</f>
        <v>?</v>
      </c>
      <c r="B36" t="str">
        <f>_xlfn.IFNA(VLOOKUP($B$21&amp;ROWS($B$23:B36),Rosters!$B$89:$D$163,3,0),"?")</f>
        <v>?</v>
      </c>
      <c r="C36" t="str">
        <f>_xlfn.IFNA(VLOOKUP($B$21&amp;ROWS($C$23:C36),Rosters!$B$89:$E$163,4,0),"")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_xlfn.IFNA(VLOOKUP($B$21&amp;ROWS($A$23:A37),Rosters!$B$89:$C$163,2,0),"?")</f>
        <v>?</v>
      </c>
      <c r="B37" s="5" t="str">
        <f>_xlfn.IFNA(VLOOKUP($B$21&amp;ROWS($B$23:B37),Rosters!$B$89:$D$163,3,0),"?")</f>
        <v>?</v>
      </c>
      <c r="C37" s="5" t="str">
        <f>_xlfn.IFNA(VLOOKUP($B$21&amp;ROWS($C$23:C37),Rosters!$B$89:$E$163,4,0),"")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49</v>
      </c>
      <c r="H38">
        <f>SUM(H23:H37)</f>
        <v>31</v>
      </c>
      <c r="K38">
        <f>SUM(K23:K37)</f>
        <v>35</v>
      </c>
      <c r="N38">
        <f>SUM(N23:N37)</f>
        <v>9</v>
      </c>
      <c r="Q38">
        <f>SUM(Q23:Q37)</f>
        <v>17</v>
      </c>
      <c r="T38">
        <f>SUM(T23:T37)</f>
        <v>10</v>
      </c>
      <c r="W38">
        <f>SUM(W23:W37)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321"/>
  <sheetViews>
    <sheetView topLeftCell="A15" zoomScale="85" workbookViewId="0">
      <selection activeCell="C76" sqref="C76:E88"/>
    </sheetView>
  </sheetViews>
  <sheetFormatPr baseColWidth="10" defaultColWidth="10.6640625" defaultRowHeight="16" x14ac:dyDescent="0.2"/>
  <cols>
    <col min="1" max="1" width="14.83203125" bestFit="1" customWidth="1"/>
    <col min="2" max="2" width="19.33203125" style="8" bestFit="1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180</v>
      </c>
      <c r="B2" s="8" t="str">
        <f>A2&amp;COUNTIF($A$2:$A2,A2)</f>
        <v>Team Egan1</v>
      </c>
      <c r="G2" s="8" t="str" cm="1">
        <f t="array" ref="G2:G9">_xlfn.UNIQUE(A2:A88)</f>
        <v>Team Egan</v>
      </c>
    </row>
    <row r="3" spans="1:7" x14ac:dyDescent="0.2">
      <c r="A3" t="s">
        <v>180</v>
      </c>
      <c r="B3" s="8" t="str">
        <f>A3&amp;COUNTIF($A$2:$A3,A3)</f>
        <v>Team Egan2</v>
      </c>
      <c r="G3" s="8" t="str">
        <v>Team Covington</v>
      </c>
    </row>
    <row r="4" spans="1:7" x14ac:dyDescent="0.2">
      <c r="A4" t="s">
        <v>180</v>
      </c>
      <c r="B4" s="8" t="str">
        <f>A4&amp;COUNTIF($A$2:$A4,A4)</f>
        <v>Team Egan3</v>
      </c>
      <c r="G4" s="8" t="str">
        <v>Team Drisdom</v>
      </c>
    </row>
    <row r="5" spans="1:7" x14ac:dyDescent="0.2">
      <c r="A5" t="s">
        <v>180</v>
      </c>
      <c r="B5" s="8" t="str">
        <f>A5&amp;COUNTIF($A$2:$A5,A5)</f>
        <v>Team Egan4</v>
      </c>
      <c r="G5" s="8" t="str">
        <v>Team Bullock</v>
      </c>
    </row>
    <row r="6" spans="1:7" x14ac:dyDescent="0.2">
      <c r="A6" t="s">
        <v>180</v>
      </c>
      <c r="B6" s="8" t="str">
        <f>A6&amp;COUNTIF($A$2:$A6,A6)</f>
        <v>Team Egan5</v>
      </c>
      <c r="G6" s="8" t="str">
        <v>Team Erickson</v>
      </c>
    </row>
    <row r="7" spans="1:7" x14ac:dyDescent="0.2">
      <c r="A7" t="s">
        <v>180</v>
      </c>
      <c r="B7" s="8" t="str">
        <f>A7&amp;COUNTIF($A$2:$A7,A7)</f>
        <v>Team Egan6</v>
      </c>
      <c r="G7" s="8" t="str">
        <v>Team Joyce</v>
      </c>
    </row>
    <row r="8" spans="1:7" x14ac:dyDescent="0.2">
      <c r="A8" t="s">
        <v>180</v>
      </c>
      <c r="B8" s="8" t="str">
        <f>A8&amp;COUNTIF($A$2:$A8,A8)</f>
        <v>Team Egan7</v>
      </c>
      <c r="G8" s="8" t="str">
        <v>Team Berger</v>
      </c>
    </row>
    <row r="9" spans="1:7" x14ac:dyDescent="0.2">
      <c r="A9" t="s">
        <v>180</v>
      </c>
      <c r="B9" s="8" t="str">
        <f>A9&amp;COUNTIF($A$2:$A9,A9)</f>
        <v>Team Egan8</v>
      </c>
      <c r="G9" s="8" t="str">
        <v>Team Stan</v>
      </c>
    </row>
    <row r="10" spans="1:7" x14ac:dyDescent="0.2">
      <c r="A10" t="s">
        <v>180</v>
      </c>
      <c r="B10" s="8" t="str">
        <f>A10&amp;COUNTIF($A$2:$A10,A10)</f>
        <v>Team Egan9</v>
      </c>
      <c r="G10" s="8" t="s">
        <v>182</v>
      </c>
    </row>
    <row r="11" spans="1:7" x14ac:dyDescent="0.2">
      <c r="A11" t="s">
        <v>161</v>
      </c>
      <c r="B11" s="8" t="str">
        <f>A11&amp;COUNTIF($A$2:$A11,A11)</f>
        <v>Team Covington1</v>
      </c>
      <c r="C11" t="s">
        <v>179</v>
      </c>
      <c r="D11" t="s">
        <v>178</v>
      </c>
      <c r="E11">
        <v>34</v>
      </c>
    </row>
    <row r="12" spans="1:7" x14ac:dyDescent="0.2">
      <c r="A12" t="s">
        <v>161</v>
      </c>
      <c r="B12" s="8" t="str">
        <f>A12&amp;COUNTIF($A$2:$A12,A12)</f>
        <v>Team Covington2</v>
      </c>
      <c r="C12" t="s">
        <v>160</v>
      </c>
      <c r="D12" t="s">
        <v>177</v>
      </c>
      <c r="E12">
        <v>4</v>
      </c>
    </row>
    <row r="13" spans="1:7" x14ac:dyDescent="0.2">
      <c r="A13" t="s">
        <v>161</v>
      </c>
      <c r="B13" s="8" t="str">
        <f>A13&amp;COUNTIF($A$2:$A13,A13)</f>
        <v>Team Covington3</v>
      </c>
      <c r="C13" t="s">
        <v>176</v>
      </c>
      <c r="D13" t="s">
        <v>175</v>
      </c>
      <c r="E13">
        <v>21</v>
      </c>
    </row>
    <row r="14" spans="1:7" x14ac:dyDescent="0.2">
      <c r="A14" t="s">
        <v>161</v>
      </c>
      <c r="B14" s="8" t="str">
        <f>A14&amp;COUNTIF($A$2:$A14,A14)</f>
        <v>Team Covington4</v>
      </c>
      <c r="C14" t="s">
        <v>174</v>
      </c>
      <c r="D14" t="s">
        <v>173</v>
      </c>
      <c r="E14">
        <v>87</v>
      </c>
    </row>
    <row r="15" spans="1:7" x14ac:dyDescent="0.2">
      <c r="A15" t="s">
        <v>161</v>
      </c>
      <c r="B15" s="8" t="str">
        <f>A15&amp;COUNTIF($A$2:$A15,A15)</f>
        <v>Team Covington5</v>
      </c>
      <c r="C15" t="s">
        <v>172</v>
      </c>
      <c r="D15" t="s">
        <v>154</v>
      </c>
      <c r="E15">
        <v>23</v>
      </c>
    </row>
    <row r="16" spans="1:7" x14ac:dyDescent="0.2">
      <c r="A16" t="s">
        <v>161</v>
      </c>
      <c r="B16" s="8" t="str">
        <f>A16&amp;COUNTIF($A$2:$A16,A16)</f>
        <v>Team Covington6</v>
      </c>
      <c r="C16" t="s">
        <v>171</v>
      </c>
      <c r="D16" t="s">
        <v>170</v>
      </c>
      <c r="E16">
        <v>2</v>
      </c>
    </row>
    <row r="17" spans="1:5" x14ac:dyDescent="0.2">
      <c r="A17" t="s">
        <v>161</v>
      </c>
      <c r="B17" s="8" t="str">
        <f>A17&amp;COUNTIF($A$2:$A17,A17)</f>
        <v>Team Covington7</v>
      </c>
      <c r="C17" t="s">
        <v>169</v>
      </c>
      <c r="D17" t="s">
        <v>168</v>
      </c>
      <c r="E17">
        <v>10</v>
      </c>
    </row>
    <row r="18" spans="1:5" x14ac:dyDescent="0.2">
      <c r="A18" t="s">
        <v>161</v>
      </c>
      <c r="B18" s="8" t="str">
        <f>A18&amp;COUNTIF($A$2:$A18,A18)</f>
        <v>Team Covington8</v>
      </c>
      <c r="C18" t="s">
        <v>150</v>
      </c>
      <c r="D18" t="s">
        <v>167</v>
      </c>
      <c r="E18">
        <v>25</v>
      </c>
    </row>
    <row r="19" spans="1:5" x14ac:dyDescent="0.2">
      <c r="A19" t="s">
        <v>161</v>
      </c>
      <c r="B19" s="8" t="str">
        <f>A19&amp;COUNTIF($A$2:$A19,A19)</f>
        <v>Team Covington9</v>
      </c>
      <c r="C19" t="s">
        <v>166</v>
      </c>
      <c r="D19" t="s">
        <v>165</v>
      </c>
      <c r="E19">
        <v>3</v>
      </c>
    </row>
    <row r="20" spans="1:5" x14ac:dyDescent="0.2">
      <c r="A20" t="s">
        <v>161</v>
      </c>
      <c r="B20" s="8" t="str">
        <f>A20&amp;COUNTIF($A$2:$A20,A20)</f>
        <v>Team Covington10</v>
      </c>
      <c r="C20" t="s">
        <v>165</v>
      </c>
      <c r="D20" t="s">
        <v>164</v>
      </c>
      <c r="E20">
        <v>33</v>
      </c>
    </row>
    <row r="21" spans="1:5" x14ac:dyDescent="0.2">
      <c r="A21" t="s">
        <v>161</v>
      </c>
      <c r="B21" s="8" t="str">
        <f>A21&amp;COUNTIF($A$2:$A21,A21)</f>
        <v>Team Covington11</v>
      </c>
      <c r="C21" t="s">
        <v>163</v>
      </c>
      <c r="D21" t="s">
        <v>162</v>
      </c>
      <c r="E21">
        <v>16</v>
      </c>
    </row>
    <row r="22" spans="1:5" x14ac:dyDescent="0.2">
      <c r="A22" t="s">
        <v>161</v>
      </c>
      <c r="B22" s="8" t="str">
        <f>A22&amp;COUNTIF($A$2:$A22,A22)</f>
        <v>Team Covington12</v>
      </c>
      <c r="C22" t="s">
        <v>160</v>
      </c>
      <c r="D22" t="s">
        <v>159</v>
      </c>
      <c r="E22">
        <v>14</v>
      </c>
    </row>
    <row r="23" spans="1:5" x14ac:dyDescent="0.2">
      <c r="A23" t="s">
        <v>141</v>
      </c>
      <c r="B23" s="8" t="str">
        <f>A23&amp;COUNTIF($A$2:$A23,A23)</f>
        <v>Team Drisdom1</v>
      </c>
      <c r="C23" t="s">
        <v>158</v>
      </c>
      <c r="D23" t="s">
        <v>147</v>
      </c>
      <c r="E23">
        <v>7</v>
      </c>
    </row>
    <row r="24" spans="1:5" x14ac:dyDescent="0.2">
      <c r="A24" t="s">
        <v>141</v>
      </c>
      <c r="B24" s="8" t="str">
        <f>A24&amp;COUNTIF($A$2:$A24,A24)</f>
        <v>Team Drisdom2</v>
      </c>
      <c r="C24" t="s">
        <v>157</v>
      </c>
      <c r="D24" t="s">
        <v>156</v>
      </c>
      <c r="E24">
        <v>5</v>
      </c>
    </row>
    <row r="25" spans="1:5" x14ac:dyDescent="0.2">
      <c r="A25" t="s">
        <v>141</v>
      </c>
      <c r="B25" s="8" t="str">
        <f>A25&amp;COUNTIF($A$2:$A25,A25)</f>
        <v>Team Drisdom3</v>
      </c>
      <c r="C25" t="s">
        <v>155</v>
      </c>
      <c r="D25" t="s">
        <v>154</v>
      </c>
      <c r="E25">
        <v>10</v>
      </c>
    </row>
    <row r="26" spans="1:5" x14ac:dyDescent="0.2">
      <c r="A26" t="s">
        <v>141</v>
      </c>
      <c r="B26" s="8" t="str">
        <f>A26&amp;COUNTIF($A$2:$A26,A26)</f>
        <v>Team Drisdom4</v>
      </c>
      <c r="C26" t="s">
        <v>153</v>
      </c>
      <c r="D26" t="s">
        <v>151</v>
      </c>
      <c r="E26">
        <v>11</v>
      </c>
    </row>
    <row r="27" spans="1:5" x14ac:dyDescent="0.2">
      <c r="A27" t="s">
        <v>141</v>
      </c>
      <c r="B27" s="8" t="str">
        <f>A27&amp;COUNTIF($A$2:$A27,A27)</f>
        <v>Team Drisdom5</v>
      </c>
      <c r="C27" t="s">
        <v>152</v>
      </c>
      <c r="D27" t="s">
        <v>151</v>
      </c>
      <c r="E27">
        <v>2</v>
      </c>
    </row>
    <row r="28" spans="1:5" x14ac:dyDescent="0.2">
      <c r="A28" t="s">
        <v>141</v>
      </c>
      <c r="B28" s="8" t="str">
        <f>A28&amp;COUNTIF($A$2:$A28,A28)</f>
        <v>Team Drisdom6</v>
      </c>
      <c r="C28" t="s">
        <v>150</v>
      </c>
      <c r="D28" t="s">
        <v>149</v>
      </c>
      <c r="E28">
        <v>0</v>
      </c>
    </row>
    <row r="29" spans="1:5" x14ac:dyDescent="0.2">
      <c r="A29" t="s">
        <v>141</v>
      </c>
      <c r="B29" s="8" t="str">
        <f>A29&amp;COUNTIF($A$2:$A29,A29)</f>
        <v>Team Drisdom7</v>
      </c>
      <c r="C29" t="s">
        <v>148</v>
      </c>
      <c r="D29" t="s">
        <v>147</v>
      </c>
      <c r="E29">
        <v>13</v>
      </c>
    </row>
    <row r="30" spans="1:5" x14ac:dyDescent="0.2">
      <c r="A30" t="s">
        <v>141</v>
      </c>
      <c r="B30" s="8" t="str">
        <f>A30&amp;COUNTIF($A$2:$A30,A30)</f>
        <v>Team Drisdom8</v>
      </c>
      <c r="C30" t="s">
        <v>146</v>
      </c>
      <c r="D30" t="s">
        <v>145</v>
      </c>
      <c r="E30">
        <v>1</v>
      </c>
    </row>
    <row r="31" spans="1:5" x14ac:dyDescent="0.2">
      <c r="A31" t="s">
        <v>141</v>
      </c>
      <c r="B31" s="8" t="str">
        <f>A31&amp;COUNTIF($A$2:$A31,A31)</f>
        <v>Team Drisdom9</v>
      </c>
      <c r="C31" t="s">
        <v>144</v>
      </c>
      <c r="D31" t="s">
        <v>74</v>
      </c>
      <c r="E31">
        <v>4</v>
      </c>
    </row>
    <row r="32" spans="1:5" x14ac:dyDescent="0.2">
      <c r="A32" t="s">
        <v>141</v>
      </c>
      <c r="B32" s="8" t="str">
        <f>A32&amp;COUNTIF($A$2:$A32,A32)</f>
        <v>Team Drisdom10</v>
      </c>
      <c r="C32" t="s">
        <v>143</v>
      </c>
      <c r="D32" t="s">
        <v>142</v>
      </c>
      <c r="E32">
        <v>6</v>
      </c>
    </row>
    <row r="33" spans="1:5" x14ac:dyDescent="0.2">
      <c r="A33" t="s">
        <v>141</v>
      </c>
      <c r="B33" s="8" t="str">
        <f>A33&amp;COUNTIF($A$2:$A33,A33)</f>
        <v>Team Drisdom11</v>
      </c>
      <c r="C33" t="s">
        <v>140</v>
      </c>
      <c r="D33" t="s">
        <v>139</v>
      </c>
      <c r="E33">
        <v>20</v>
      </c>
    </row>
    <row r="34" spans="1:5" x14ac:dyDescent="0.2">
      <c r="A34" t="s">
        <v>116</v>
      </c>
      <c r="B34" s="8" t="str">
        <f>A34&amp;COUNTIF($A$2:$A34,A34)</f>
        <v>Team Bullock1</v>
      </c>
      <c r="C34" t="s">
        <v>138</v>
      </c>
      <c r="D34" t="s">
        <v>137</v>
      </c>
      <c r="E34">
        <v>3</v>
      </c>
    </row>
    <row r="35" spans="1:5" x14ac:dyDescent="0.2">
      <c r="A35" t="s">
        <v>116</v>
      </c>
      <c r="B35" s="8" t="str">
        <f>A35&amp;COUNTIF($A$2:$A35,A35)</f>
        <v>Team Bullock2</v>
      </c>
      <c r="C35" t="s">
        <v>136</v>
      </c>
      <c r="D35" t="s">
        <v>135</v>
      </c>
      <c r="E35">
        <v>21</v>
      </c>
    </row>
    <row r="36" spans="1:5" x14ac:dyDescent="0.2">
      <c r="A36" t="s">
        <v>116</v>
      </c>
      <c r="B36" s="8" t="str">
        <f>A36&amp;COUNTIF($A$2:$A36,A36)</f>
        <v>Team Bullock3</v>
      </c>
      <c r="C36" t="s">
        <v>134</v>
      </c>
      <c r="D36" t="s">
        <v>133</v>
      </c>
      <c r="E36">
        <v>15</v>
      </c>
    </row>
    <row r="37" spans="1:5" x14ac:dyDescent="0.2">
      <c r="A37" t="s">
        <v>116</v>
      </c>
      <c r="B37" s="8" t="str">
        <f>A37&amp;COUNTIF($A$2:$A37,A37)</f>
        <v>Team Bullock4</v>
      </c>
      <c r="C37" t="s">
        <v>132</v>
      </c>
      <c r="D37" t="s">
        <v>131</v>
      </c>
      <c r="E37">
        <v>5</v>
      </c>
    </row>
    <row r="38" spans="1:5" x14ac:dyDescent="0.2">
      <c r="A38" t="s">
        <v>116</v>
      </c>
      <c r="B38" s="8" t="str">
        <f>A38&amp;COUNTIF($A$2:$A38,A38)</f>
        <v>Team Bullock5</v>
      </c>
      <c r="C38" t="s">
        <v>130</v>
      </c>
      <c r="D38" t="s">
        <v>129</v>
      </c>
      <c r="E38">
        <v>7</v>
      </c>
    </row>
    <row r="39" spans="1:5" x14ac:dyDescent="0.2">
      <c r="A39" t="s">
        <v>116</v>
      </c>
      <c r="B39" s="8" t="str">
        <f>A39&amp;COUNTIF($A$2:$A39,A39)</f>
        <v>Team Bullock6</v>
      </c>
      <c r="C39" t="s">
        <v>128</v>
      </c>
      <c r="D39" t="s">
        <v>127</v>
      </c>
      <c r="E39">
        <v>24</v>
      </c>
    </row>
    <row r="40" spans="1:5" x14ac:dyDescent="0.2">
      <c r="A40" t="s">
        <v>116</v>
      </c>
      <c r="B40" s="8" t="str">
        <f>A40&amp;COUNTIF($A$2:$A40,A40)</f>
        <v>Team Bullock7</v>
      </c>
      <c r="C40" t="s">
        <v>126</v>
      </c>
      <c r="D40" t="s">
        <v>125</v>
      </c>
      <c r="E40">
        <v>8</v>
      </c>
    </row>
    <row r="41" spans="1:5" x14ac:dyDescent="0.2">
      <c r="A41" t="s">
        <v>116</v>
      </c>
      <c r="B41" s="8" t="str">
        <f>A41&amp;COUNTIF($A$2:$A41,A41)</f>
        <v>Team Bullock8</v>
      </c>
      <c r="C41" t="s">
        <v>124</v>
      </c>
      <c r="D41" t="s">
        <v>123</v>
      </c>
      <c r="E41">
        <v>20</v>
      </c>
    </row>
    <row r="42" spans="1:5" x14ac:dyDescent="0.2">
      <c r="A42" t="s">
        <v>116</v>
      </c>
      <c r="B42" s="8" t="str">
        <f>A42&amp;COUNTIF($A$2:$A42,A42)</f>
        <v>Team Bullock9</v>
      </c>
      <c r="C42" t="s">
        <v>122</v>
      </c>
      <c r="D42" t="s">
        <v>121</v>
      </c>
      <c r="E42">
        <v>22</v>
      </c>
    </row>
    <row r="43" spans="1:5" x14ac:dyDescent="0.2">
      <c r="A43" t="s">
        <v>116</v>
      </c>
      <c r="B43" s="8" t="str">
        <f>A43&amp;COUNTIF($A$2:$A43,A43)</f>
        <v>Team Bullock10</v>
      </c>
      <c r="C43" t="s">
        <v>120</v>
      </c>
      <c r="D43" t="s">
        <v>119</v>
      </c>
      <c r="E43">
        <v>23</v>
      </c>
    </row>
    <row r="44" spans="1:5" x14ac:dyDescent="0.2">
      <c r="A44" t="s">
        <v>116</v>
      </c>
      <c r="B44" s="8" t="str">
        <f>A44&amp;COUNTIF($A$2:$A44,A44)</f>
        <v>Team Bullock11</v>
      </c>
      <c r="C44" t="s">
        <v>118</v>
      </c>
      <c r="D44" t="s">
        <v>117</v>
      </c>
      <c r="E44">
        <v>12</v>
      </c>
    </row>
    <row r="45" spans="1:5" x14ac:dyDescent="0.2">
      <c r="A45" t="s">
        <v>116</v>
      </c>
      <c r="B45" s="8" t="str">
        <f>A45&amp;COUNTIF($A$2:$A45,A45)</f>
        <v>Team Bullock12</v>
      </c>
      <c r="C45" t="s">
        <v>115</v>
      </c>
      <c r="D45" t="s">
        <v>114</v>
      </c>
      <c r="E45">
        <v>23</v>
      </c>
    </row>
    <row r="46" spans="1:5" x14ac:dyDescent="0.2">
      <c r="A46" t="s">
        <v>101</v>
      </c>
      <c r="B46" s="8" t="str">
        <f>A46&amp;COUNTIF($A$2:$A46,A46)</f>
        <v>Team Erickson1</v>
      </c>
      <c r="C46" t="s">
        <v>105</v>
      </c>
      <c r="D46" t="s">
        <v>113</v>
      </c>
      <c r="E46">
        <v>20</v>
      </c>
    </row>
    <row r="47" spans="1:5" x14ac:dyDescent="0.2">
      <c r="A47" t="s">
        <v>101</v>
      </c>
      <c r="B47" s="8" t="str">
        <f>A47&amp;COUNTIF($A$2:$A47,A47)</f>
        <v>Team Erickson2</v>
      </c>
      <c r="C47" t="s">
        <v>112</v>
      </c>
      <c r="D47" t="s">
        <v>111</v>
      </c>
      <c r="E47">
        <v>3</v>
      </c>
    </row>
    <row r="48" spans="1:5" x14ac:dyDescent="0.2">
      <c r="A48" t="s">
        <v>101</v>
      </c>
      <c r="B48" s="8" t="str">
        <f>A48&amp;COUNTIF($A$2:$A48,A48)</f>
        <v>Team Erickson3</v>
      </c>
      <c r="C48" t="s">
        <v>110</v>
      </c>
      <c r="D48" t="s">
        <v>109</v>
      </c>
      <c r="E48">
        <v>5</v>
      </c>
    </row>
    <row r="49" spans="1:5" x14ac:dyDescent="0.2">
      <c r="A49" t="s">
        <v>101</v>
      </c>
      <c r="B49" s="8" t="str">
        <f>A49&amp;COUNTIF($A$2:$A49,A49)</f>
        <v>Team Erickson4</v>
      </c>
      <c r="C49" t="s">
        <v>108</v>
      </c>
      <c r="D49" t="s">
        <v>53</v>
      </c>
      <c r="E49">
        <v>30</v>
      </c>
    </row>
    <row r="50" spans="1:5" x14ac:dyDescent="0.2">
      <c r="A50" t="s">
        <v>101</v>
      </c>
      <c r="B50" s="8" t="str">
        <f>A50&amp;COUNTIF($A$2:$A50,A50)</f>
        <v>Team Erickson5</v>
      </c>
      <c r="C50" t="s">
        <v>107</v>
      </c>
      <c r="D50" t="s">
        <v>106</v>
      </c>
      <c r="E50">
        <v>4</v>
      </c>
    </row>
    <row r="51" spans="1:5" x14ac:dyDescent="0.2">
      <c r="A51" t="s">
        <v>101</v>
      </c>
      <c r="B51" s="8" t="str">
        <f>A51&amp;COUNTIF($A$2:$A51,A51)</f>
        <v>Team Erickson6</v>
      </c>
      <c r="C51" t="s">
        <v>105</v>
      </c>
      <c r="D51" t="s">
        <v>104</v>
      </c>
      <c r="E51">
        <v>13</v>
      </c>
    </row>
    <row r="52" spans="1:5" x14ac:dyDescent="0.2">
      <c r="A52" t="s">
        <v>101</v>
      </c>
      <c r="B52" s="8" t="str">
        <f>A52&amp;COUNTIF($A$2:$A52,A52)</f>
        <v>Team Erickson7</v>
      </c>
      <c r="C52" t="s">
        <v>103</v>
      </c>
      <c r="D52" t="s">
        <v>102</v>
      </c>
      <c r="E52">
        <v>0</v>
      </c>
    </row>
    <row r="53" spans="1:5" x14ac:dyDescent="0.2">
      <c r="A53" t="s">
        <v>101</v>
      </c>
      <c r="B53" s="8" t="str">
        <f>A53&amp;COUNTIF($A$2:$A53,A53)</f>
        <v>Team Erickson8</v>
      </c>
      <c r="C53" t="s">
        <v>100</v>
      </c>
      <c r="D53" t="s">
        <v>99</v>
      </c>
      <c r="E53">
        <v>35</v>
      </c>
    </row>
    <row r="54" spans="1:5" x14ac:dyDescent="0.2">
      <c r="A54" t="s">
        <v>78</v>
      </c>
      <c r="B54" s="8" t="str">
        <f>A54&amp;COUNTIF($A$2:$A54,A54)</f>
        <v>Team Joyce1</v>
      </c>
      <c r="C54" t="s">
        <v>98</v>
      </c>
      <c r="D54" t="s">
        <v>97</v>
      </c>
      <c r="E54">
        <v>34</v>
      </c>
    </row>
    <row r="55" spans="1:5" x14ac:dyDescent="0.2">
      <c r="A55" t="s">
        <v>78</v>
      </c>
      <c r="B55" s="8" t="str">
        <f>A55&amp;COUNTIF($A$2:$A55,A55)</f>
        <v>Team Joyce2</v>
      </c>
      <c r="C55" t="s">
        <v>96</v>
      </c>
      <c r="D55" t="s">
        <v>95</v>
      </c>
      <c r="E55">
        <v>0</v>
      </c>
    </row>
    <row r="56" spans="1:5" x14ac:dyDescent="0.2">
      <c r="A56" t="s">
        <v>78</v>
      </c>
      <c r="B56" s="8" t="str">
        <f>A56&amp;COUNTIF($A$2:$A56,A56)</f>
        <v>Team Joyce3</v>
      </c>
      <c r="C56" t="s">
        <v>94</v>
      </c>
      <c r="D56" t="s">
        <v>93</v>
      </c>
      <c r="E56">
        <v>23</v>
      </c>
    </row>
    <row r="57" spans="1:5" x14ac:dyDescent="0.2">
      <c r="A57" t="s">
        <v>78</v>
      </c>
      <c r="B57" s="8" t="str">
        <f>A57&amp;COUNTIF($A$2:$A57,A57)</f>
        <v>Team Joyce4</v>
      </c>
      <c r="C57" t="s">
        <v>92</v>
      </c>
      <c r="D57" t="s">
        <v>91</v>
      </c>
      <c r="E57">
        <v>3</v>
      </c>
    </row>
    <row r="58" spans="1:5" x14ac:dyDescent="0.2">
      <c r="A58" t="s">
        <v>78</v>
      </c>
      <c r="B58" s="8" t="str">
        <f>A58&amp;COUNTIF($A$2:$A58,A58)</f>
        <v>Team Joyce5</v>
      </c>
      <c r="C58" t="s">
        <v>90</v>
      </c>
      <c r="D58" t="s">
        <v>89</v>
      </c>
      <c r="E58">
        <v>35</v>
      </c>
    </row>
    <row r="59" spans="1:5" x14ac:dyDescent="0.2">
      <c r="A59" t="s">
        <v>78</v>
      </c>
      <c r="B59" s="8" t="str">
        <f>A59&amp;COUNTIF($A$2:$A59,A59)</f>
        <v>Team Joyce6</v>
      </c>
      <c r="C59" t="s">
        <v>88</v>
      </c>
      <c r="D59" t="s">
        <v>87</v>
      </c>
      <c r="E59">
        <v>31</v>
      </c>
    </row>
    <row r="60" spans="1:5" x14ac:dyDescent="0.2">
      <c r="A60" t="s">
        <v>78</v>
      </c>
      <c r="B60" s="8" t="str">
        <f>A60&amp;COUNTIF($A$2:$A60,A60)</f>
        <v>Team Joyce7</v>
      </c>
      <c r="C60" t="s">
        <v>86</v>
      </c>
      <c r="D60" t="s">
        <v>85</v>
      </c>
      <c r="E60">
        <v>21</v>
      </c>
    </row>
    <row r="61" spans="1:5" x14ac:dyDescent="0.2">
      <c r="A61" t="s">
        <v>78</v>
      </c>
      <c r="B61" s="8" t="str">
        <f>A61&amp;COUNTIF($A$2:$A61,A61)</f>
        <v>Team Joyce8</v>
      </c>
      <c r="C61" t="s">
        <v>84</v>
      </c>
      <c r="D61" t="s">
        <v>83</v>
      </c>
      <c r="E61">
        <v>11</v>
      </c>
    </row>
    <row r="62" spans="1:5" x14ac:dyDescent="0.2">
      <c r="A62" t="s">
        <v>78</v>
      </c>
      <c r="B62" s="8" t="str">
        <f>A62&amp;COUNTIF($A$2:$A62,A62)</f>
        <v>Team Joyce9</v>
      </c>
      <c r="C62" t="s">
        <v>82</v>
      </c>
      <c r="D62" t="s">
        <v>81</v>
      </c>
      <c r="E62">
        <v>24</v>
      </c>
    </row>
    <row r="63" spans="1:5" x14ac:dyDescent="0.2">
      <c r="A63" t="s">
        <v>78</v>
      </c>
      <c r="B63" s="8" t="str">
        <f>A63&amp;COUNTIF($A$2:$A63,A63)</f>
        <v>Team Joyce10</v>
      </c>
      <c r="C63" t="s">
        <v>80</v>
      </c>
      <c r="D63" t="s">
        <v>79</v>
      </c>
      <c r="E63">
        <v>1</v>
      </c>
    </row>
    <row r="64" spans="1:5" x14ac:dyDescent="0.2">
      <c r="A64" t="s">
        <v>78</v>
      </c>
      <c r="B64" s="8" t="str">
        <f>A64&amp;COUNTIF($A$2:$A64,A64)</f>
        <v>Team Joyce11</v>
      </c>
      <c r="C64" t="s">
        <v>77</v>
      </c>
      <c r="D64" t="s">
        <v>76</v>
      </c>
      <c r="E64">
        <v>10</v>
      </c>
    </row>
    <row r="65" spans="1:5" x14ac:dyDescent="0.2">
      <c r="A65" t="s">
        <v>57</v>
      </c>
      <c r="B65" s="8" t="str">
        <f>A65&amp;COUNTIF($A$2:$A65,A65)</f>
        <v>Team Berger1</v>
      </c>
      <c r="C65" t="s">
        <v>75</v>
      </c>
      <c r="D65" t="s">
        <v>74</v>
      </c>
      <c r="E65">
        <v>60</v>
      </c>
    </row>
    <row r="66" spans="1:5" x14ac:dyDescent="0.2">
      <c r="A66" t="s">
        <v>57</v>
      </c>
      <c r="B66" s="8" t="str">
        <f>A66&amp;COUNTIF($A$2:$A66,A66)</f>
        <v>Team Berger2</v>
      </c>
      <c r="C66" t="s">
        <v>73</v>
      </c>
      <c r="D66" t="s">
        <v>72</v>
      </c>
      <c r="E66" s="7">
        <v>7</v>
      </c>
    </row>
    <row r="67" spans="1:5" x14ac:dyDescent="0.2">
      <c r="A67" t="s">
        <v>57</v>
      </c>
      <c r="B67" s="8" t="str">
        <f>A67&amp;COUNTIF($A$2:$A67,A67)</f>
        <v>Team Berger3</v>
      </c>
      <c r="C67" t="s">
        <v>71</v>
      </c>
      <c r="D67" t="s">
        <v>18</v>
      </c>
      <c r="E67">
        <v>12</v>
      </c>
    </row>
    <row r="68" spans="1:5" x14ac:dyDescent="0.2">
      <c r="A68" t="s">
        <v>57</v>
      </c>
      <c r="B68" s="8" t="str">
        <f>A68&amp;COUNTIF($A$2:$A68,A68)</f>
        <v>Team Berger4</v>
      </c>
      <c r="C68" t="s">
        <v>70</v>
      </c>
      <c r="D68" t="s">
        <v>69</v>
      </c>
      <c r="E68">
        <v>99</v>
      </c>
    </row>
    <row r="69" spans="1:5" x14ac:dyDescent="0.2">
      <c r="A69" t="s">
        <v>57</v>
      </c>
      <c r="B69" s="8" t="str">
        <f>A69&amp;COUNTIF($A$2:$A69,A69)</f>
        <v>Team Berger5</v>
      </c>
      <c r="C69" t="s">
        <v>68</v>
      </c>
      <c r="D69" t="s">
        <v>67</v>
      </c>
      <c r="E69">
        <v>33</v>
      </c>
    </row>
    <row r="70" spans="1:5" x14ac:dyDescent="0.2">
      <c r="A70" t="s">
        <v>57</v>
      </c>
      <c r="B70" s="8" t="str">
        <f>A70&amp;COUNTIF($A$2:$A70,A70)</f>
        <v>Team Berger6</v>
      </c>
      <c r="C70" t="s">
        <v>66</v>
      </c>
      <c r="D70" t="s">
        <v>65</v>
      </c>
      <c r="E70">
        <v>24</v>
      </c>
    </row>
    <row r="71" spans="1:5" x14ac:dyDescent="0.2">
      <c r="A71" t="s">
        <v>57</v>
      </c>
      <c r="B71" s="8" t="str">
        <f>A71&amp;COUNTIF($A$2:$A71,A71)</f>
        <v>Team Berger7</v>
      </c>
      <c r="C71" t="s">
        <v>64</v>
      </c>
      <c r="D71" t="s">
        <v>63</v>
      </c>
      <c r="E71">
        <v>21</v>
      </c>
    </row>
    <row r="72" spans="1:5" x14ac:dyDescent="0.2">
      <c r="A72" t="s">
        <v>57</v>
      </c>
      <c r="B72" s="8" t="str">
        <f>A72&amp;COUNTIF($A$2:$A72,A72)</f>
        <v>Team Berger8</v>
      </c>
      <c r="C72" t="s">
        <v>62</v>
      </c>
      <c r="D72" t="s">
        <v>61</v>
      </c>
      <c r="E72">
        <v>15</v>
      </c>
    </row>
    <row r="73" spans="1:5" x14ac:dyDescent="0.2">
      <c r="A73" t="s">
        <v>57</v>
      </c>
      <c r="B73" s="8" t="str">
        <f>A73&amp;COUNTIF($A$2:$A73,A73)</f>
        <v>Team Berger9</v>
      </c>
      <c r="C73" t="s">
        <v>60</v>
      </c>
      <c r="D73" t="s">
        <v>59</v>
      </c>
      <c r="E73">
        <v>2</v>
      </c>
    </row>
    <row r="74" spans="1:5" x14ac:dyDescent="0.2">
      <c r="A74" t="s">
        <v>57</v>
      </c>
      <c r="B74" s="8" t="str">
        <f>A74&amp;COUNTIF($A$2:$A74,A74)</f>
        <v>Team Berger10</v>
      </c>
      <c r="C74" t="s">
        <v>58</v>
      </c>
      <c r="E74">
        <v>6</v>
      </c>
    </row>
    <row r="75" spans="1:5" x14ac:dyDescent="0.2">
      <c r="A75" t="s">
        <v>57</v>
      </c>
      <c r="B75" s="8" t="str">
        <f>A75&amp;COUNTIF($A$2:$A75,A75)</f>
        <v>Team Berger11</v>
      </c>
      <c r="C75" t="s">
        <v>56</v>
      </c>
      <c r="D75" t="s">
        <v>55</v>
      </c>
    </row>
    <row r="76" spans="1:5" x14ac:dyDescent="0.2">
      <c r="A76" t="s">
        <v>30</v>
      </c>
      <c r="B76" s="8" t="str">
        <f>A76&amp;COUNTIF($A$2:$A76,A76)</f>
        <v>Team Stan1</v>
      </c>
      <c r="C76" t="s">
        <v>54</v>
      </c>
      <c r="D76" t="s">
        <v>53</v>
      </c>
      <c r="E76">
        <v>0</v>
      </c>
    </row>
    <row r="77" spans="1:5" x14ac:dyDescent="0.2">
      <c r="A77" t="s">
        <v>30</v>
      </c>
      <c r="B77" s="8" t="str">
        <f>A77&amp;COUNTIF($A$2:$A77,A77)</f>
        <v>Team Stan2</v>
      </c>
      <c r="C77" t="s">
        <v>52</v>
      </c>
      <c r="D77" t="s">
        <v>51</v>
      </c>
      <c r="E77">
        <v>32</v>
      </c>
    </row>
    <row r="78" spans="1:5" x14ac:dyDescent="0.2">
      <c r="A78" t="s">
        <v>30</v>
      </c>
      <c r="B78" s="8" t="str">
        <f>A78&amp;COUNTIF($A$2:$A78,A78)</f>
        <v>Team Stan3</v>
      </c>
      <c r="C78" t="s">
        <v>50</v>
      </c>
      <c r="D78" t="s">
        <v>49</v>
      </c>
      <c r="E78">
        <v>1</v>
      </c>
    </row>
    <row r="79" spans="1:5" x14ac:dyDescent="0.2">
      <c r="A79" t="s">
        <v>30</v>
      </c>
      <c r="B79" s="8" t="str">
        <f>A79&amp;COUNTIF($A$2:$A79,A79)</f>
        <v>Team Stan4</v>
      </c>
      <c r="C79" t="s">
        <v>48</v>
      </c>
      <c r="D79" t="s">
        <v>47</v>
      </c>
      <c r="E79">
        <v>5</v>
      </c>
    </row>
    <row r="80" spans="1:5" x14ac:dyDescent="0.2">
      <c r="A80" t="s">
        <v>30</v>
      </c>
      <c r="B80" s="8" t="str">
        <f>A80&amp;COUNTIF($A$2:$A80,A80)</f>
        <v>Team Stan5</v>
      </c>
      <c r="C80" t="s">
        <v>46</v>
      </c>
      <c r="D80" t="s">
        <v>45</v>
      </c>
      <c r="E80">
        <v>2</v>
      </c>
    </row>
    <row r="81" spans="1:5" x14ac:dyDescent="0.2">
      <c r="A81" t="s">
        <v>30</v>
      </c>
      <c r="B81" s="8" t="str">
        <f>A81&amp;COUNTIF($A$2:$A81,A81)</f>
        <v>Team Stan6</v>
      </c>
      <c r="C81" t="s">
        <v>44</v>
      </c>
      <c r="D81" t="s">
        <v>43</v>
      </c>
      <c r="E81">
        <v>11</v>
      </c>
    </row>
    <row r="82" spans="1:5" x14ac:dyDescent="0.2">
      <c r="A82" t="s">
        <v>30</v>
      </c>
      <c r="B82" s="8" t="str">
        <f>A82&amp;COUNTIF($A$2:$A82,A82)</f>
        <v>Team Stan7</v>
      </c>
      <c r="C82" t="s">
        <v>42</v>
      </c>
      <c r="D82" t="s">
        <v>41</v>
      </c>
      <c r="E82">
        <v>20</v>
      </c>
    </row>
    <row r="83" spans="1:5" x14ac:dyDescent="0.2">
      <c r="A83" t="s">
        <v>30</v>
      </c>
      <c r="B83" s="8" t="str">
        <f>A83&amp;COUNTIF($A$2:$A83,A83)</f>
        <v>Team Stan8</v>
      </c>
      <c r="C83" t="s">
        <v>40</v>
      </c>
      <c r="D83" t="s">
        <v>39</v>
      </c>
      <c r="E83">
        <v>59</v>
      </c>
    </row>
    <row r="84" spans="1:5" x14ac:dyDescent="0.2">
      <c r="A84" t="s">
        <v>30</v>
      </c>
      <c r="B84" s="8" t="str">
        <f>A84&amp;COUNTIF($A$2:$A84,A84)</f>
        <v>Team Stan9</v>
      </c>
      <c r="C84" t="s">
        <v>38</v>
      </c>
      <c r="D84" t="s">
        <v>37</v>
      </c>
      <c r="E84">
        <v>35</v>
      </c>
    </row>
    <row r="85" spans="1:5" x14ac:dyDescent="0.2">
      <c r="A85" t="s">
        <v>30</v>
      </c>
      <c r="B85" s="8" t="str">
        <f>A85&amp;COUNTIF($A$2:$A85,A85)</f>
        <v>Team Stan10</v>
      </c>
      <c r="C85" t="s">
        <v>36</v>
      </c>
      <c r="D85" t="s">
        <v>35</v>
      </c>
      <c r="E85">
        <v>3</v>
      </c>
    </row>
    <row r="86" spans="1:5" x14ac:dyDescent="0.2">
      <c r="A86" t="s">
        <v>30</v>
      </c>
      <c r="B86" s="8" t="str">
        <f>A86&amp;COUNTIF($A$2:$A86,A86)</f>
        <v>Team Stan11</v>
      </c>
      <c r="C86" t="s">
        <v>34</v>
      </c>
      <c r="D86" t="s">
        <v>33</v>
      </c>
      <c r="E86">
        <v>20</v>
      </c>
    </row>
    <row r="87" spans="1:5" x14ac:dyDescent="0.2">
      <c r="A87" t="s">
        <v>30</v>
      </c>
      <c r="B87" s="8" t="str">
        <f>A87&amp;COUNTIF($A$2:$A87,A87)</f>
        <v>Team Stan12</v>
      </c>
      <c r="C87" t="s">
        <v>32</v>
      </c>
      <c r="D87" t="s">
        <v>31</v>
      </c>
      <c r="E87">
        <v>24</v>
      </c>
    </row>
    <row r="88" spans="1:5" x14ac:dyDescent="0.2">
      <c r="A88" t="s">
        <v>30</v>
      </c>
      <c r="B88" s="8" t="str">
        <f>A88&amp;COUNTIF($A$2:$A88,A88)</f>
        <v>Team Stan13</v>
      </c>
      <c r="C88" t="s">
        <v>29</v>
      </c>
      <c r="D88" t="s">
        <v>28</v>
      </c>
    </row>
    <row r="89" spans="1:5" x14ac:dyDescent="0.2">
      <c r="A89" t="s">
        <v>181</v>
      </c>
      <c r="B89" s="8" t="str">
        <f>A89&amp;COUNTIF($A$89:$A89,A89)</f>
        <v>Team Humphreys1</v>
      </c>
    </row>
    <row r="90" spans="1:5" x14ac:dyDescent="0.2">
      <c r="A90" t="s">
        <v>181</v>
      </c>
      <c r="B90" s="8" t="str">
        <f>A90&amp;COUNTIF($A$89:$A90,A90)</f>
        <v>Team Humphreys2</v>
      </c>
    </row>
    <row r="91" spans="1:5" x14ac:dyDescent="0.2">
      <c r="A91" t="s">
        <v>181</v>
      </c>
      <c r="B91" s="8" t="str">
        <f>A91&amp;COUNTIF($A$89:$A91,A91)</f>
        <v>Team Humphreys3</v>
      </c>
    </row>
    <row r="92" spans="1:5" x14ac:dyDescent="0.2">
      <c r="A92" t="s">
        <v>181</v>
      </c>
      <c r="B92" s="8" t="str">
        <f>A92&amp;COUNTIF($A$89:$A92,A92)</f>
        <v>Team Humphreys4</v>
      </c>
    </row>
    <row r="93" spans="1:5" x14ac:dyDescent="0.2">
      <c r="A93" t="s">
        <v>181</v>
      </c>
      <c r="B93" s="8" t="str">
        <f>A93&amp;COUNTIF($A$89:$A93,A93)</f>
        <v>Team Humphreys5</v>
      </c>
    </row>
    <row r="94" spans="1:5" x14ac:dyDescent="0.2">
      <c r="A94" t="s">
        <v>181</v>
      </c>
      <c r="B94" s="8" t="str">
        <f>A94&amp;COUNTIF($A$89:$A94,A94)</f>
        <v>Team Humphreys6</v>
      </c>
    </row>
    <row r="95" spans="1:5" x14ac:dyDescent="0.2">
      <c r="A95" t="s">
        <v>181</v>
      </c>
      <c r="B95" s="8" t="str">
        <f>A95&amp;COUNTIF($A$89:$A95,A95)</f>
        <v>Team Humphreys7</v>
      </c>
    </row>
    <row r="96" spans="1:5" x14ac:dyDescent="0.2">
      <c r="A96" t="s">
        <v>181</v>
      </c>
      <c r="B96" s="8" t="str">
        <f>A96&amp;COUNTIF($A$89:$A96,A96)</f>
        <v>Team Humphreys8</v>
      </c>
    </row>
    <row r="97" spans="1:2" x14ac:dyDescent="0.2">
      <c r="A97" t="s">
        <v>181</v>
      </c>
      <c r="B97" s="8" t="str">
        <f>A97&amp;COUNTIF($A$89:$A97,A97)</f>
        <v>Team Humphreys9</v>
      </c>
    </row>
    <row r="98" spans="1:2" x14ac:dyDescent="0.2">
      <c r="A98" t="s">
        <v>181</v>
      </c>
      <c r="B98" s="8" t="str">
        <f>A98&amp;COUNTIF($A$89:$A98,A98)</f>
        <v>Team Humphreys10</v>
      </c>
    </row>
    <row r="99" spans="1:2" x14ac:dyDescent="0.2">
      <c r="A99" t="s">
        <v>181</v>
      </c>
      <c r="B99" s="8" t="str">
        <f>A99&amp;COUNTIF($A$89:$A99,A99)</f>
        <v>Team Humphreys11</v>
      </c>
    </row>
    <row r="100" spans="1:2" x14ac:dyDescent="0.2">
      <c r="A100" t="s">
        <v>181</v>
      </c>
      <c r="B100" s="8" t="str">
        <f>A100&amp;COUNTIF($A$89:$A100,A100)</f>
        <v>Team Humphreys12</v>
      </c>
    </row>
    <row r="101" spans="1:2" x14ac:dyDescent="0.2">
      <c r="A101" t="s">
        <v>181</v>
      </c>
      <c r="B101" s="8" t="str">
        <f>A101&amp;COUNTIF($A$89:$A101,A101)</f>
        <v>Team Humphreys13</v>
      </c>
    </row>
    <row r="102" spans="1:2" x14ac:dyDescent="0.2">
      <c r="A102" t="s">
        <v>181</v>
      </c>
      <c r="B102" s="8" t="str">
        <f>A102&amp;COUNTIF($A$89:$A102,A102)</f>
        <v>Team Humphreys14</v>
      </c>
    </row>
    <row r="103" spans="1:2" x14ac:dyDescent="0.2">
      <c r="B103" s="8" t="str">
        <f>A103&amp;COUNTIF($A$89:$A103,A103)</f>
        <v>0</v>
      </c>
    </row>
    <row r="104" spans="1:2" x14ac:dyDescent="0.2">
      <c r="B104" s="8" t="str">
        <f>A104&amp;COUNTIF($A$89:$A104,A104)</f>
        <v>0</v>
      </c>
    </row>
    <row r="105" spans="1:2" x14ac:dyDescent="0.2">
      <c r="B105" s="8" t="str">
        <f>A105&amp;COUNTIF($A$89:$A105,A105)</f>
        <v>0</v>
      </c>
    </row>
    <row r="106" spans="1:2" x14ac:dyDescent="0.2">
      <c r="B106" s="8" t="str">
        <f>A106&amp;COUNTIF($A$89:$A106,A106)</f>
        <v>0</v>
      </c>
    </row>
    <row r="107" spans="1:2" x14ac:dyDescent="0.2">
      <c r="B107" s="8" t="str">
        <f>A107&amp;COUNTIF($A$89:$A107,A107)</f>
        <v>0</v>
      </c>
    </row>
    <row r="108" spans="1:2" x14ac:dyDescent="0.2">
      <c r="B108" s="8" t="str">
        <f>A108&amp;COUNTIF($A$89:$A108,A108)</f>
        <v>0</v>
      </c>
    </row>
    <row r="109" spans="1:2" x14ac:dyDescent="0.2">
      <c r="B109" s="8" t="str">
        <f>A109&amp;COUNTIF($A$89:$A109,A109)</f>
        <v>0</v>
      </c>
    </row>
    <row r="110" spans="1:2" x14ac:dyDescent="0.2">
      <c r="B110" s="8" t="str">
        <f>A110&amp;COUNTIF($A$89:$A110,A110)</f>
        <v>0</v>
      </c>
    </row>
    <row r="111" spans="1:2" x14ac:dyDescent="0.2">
      <c r="B111" s="8" t="str">
        <f>A111&amp;COUNTIF($A$89:$A111,A111)</f>
        <v>0</v>
      </c>
    </row>
    <row r="112" spans="1:2" x14ac:dyDescent="0.2">
      <c r="B112" s="8" t="str">
        <f>A112&amp;COUNTIF($A$89:$A112,A112)</f>
        <v>0</v>
      </c>
    </row>
    <row r="113" spans="2:2" x14ac:dyDescent="0.2">
      <c r="B113" s="8" t="str">
        <f>A113&amp;COUNTIF($A$89:$A113,A113)</f>
        <v>0</v>
      </c>
    </row>
    <row r="114" spans="2:2" x14ac:dyDescent="0.2">
      <c r="B114" s="8" t="str">
        <f>A114&amp;COUNTIF($A$89:$A114,A114)</f>
        <v>0</v>
      </c>
    </row>
    <row r="115" spans="2:2" x14ac:dyDescent="0.2">
      <c r="B115" s="8" t="str">
        <f>A115&amp;COUNTIF($A$89:$A115,A115)</f>
        <v>0</v>
      </c>
    </row>
    <row r="116" spans="2:2" x14ac:dyDescent="0.2">
      <c r="B116" s="8" t="str">
        <f>A116&amp;COUNTIF($A$89:$A116,A116)</f>
        <v>0</v>
      </c>
    </row>
    <row r="117" spans="2:2" x14ac:dyDescent="0.2">
      <c r="B117" s="8" t="str">
        <f>A117&amp;COUNTIF($A$89:$A117,A117)</f>
        <v>0</v>
      </c>
    </row>
    <row r="118" spans="2:2" x14ac:dyDescent="0.2">
      <c r="B118" s="8" t="str">
        <f>A118&amp;COUNTIF($A$89:$A118,A118)</f>
        <v>0</v>
      </c>
    </row>
    <row r="119" spans="2:2" x14ac:dyDescent="0.2">
      <c r="B119" s="8" t="str">
        <f>A119&amp;COUNTIF($A$89:$A119,A119)</f>
        <v>0</v>
      </c>
    </row>
    <row r="120" spans="2:2" x14ac:dyDescent="0.2">
      <c r="B120" s="8" t="str">
        <f>A120&amp;COUNTIF($A$89:$A120,A120)</f>
        <v>0</v>
      </c>
    </row>
    <row r="121" spans="2:2" x14ac:dyDescent="0.2">
      <c r="B121" s="8" t="str">
        <f>A121&amp;COUNTIF($A$89:$A121,A121)</f>
        <v>0</v>
      </c>
    </row>
    <row r="122" spans="2:2" x14ac:dyDescent="0.2">
      <c r="B122" s="8" t="str">
        <f>A122&amp;COUNTIF($A$89:$A122,A122)</f>
        <v>0</v>
      </c>
    </row>
    <row r="123" spans="2:2" x14ac:dyDescent="0.2">
      <c r="B123" s="8" t="str">
        <f>A123&amp;COUNTIF($A$89:$A123,A123)</f>
        <v>0</v>
      </c>
    </row>
    <row r="124" spans="2:2" x14ac:dyDescent="0.2">
      <c r="B124" s="8" t="str">
        <f>A124&amp;COUNTIF($A$89:$A124,A124)</f>
        <v>0</v>
      </c>
    </row>
    <row r="125" spans="2:2" x14ac:dyDescent="0.2">
      <c r="B125" s="8" t="str">
        <f>A125&amp;COUNTIF($A$89:$A125,A125)</f>
        <v>0</v>
      </c>
    </row>
    <row r="126" spans="2:2" x14ac:dyDescent="0.2">
      <c r="B126" s="8" t="str">
        <f>A126&amp;COUNTIF($A$89:$A126,A126)</f>
        <v>0</v>
      </c>
    </row>
    <row r="127" spans="2:2" x14ac:dyDescent="0.2">
      <c r="B127" s="8" t="str">
        <f>A127&amp;COUNTIF($A$89:$A127,A127)</f>
        <v>0</v>
      </c>
    </row>
    <row r="128" spans="2:2" x14ac:dyDescent="0.2">
      <c r="B128" s="8" t="str">
        <f>A128&amp;COUNTIF($A$89:$A128,A128)</f>
        <v>0</v>
      </c>
    </row>
    <row r="129" spans="2:2" x14ac:dyDescent="0.2">
      <c r="B129" s="8" t="str">
        <f>A129&amp;COUNTIF($A$89:$A129,A129)</f>
        <v>0</v>
      </c>
    </row>
    <row r="130" spans="2:2" x14ac:dyDescent="0.2">
      <c r="B130" s="8" t="str">
        <f>A130&amp;COUNTIF($A$89:$A130,A130)</f>
        <v>0</v>
      </c>
    </row>
    <row r="131" spans="2:2" x14ac:dyDescent="0.2">
      <c r="B131" s="8" t="str">
        <f>A131&amp;COUNTIF($A$89:$A131,A131)</f>
        <v>0</v>
      </c>
    </row>
    <row r="132" spans="2:2" x14ac:dyDescent="0.2">
      <c r="B132" s="8" t="str">
        <f>A132&amp;COUNTIF($A$89:$A132,A132)</f>
        <v>0</v>
      </c>
    </row>
    <row r="133" spans="2:2" x14ac:dyDescent="0.2">
      <c r="B133" s="8" t="str">
        <f>A133&amp;COUNTIF($A$89:$A133,A133)</f>
        <v>0</v>
      </c>
    </row>
    <row r="134" spans="2:2" x14ac:dyDescent="0.2">
      <c r="B134" s="8" t="str">
        <f>A134&amp;COUNTIF($A$89:$A134,A134)</f>
        <v>0</v>
      </c>
    </row>
    <row r="135" spans="2:2" x14ac:dyDescent="0.2">
      <c r="B135" s="8" t="str">
        <f>A135&amp;COUNTIF($A$89:$A135,A135)</f>
        <v>0</v>
      </c>
    </row>
    <row r="136" spans="2:2" x14ac:dyDescent="0.2">
      <c r="B136" s="8" t="str">
        <f>A136&amp;COUNTIF($A$89:$A136,A136)</f>
        <v>0</v>
      </c>
    </row>
    <row r="137" spans="2:2" x14ac:dyDescent="0.2">
      <c r="B137" s="8" t="str">
        <f>A137&amp;COUNTIF($A$89:$A137,A137)</f>
        <v>0</v>
      </c>
    </row>
    <row r="138" spans="2:2" x14ac:dyDescent="0.2">
      <c r="B138" s="8" t="str">
        <f>A138&amp;COUNTIF($A$89:$A138,A138)</f>
        <v>0</v>
      </c>
    </row>
    <row r="139" spans="2:2" x14ac:dyDescent="0.2">
      <c r="B139" s="8" t="str">
        <f>A139&amp;COUNTIF($A$89:$A139,A139)</f>
        <v>0</v>
      </c>
    </row>
    <row r="140" spans="2:2" x14ac:dyDescent="0.2">
      <c r="B140" s="8" t="str">
        <f>A140&amp;COUNTIF($A$89:$A140,A140)</f>
        <v>0</v>
      </c>
    </row>
    <row r="141" spans="2:2" x14ac:dyDescent="0.2">
      <c r="B141" s="8" t="str">
        <f>A141&amp;COUNTIF($A$89:$A141,A141)</f>
        <v>0</v>
      </c>
    </row>
    <row r="142" spans="2:2" x14ac:dyDescent="0.2">
      <c r="B142" s="8" t="str">
        <f>A142&amp;COUNTIF($A$89:$A142,A142)</f>
        <v>0</v>
      </c>
    </row>
    <row r="143" spans="2:2" x14ac:dyDescent="0.2">
      <c r="B143" s="8" t="str">
        <f>A143&amp;COUNTIF($A$89:$A143,A143)</f>
        <v>0</v>
      </c>
    </row>
    <row r="144" spans="2:2" x14ac:dyDescent="0.2">
      <c r="B144" s="8" t="str">
        <f>A144&amp;COUNTIF($A$89:$A144,A144)</f>
        <v>0</v>
      </c>
    </row>
    <row r="145" spans="2:2" x14ac:dyDescent="0.2">
      <c r="B145" s="8" t="str">
        <f>A145&amp;COUNTIF($A$89:$A145,A145)</f>
        <v>0</v>
      </c>
    </row>
    <row r="146" spans="2:2" x14ac:dyDescent="0.2">
      <c r="B146" s="8" t="str">
        <f>A146&amp;COUNTIF($A$89:$A146,A146)</f>
        <v>0</v>
      </c>
    </row>
    <row r="147" spans="2:2" x14ac:dyDescent="0.2">
      <c r="B147" s="8" t="str">
        <f>A147&amp;COUNTIF($A$89:$A147,A147)</f>
        <v>0</v>
      </c>
    </row>
    <row r="148" spans="2:2" x14ac:dyDescent="0.2">
      <c r="B148" s="8" t="str">
        <f>A148&amp;COUNTIF($A$89:$A148,A148)</f>
        <v>0</v>
      </c>
    </row>
    <row r="149" spans="2:2" x14ac:dyDescent="0.2">
      <c r="B149" s="8" t="str">
        <f>A149&amp;COUNTIF($A$89:$A149,A149)</f>
        <v>0</v>
      </c>
    </row>
    <row r="150" spans="2:2" x14ac:dyDescent="0.2">
      <c r="B150" s="8" t="str">
        <f>A150&amp;COUNTIF($A$89:$A150,A150)</f>
        <v>0</v>
      </c>
    </row>
    <row r="151" spans="2:2" x14ac:dyDescent="0.2">
      <c r="B151" s="8" t="str">
        <f>A151&amp;COUNTIF($A$89:$A151,A151)</f>
        <v>0</v>
      </c>
    </row>
    <row r="152" spans="2:2" x14ac:dyDescent="0.2">
      <c r="B152" s="8" t="str">
        <f>A152&amp;COUNTIF($A$89:$A152,A152)</f>
        <v>0</v>
      </c>
    </row>
    <row r="153" spans="2:2" x14ac:dyDescent="0.2">
      <c r="B153" s="8" t="str">
        <f>A153&amp;COUNTIF($A$89:$A153,A153)</f>
        <v>0</v>
      </c>
    </row>
    <row r="154" spans="2:2" x14ac:dyDescent="0.2">
      <c r="B154" s="8" t="str">
        <f>A154&amp;COUNTIF($A$89:$A154,A154)</f>
        <v>0</v>
      </c>
    </row>
    <row r="155" spans="2:2" x14ac:dyDescent="0.2">
      <c r="B155" s="8" t="str">
        <f>A155&amp;COUNTIF($A$89:$A155,A155)</f>
        <v>0</v>
      </c>
    </row>
    <row r="156" spans="2:2" x14ac:dyDescent="0.2">
      <c r="B156" s="8" t="str">
        <f>A156&amp;COUNTIF($A$89:$A156,A156)</f>
        <v>0</v>
      </c>
    </row>
    <row r="157" spans="2:2" x14ac:dyDescent="0.2">
      <c r="B157" s="8" t="str">
        <f>A157&amp;COUNTIF($A$89:$A157,A157)</f>
        <v>0</v>
      </c>
    </row>
    <row r="158" spans="2:2" x14ac:dyDescent="0.2">
      <c r="B158" s="8" t="str">
        <f>A158&amp;COUNTIF($A$89:$A158,A158)</f>
        <v>0</v>
      </c>
    </row>
    <row r="159" spans="2:2" x14ac:dyDescent="0.2">
      <c r="B159" s="8" t="str">
        <f>A159&amp;COUNTIF($A$89:$A159,A159)</f>
        <v>0</v>
      </c>
    </row>
    <row r="160" spans="2:2" x14ac:dyDescent="0.2">
      <c r="B160" s="8" t="str">
        <f>A160&amp;COUNTIF($A$89:$A160,A160)</f>
        <v>0</v>
      </c>
    </row>
    <row r="161" spans="2:2" x14ac:dyDescent="0.2">
      <c r="B161" s="8" t="str">
        <f>A161&amp;COUNTIF($A$89:$A161,A161)</f>
        <v>0</v>
      </c>
    </row>
    <row r="162" spans="2:2" x14ac:dyDescent="0.2">
      <c r="B162" s="8" t="str">
        <f>A162&amp;COUNTIF($A$89:$A162,A162)</f>
        <v>0</v>
      </c>
    </row>
    <row r="163" spans="2:2" x14ac:dyDescent="0.2">
      <c r="B163" s="8" t="str">
        <f>A163&amp;COUNTIF($A$89:$A163,A163)</f>
        <v>0</v>
      </c>
    </row>
    <row r="164" spans="2:2" x14ac:dyDescent="0.2">
      <c r="B164" s="8" t="str">
        <f>A164&amp;COUNTIF($A$89:$A164,A164)</f>
        <v>0</v>
      </c>
    </row>
    <row r="165" spans="2:2" x14ac:dyDescent="0.2">
      <c r="B165" s="8" t="str">
        <f>A165&amp;COUNTIF($A$89:$A165,A165)</f>
        <v>0</v>
      </c>
    </row>
    <row r="166" spans="2:2" x14ac:dyDescent="0.2">
      <c r="B166" s="8" t="str">
        <f>A166&amp;COUNTIF($A$89:$A166,A166)</f>
        <v>0</v>
      </c>
    </row>
    <row r="167" spans="2:2" x14ac:dyDescent="0.2">
      <c r="B167" s="8" t="str">
        <f>A167&amp;COUNTIF($A$89:$A167,A167)</f>
        <v>0</v>
      </c>
    </row>
    <row r="168" spans="2:2" x14ac:dyDescent="0.2">
      <c r="B168" s="8" t="str">
        <f>A168&amp;COUNTIF($A$89:$A168,A168)</f>
        <v>0</v>
      </c>
    </row>
    <row r="169" spans="2:2" x14ac:dyDescent="0.2">
      <c r="B169" s="8" t="str">
        <f>A169&amp;COUNTIF($A$89:$A169,A169)</f>
        <v>0</v>
      </c>
    </row>
    <row r="170" spans="2:2" x14ac:dyDescent="0.2">
      <c r="B170" s="8" t="str">
        <f>A170&amp;COUNTIF($A$89:$A170,A170)</f>
        <v>0</v>
      </c>
    </row>
    <row r="171" spans="2:2" x14ac:dyDescent="0.2">
      <c r="B171" s="8" t="str">
        <f>A171&amp;COUNTIF($A$89:$A171,A171)</f>
        <v>0</v>
      </c>
    </row>
    <row r="172" spans="2:2" x14ac:dyDescent="0.2">
      <c r="B172" s="8" t="str">
        <f>A172&amp;COUNTIF($A$89:$A172,A172)</f>
        <v>0</v>
      </c>
    </row>
    <row r="173" spans="2:2" x14ac:dyDescent="0.2">
      <c r="B173" s="8" t="str">
        <f>A173&amp;COUNTIF($A$89:$A173,A173)</f>
        <v>0</v>
      </c>
    </row>
    <row r="174" spans="2:2" x14ac:dyDescent="0.2">
      <c r="B174" s="8" t="str">
        <f>A174&amp;COUNTIF($A$89:$A174,A174)</f>
        <v>0</v>
      </c>
    </row>
    <row r="175" spans="2:2" x14ac:dyDescent="0.2">
      <c r="B175" s="8" t="str">
        <f>A175&amp;COUNTIF($A$89:$A175,A175)</f>
        <v>0</v>
      </c>
    </row>
    <row r="176" spans="2:2" x14ac:dyDescent="0.2">
      <c r="B176" s="8" t="str">
        <f>A176&amp;COUNTIF($A$89:$A176,A176)</f>
        <v>0</v>
      </c>
    </row>
    <row r="177" spans="2:2" x14ac:dyDescent="0.2">
      <c r="B177" s="8" t="str">
        <f>A177&amp;COUNTIF($A$89:$A177,A177)</f>
        <v>0</v>
      </c>
    </row>
    <row r="178" spans="2:2" x14ac:dyDescent="0.2">
      <c r="B178" s="8" t="str">
        <f>A178&amp;COUNTIF($A$89:$A178,A178)</f>
        <v>0</v>
      </c>
    </row>
    <row r="179" spans="2:2" x14ac:dyDescent="0.2">
      <c r="B179" s="8" t="str">
        <f>A179&amp;COUNTIF($A$89:$A179,A179)</f>
        <v>0</v>
      </c>
    </row>
    <row r="180" spans="2:2" x14ac:dyDescent="0.2">
      <c r="B180" s="8" t="str">
        <f>A180&amp;COUNTIF($A$89:$A180,A180)</f>
        <v>0</v>
      </c>
    </row>
    <row r="181" spans="2:2" x14ac:dyDescent="0.2">
      <c r="B181" s="8" t="str">
        <f>A181&amp;COUNTIF($A$89:$A181,A181)</f>
        <v>0</v>
      </c>
    </row>
    <row r="182" spans="2:2" x14ac:dyDescent="0.2">
      <c r="B182" s="8" t="str">
        <f>A182&amp;COUNTIF($A$89:$A182,A182)</f>
        <v>0</v>
      </c>
    </row>
    <row r="183" spans="2:2" x14ac:dyDescent="0.2">
      <c r="B183" s="8" t="str">
        <f>A183&amp;COUNTIF($A$89:$A183,A183)</f>
        <v>0</v>
      </c>
    </row>
    <row r="184" spans="2:2" x14ac:dyDescent="0.2">
      <c r="B184" s="8" t="str">
        <f>A184&amp;COUNTIF($A$89:$A184,A184)</f>
        <v>0</v>
      </c>
    </row>
    <row r="185" spans="2:2" x14ac:dyDescent="0.2">
      <c r="B185" s="8" t="str">
        <f>A185&amp;COUNTIF($A$89:$A185,A185)</f>
        <v>0</v>
      </c>
    </row>
    <row r="186" spans="2:2" x14ac:dyDescent="0.2">
      <c r="B186" s="8" t="str">
        <f>A186&amp;COUNTIF($A$89:$A186,A186)</f>
        <v>0</v>
      </c>
    </row>
    <row r="187" spans="2:2" x14ac:dyDescent="0.2">
      <c r="B187" s="8" t="str">
        <f>A187&amp;COUNTIF($A$89:$A187,A187)</f>
        <v>0</v>
      </c>
    </row>
    <row r="188" spans="2:2" x14ac:dyDescent="0.2">
      <c r="B188" s="8" t="str">
        <f>A188&amp;COUNTIF($A$89:$A188,A188)</f>
        <v>0</v>
      </c>
    </row>
    <row r="189" spans="2:2" x14ac:dyDescent="0.2">
      <c r="B189" s="8" t="str">
        <f>A189&amp;COUNTIF($A$89:$A189,A189)</f>
        <v>0</v>
      </c>
    </row>
    <row r="190" spans="2:2" x14ac:dyDescent="0.2">
      <c r="B190" s="8" t="str">
        <f>A190&amp;COUNTIF($A$89:$A190,A190)</f>
        <v>0</v>
      </c>
    </row>
    <row r="191" spans="2:2" x14ac:dyDescent="0.2">
      <c r="B191" s="8" t="str">
        <f>A191&amp;COUNTIF($A$89:$A191,A191)</f>
        <v>0</v>
      </c>
    </row>
    <row r="192" spans="2:2" x14ac:dyDescent="0.2">
      <c r="B192" s="8" t="str">
        <f>A192&amp;COUNTIF($A$89:$A192,A192)</f>
        <v>0</v>
      </c>
    </row>
    <row r="193" spans="2:2" x14ac:dyDescent="0.2">
      <c r="B193" s="8" t="str">
        <f>A193&amp;COUNTIF($A$89:$A193,A193)</f>
        <v>0</v>
      </c>
    </row>
    <row r="194" spans="2:2" x14ac:dyDescent="0.2">
      <c r="B194" s="8" t="str">
        <f>A194&amp;COUNTIF($A$89:$A194,A194)</f>
        <v>0</v>
      </c>
    </row>
    <row r="195" spans="2:2" x14ac:dyDescent="0.2">
      <c r="B195" s="8" t="str">
        <f>A195&amp;COUNTIF($A$89:$A195,A195)</f>
        <v>0</v>
      </c>
    </row>
    <row r="196" spans="2:2" x14ac:dyDescent="0.2">
      <c r="B196" s="8" t="str">
        <f>A196&amp;COUNTIF($A$89:$A196,A196)</f>
        <v>0</v>
      </c>
    </row>
    <row r="197" spans="2:2" x14ac:dyDescent="0.2">
      <c r="B197" s="8" t="str">
        <f>A197&amp;COUNTIF($A$89:$A197,A197)</f>
        <v>0</v>
      </c>
    </row>
    <row r="198" spans="2:2" x14ac:dyDescent="0.2">
      <c r="B198" s="8" t="str">
        <f>A198&amp;COUNTIF($A$89:$A198,A198)</f>
        <v>0</v>
      </c>
    </row>
    <row r="199" spans="2:2" x14ac:dyDescent="0.2">
      <c r="B199" s="8" t="str">
        <f>A199&amp;COUNTIF($A$89:$A199,A199)</f>
        <v>0</v>
      </c>
    </row>
    <row r="200" spans="2:2" x14ac:dyDescent="0.2">
      <c r="B200" s="8" t="str">
        <f>A200&amp;COUNTIF($A$89:$A200,A200)</f>
        <v>0</v>
      </c>
    </row>
    <row r="201" spans="2:2" x14ac:dyDescent="0.2">
      <c r="B201" s="8" t="str">
        <f>A201&amp;COUNTIF($A$89:$A201,A201)</f>
        <v>0</v>
      </c>
    </row>
    <row r="202" spans="2:2" x14ac:dyDescent="0.2">
      <c r="B202" s="8" t="str">
        <f>A202&amp;COUNTIF($A$89:$A202,A202)</f>
        <v>0</v>
      </c>
    </row>
    <row r="203" spans="2:2" x14ac:dyDescent="0.2">
      <c r="B203" s="8" t="str">
        <f>A203&amp;COUNTIF($A$89:$A203,A203)</f>
        <v>0</v>
      </c>
    </row>
    <row r="204" spans="2:2" x14ac:dyDescent="0.2">
      <c r="B204" s="8" t="str">
        <f>A204&amp;COUNTIF($A$89:$A204,A204)</f>
        <v>0</v>
      </c>
    </row>
    <row r="205" spans="2:2" x14ac:dyDescent="0.2">
      <c r="B205" s="8" t="str">
        <f>A205&amp;COUNTIF($A$89:$A205,A205)</f>
        <v>0</v>
      </c>
    </row>
    <row r="206" spans="2:2" x14ac:dyDescent="0.2">
      <c r="B206" s="8" t="str">
        <f>A206&amp;COUNTIF($A$89:$A206,A206)</f>
        <v>0</v>
      </c>
    </row>
    <row r="207" spans="2:2" x14ac:dyDescent="0.2">
      <c r="B207" s="8" t="str">
        <f>A207&amp;COUNTIF($A$89:$A207,A207)</f>
        <v>0</v>
      </c>
    </row>
    <row r="208" spans="2:2" x14ac:dyDescent="0.2">
      <c r="B208" s="8" t="str">
        <f>A208&amp;COUNTIF($A$89:$A208,A208)</f>
        <v>0</v>
      </c>
    </row>
    <row r="209" spans="2:2" x14ac:dyDescent="0.2">
      <c r="B209" s="8" t="str">
        <f>A209&amp;COUNTIF($A$89:$A209,A209)</f>
        <v>0</v>
      </c>
    </row>
    <row r="210" spans="2:2" x14ac:dyDescent="0.2">
      <c r="B210" s="8" t="str">
        <f>A210&amp;COUNTIF($A$89:$A210,A210)</f>
        <v>0</v>
      </c>
    </row>
    <row r="211" spans="2:2" x14ac:dyDescent="0.2">
      <c r="B211" s="8" t="str">
        <f>A211&amp;COUNTIF($A$89:$A211,A211)</f>
        <v>0</v>
      </c>
    </row>
    <row r="212" spans="2:2" x14ac:dyDescent="0.2">
      <c r="B212" s="8" t="str">
        <f>A212&amp;COUNTIF($A$89:$A212,A212)</f>
        <v>0</v>
      </c>
    </row>
    <row r="213" spans="2:2" x14ac:dyDescent="0.2">
      <c r="B213" s="8" t="str">
        <f>A213&amp;COUNTIF($A$89:$A213,A213)</f>
        <v>0</v>
      </c>
    </row>
    <row r="214" spans="2:2" x14ac:dyDescent="0.2">
      <c r="B214" s="8" t="str">
        <f>A214&amp;COUNTIF($A$89:$A214,A214)</f>
        <v>0</v>
      </c>
    </row>
    <row r="215" spans="2:2" x14ac:dyDescent="0.2">
      <c r="B215" s="8" t="str">
        <f>A215&amp;COUNTIF($A$89:$A215,A215)</f>
        <v>0</v>
      </c>
    </row>
    <row r="216" spans="2:2" x14ac:dyDescent="0.2">
      <c r="B216" s="8" t="str">
        <f>A216&amp;COUNTIF($A$89:$A216,A216)</f>
        <v>0</v>
      </c>
    </row>
    <row r="217" spans="2:2" x14ac:dyDescent="0.2">
      <c r="B217" s="8" t="str">
        <f>A217&amp;COUNTIF($A$89:$A217,A217)</f>
        <v>0</v>
      </c>
    </row>
    <row r="218" spans="2:2" x14ac:dyDescent="0.2">
      <c r="B218" s="8" t="str">
        <f>A218&amp;COUNTIF($A$89:$A218,A218)</f>
        <v>0</v>
      </c>
    </row>
    <row r="219" spans="2:2" x14ac:dyDescent="0.2">
      <c r="B219" s="8" t="str">
        <f>A219&amp;COUNTIF($A$89:$A219,A219)</f>
        <v>0</v>
      </c>
    </row>
    <row r="220" spans="2:2" x14ac:dyDescent="0.2">
      <c r="B220" s="8" t="str">
        <f>A220&amp;COUNTIF($A$89:$A220,A220)</f>
        <v>0</v>
      </c>
    </row>
    <row r="221" spans="2:2" x14ac:dyDescent="0.2">
      <c r="B221" s="8" t="str">
        <f>A221&amp;COUNTIF($A$89:$A221,A221)</f>
        <v>0</v>
      </c>
    </row>
    <row r="222" spans="2:2" x14ac:dyDescent="0.2">
      <c r="B222" s="8" t="str">
        <f>A222&amp;COUNTIF($A$89:$A222,A222)</f>
        <v>0</v>
      </c>
    </row>
    <row r="223" spans="2:2" x14ac:dyDescent="0.2">
      <c r="B223" s="8" t="str">
        <f>A223&amp;COUNTIF($A$89:$A223,A223)</f>
        <v>0</v>
      </c>
    </row>
    <row r="224" spans="2:2" x14ac:dyDescent="0.2">
      <c r="B224" s="8" t="str">
        <f>A224&amp;COUNTIF($A$89:$A224,A224)</f>
        <v>0</v>
      </c>
    </row>
    <row r="225" spans="2:2" x14ac:dyDescent="0.2">
      <c r="B225" s="8" t="str">
        <f>A225&amp;COUNTIF($A$89:$A225,A225)</f>
        <v>0</v>
      </c>
    </row>
    <row r="226" spans="2:2" x14ac:dyDescent="0.2">
      <c r="B226" s="8" t="str">
        <f>A226&amp;COUNTIF($A$89:$A226,A226)</f>
        <v>0</v>
      </c>
    </row>
    <row r="227" spans="2:2" x14ac:dyDescent="0.2">
      <c r="B227" s="8" t="str">
        <f>A227&amp;COUNTIF($A$89:$A227,A227)</f>
        <v>0</v>
      </c>
    </row>
    <row r="228" spans="2:2" x14ac:dyDescent="0.2">
      <c r="B228" s="8" t="str">
        <f>A228&amp;COUNTIF($A$89:$A228,A228)</f>
        <v>0</v>
      </c>
    </row>
    <row r="229" spans="2:2" x14ac:dyDescent="0.2">
      <c r="B229" s="8" t="str">
        <f>A229&amp;COUNTIF($A$89:$A229,A229)</f>
        <v>0</v>
      </c>
    </row>
    <row r="230" spans="2:2" x14ac:dyDescent="0.2">
      <c r="B230" s="8" t="str">
        <f>A230&amp;COUNTIF($A$89:$A230,A230)</f>
        <v>0</v>
      </c>
    </row>
    <row r="231" spans="2:2" x14ac:dyDescent="0.2">
      <c r="B231" s="8" t="str">
        <f>A231&amp;COUNTIF($A$89:$A231,A231)</f>
        <v>0</v>
      </c>
    </row>
    <row r="232" spans="2:2" x14ac:dyDescent="0.2">
      <c r="B232" s="8" t="str">
        <f>A232&amp;COUNTIF($A$89:$A232,A232)</f>
        <v>0</v>
      </c>
    </row>
    <row r="233" spans="2:2" x14ac:dyDescent="0.2">
      <c r="B233" s="8" t="str">
        <f>A233&amp;COUNTIF($A$89:$A233,A233)</f>
        <v>0</v>
      </c>
    </row>
    <row r="234" spans="2:2" x14ac:dyDescent="0.2">
      <c r="B234" s="8" t="str">
        <f>A234&amp;COUNTIF($A$89:$A234,A234)</f>
        <v>0</v>
      </c>
    </row>
    <row r="235" spans="2:2" x14ac:dyDescent="0.2">
      <c r="B235" s="8" t="str">
        <f>A235&amp;COUNTIF($A$89:$A235,A235)</f>
        <v>0</v>
      </c>
    </row>
    <row r="236" spans="2:2" x14ac:dyDescent="0.2">
      <c r="B236" s="8" t="str">
        <f>A236&amp;COUNTIF($A$89:$A236,A236)</f>
        <v>0</v>
      </c>
    </row>
    <row r="237" spans="2:2" x14ac:dyDescent="0.2">
      <c r="B237" s="8" t="str">
        <f>A237&amp;COUNTIF($A$89:$A237,A237)</f>
        <v>0</v>
      </c>
    </row>
    <row r="238" spans="2:2" x14ac:dyDescent="0.2">
      <c r="B238" s="8" t="str">
        <f>A238&amp;COUNTIF($A$89:$A238,A238)</f>
        <v>0</v>
      </c>
    </row>
    <row r="239" spans="2:2" x14ac:dyDescent="0.2">
      <c r="B239" s="8" t="str">
        <f>A239&amp;COUNTIF($A$89:$A239,A239)</f>
        <v>0</v>
      </c>
    </row>
    <row r="240" spans="2:2" x14ac:dyDescent="0.2">
      <c r="B240" s="8" t="str">
        <f>A240&amp;COUNTIF($A$89:$A240,A240)</f>
        <v>0</v>
      </c>
    </row>
    <row r="241" spans="2:2" x14ac:dyDescent="0.2">
      <c r="B241" s="8" t="str">
        <f>A241&amp;COUNTIF($A$89:$A241,A241)</f>
        <v>0</v>
      </c>
    </row>
    <row r="242" spans="2:2" x14ac:dyDescent="0.2">
      <c r="B242" s="8" t="str">
        <f>A242&amp;COUNTIF($A$89:$A242,A242)</f>
        <v>0</v>
      </c>
    </row>
    <row r="243" spans="2:2" x14ac:dyDescent="0.2">
      <c r="B243" s="8" t="str">
        <f>A243&amp;COUNTIF($A$89:$A243,A243)</f>
        <v>0</v>
      </c>
    </row>
    <row r="244" spans="2:2" x14ac:dyDescent="0.2">
      <c r="B244" s="8" t="str">
        <f>A244&amp;COUNTIF($A$89:$A244,A244)</f>
        <v>0</v>
      </c>
    </row>
    <row r="245" spans="2:2" x14ac:dyDescent="0.2">
      <c r="B245" s="8" t="str">
        <f>A245&amp;COUNTIF($A$89:$A245,A245)</f>
        <v>0</v>
      </c>
    </row>
    <row r="246" spans="2:2" x14ac:dyDescent="0.2">
      <c r="B246" s="8" t="str">
        <f>A246&amp;COUNTIF($A$89:$A246,A246)</f>
        <v>0</v>
      </c>
    </row>
    <row r="247" spans="2:2" x14ac:dyDescent="0.2">
      <c r="B247" s="8" t="str">
        <f>A247&amp;COUNTIF($A$89:$A247,A247)</f>
        <v>0</v>
      </c>
    </row>
    <row r="248" spans="2:2" x14ac:dyDescent="0.2">
      <c r="B248" s="8" t="str">
        <f>A248&amp;COUNTIF($A$89:$A248,A248)</f>
        <v>0</v>
      </c>
    </row>
    <row r="249" spans="2:2" x14ac:dyDescent="0.2">
      <c r="B249" s="8" t="str">
        <f>A249&amp;COUNTIF($A$89:$A249,A249)</f>
        <v>0</v>
      </c>
    </row>
    <row r="250" spans="2:2" x14ac:dyDescent="0.2">
      <c r="B250" s="8" t="str">
        <f>A250&amp;COUNTIF($A$89:$A250,A250)</f>
        <v>0</v>
      </c>
    </row>
    <row r="251" spans="2:2" x14ac:dyDescent="0.2">
      <c r="B251" s="8" t="str">
        <f>A251&amp;COUNTIF($A$89:$A251,A251)</f>
        <v>0</v>
      </c>
    </row>
    <row r="252" spans="2:2" x14ac:dyDescent="0.2">
      <c r="B252" s="8" t="str">
        <f>A252&amp;COUNTIF($A$89:$A252,A252)</f>
        <v>0</v>
      </c>
    </row>
    <row r="253" spans="2:2" x14ac:dyDescent="0.2">
      <c r="B253" s="8" t="str">
        <f>A253&amp;COUNTIF($A$89:$A253,A253)</f>
        <v>0</v>
      </c>
    </row>
    <row r="254" spans="2:2" x14ac:dyDescent="0.2">
      <c r="B254" s="8" t="str">
        <f>A254&amp;COUNTIF($A$89:$A254,A254)</f>
        <v>0</v>
      </c>
    </row>
    <row r="255" spans="2:2" x14ac:dyDescent="0.2">
      <c r="B255" s="8" t="str">
        <f>A255&amp;COUNTIF($A$89:$A255,A255)</f>
        <v>0</v>
      </c>
    </row>
    <row r="256" spans="2:2" x14ac:dyDescent="0.2">
      <c r="B256" s="8" t="str">
        <f>A256&amp;COUNTIF($A$89:$A256,A256)</f>
        <v>0</v>
      </c>
    </row>
    <row r="257" spans="2:2" x14ac:dyDescent="0.2">
      <c r="B257" s="8" t="str">
        <f>A257&amp;COUNTIF($A$89:$A257,A257)</f>
        <v>0</v>
      </c>
    </row>
    <row r="258" spans="2:2" x14ac:dyDescent="0.2">
      <c r="B258" s="8" t="str">
        <f>A258&amp;COUNTIF($A$89:$A258,A258)</f>
        <v>0</v>
      </c>
    </row>
    <row r="259" spans="2:2" x14ac:dyDescent="0.2">
      <c r="B259" s="8" t="str">
        <f>A259&amp;COUNTIF($A$89:$A259,A259)</f>
        <v>0</v>
      </c>
    </row>
    <row r="260" spans="2:2" x14ac:dyDescent="0.2">
      <c r="B260" s="8" t="str">
        <f>A260&amp;COUNTIF($A$89:$A260,A260)</f>
        <v>0</v>
      </c>
    </row>
    <row r="261" spans="2:2" x14ac:dyDescent="0.2">
      <c r="B261" s="8" t="str">
        <f>A261&amp;COUNTIF($A$89:$A261,A261)</f>
        <v>0</v>
      </c>
    </row>
    <row r="262" spans="2:2" x14ac:dyDescent="0.2">
      <c r="B262" s="8" t="str">
        <f>A262&amp;COUNTIF($A$89:$A262,A262)</f>
        <v>0</v>
      </c>
    </row>
    <row r="263" spans="2:2" x14ac:dyDescent="0.2">
      <c r="B263" s="8" t="str">
        <f>A263&amp;COUNTIF($A$89:$A263,A263)</f>
        <v>0</v>
      </c>
    </row>
    <row r="264" spans="2:2" x14ac:dyDescent="0.2">
      <c r="B264" s="8" t="str">
        <f>A264&amp;COUNTIF($A$89:$A264,A264)</f>
        <v>0</v>
      </c>
    </row>
    <row r="265" spans="2:2" x14ac:dyDescent="0.2">
      <c r="B265" s="8" t="str">
        <f>A265&amp;COUNTIF($A$89:$A265,A265)</f>
        <v>0</v>
      </c>
    </row>
    <row r="266" spans="2:2" x14ac:dyDescent="0.2">
      <c r="B266" s="8" t="str">
        <f>A266&amp;COUNTIF($A$89:$A266,A266)</f>
        <v>0</v>
      </c>
    </row>
    <row r="267" spans="2:2" x14ac:dyDescent="0.2">
      <c r="B267" s="8" t="str">
        <f>A267&amp;COUNTIF($A$89:$A267,A267)</f>
        <v>0</v>
      </c>
    </row>
    <row r="268" spans="2:2" x14ac:dyDescent="0.2">
      <c r="B268" s="8" t="str">
        <f>A268&amp;COUNTIF($A$89:$A268,A268)</f>
        <v>0</v>
      </c>
    </row>
    <row r="269" spans="2:2" x14ac:dyDescent="0.2">
      <c r="B269" s="8" t="str">
        <f>A269&amp;COUNTIF($A$89:$A269,A269)</f>
        <v>0</v>
      </c>
    </row>
    <row r="270" spans="2:2" x14ac:dyDescent="0.2">
      <c r="B270" s="8" t="str">
        <f>A270&amp;COUNTIF($A$89:$A270,A270)</f>
        <v>0</v>
      </c>
    </row>
    <row r="271" spans="2:2" x14ac:dyDescent="0.2">
      <c r="B271" s="8" t="str">
        <f>A271&amp;COUNTIF($A$89:$A271,A271)</f>
        <v>0</v>
      </c>
    </row>
    <row r="272" spans="2:2" x14ac:dyDescent="0.2">
      <c r="B272" s="8" t="str">
        <f>A272&amp;COUNTIF($A$89:$A272,A272)</f>
        <v>0</v>
      </c>
    </row>
    <row r="273" spans="2:2" x14ac:dyDescent="0.2">
      <c r="B273" s="8" t="str">
        <f>A273&amp;COUNTIF($A$89:$A273,A273)</f>
        <v>0</v>
      </c>
    </row>
    <row r="274" spans="2:2" x14ac:dyDescent="0.2">
      <c r="B274" s="8" t="str">
        <f>A274&amp;COUNTIF($A$89:$A274,A274)</f>
        <v>0</v>
      </c>
    </row>
    <row r="275" spans="2:2" x14ac:dyDescent="0.2">
      <c r="B275" s="8" t="str">
        <f>A275&amp;COUNTIF($A$89:$A275,A275)</f>
        <v>0</v>
      </c>
    </row>
    <row r="276" spans="2:2" x14ac:dyDescent="0.2">
      <c r="B276" s="8" t="str">
        <f>A276&amp;COUNTIF($A$89:$A276,A276)</f>
        <v>0</v>
      </c>
    </row>
    <row r="277" spans="2:2" x14ac:dyDescent="0.2">
      <c r="B277" s="8" t="str">
        <f>A277&amp;COUNTIF($A$89:$A277,A277)</f>
        <v>0</v>
      </c>
    </row>
    <row r="278" spans="2:2" x14ac:dyDescent="0.2">
      <c r="B278" s="8" t="str">
        <f>A278&amp;COUNTIF($A$89:$A278,A278)</f>
        <v>0</v>
      </c>
    </row>
    <row r="279" spans="2:2" x14ac:dyDescent="0.2">
      <c r="B279" s="8" t="str">
        <f>A279&amp;COUNTIF($A$89:$A279,A279)</f>
        <v>0</v>
      </c>
    </row>
    <row r="280" spans="2:2" x14ac:dyDescent="0.2">
      <c r="B280" s="8" t="str">
        <f>A280&amp;COUNTIF($A$89:$A280,A280)</f>
        <v>0</v>
      </c>
    </row>
    <row r="281" spans="2:2" x14ac:dyDescent="0.2">
      <c r="B281" s="8" t="str">
        <f>A281&amp;COUNTIF($A$89:$A281,A281)</f>
        <v>0</v>
      </c>
    </row>
    <row r="282" spans="2:2" x14ac:dyDescent="0.2">
      <c r="B282" s="8" t="str">
        <f>A282&amp;COUNTIF($A$89:$A282,A282)</f>
        <v>0</v>
      </c>
    </row>
    <row r="283" spans="2:2" x14ac:dyDescent="0.2">
      <c r="B283" s="8" t="str">
        <f>A283&amp;COUNTIF($A$89:$A283,A283)</f>
        <v>0</v>
      </c>
    </row>
    <row r="284" spans="2:2" x14ac:dyDescent="0.2">
      <c r="B284" s="8" t="str">
        <f>A284&amp;COUNTIF($A$89:$A284,A284)</f>
        <v>0</v>
      </c>
    </row>
    <row r="285" spans="2:2" x14ac:dyDescent="0.2">
      <c r="B285" s="8" t="str">
        <f>A285&amp;COUNTIF($A$89:$A285,A285)</f>
        <v>0</v>
      </c>
    </row>
    <row r="286" spans="2:2" x14ac:dyDescent="0.2">
      <c r="B286" s="8" t="str">
        <f>A286&amp;COUNTIF($A$89:$A286,A286)</f>
        <v>0</v>
      </c>
    </row>
    <row r="287" spans="2:2" x14ac:dyDescent="0.2">
      <c r="B287" s="8" t="str">
        <f>A287&amp;COUNTIF($A$89:$A287,A287)</f>
        <v>0</v>
      </c>
    </row>
    <row r="288" spans="2:2" x14ac:dyDescent="0.2">
      <c r="B288" s="8" t="str">
        <f>A288&amp;COUNTIF($A$89:$A288,A288)</f>
        <v>0</v>
      </c>
    </row>
    <row r="289" spans="2:2" x14ac:dyDescent="0.2">
      <c r="B289" s="8" t="str">
        <f>A289&amp;COUNTIF($A$89:$A289,A289)</f>
        <v>0</v>
      </c>
    </row>
    <row r="290" spans="2:2" x14ac:dyDescent="0.2">
      <c r="B290" s="8" t="str">
        <f>A290&amp;COUNTIF($A$89:$A290,A290)</f>
        <v>0</v>
      </c>
    </row>
    <row r="291" spans="2:2" x14ac:dyDescent="0.2">
      <c r="B291" s="8" t="str">
        <f>A291&amp;COUNTIF($A$89:$A291,A291)</f>
        <v>0</v>
      </c>
    </row>
    <row r="292" spans="2:2" x14ac:dyDescent="0.2">
      <c r="B292" s="8" t="str">
        <f>A292&amp;COUNTIF($A$89:$A292,A292)</f>
        <v>0</v>
      </c>
    </row>
    <row r="293" spans="2:2" x14ac:dyDescent="0.2">
      <c r="B293" s="8" t="str">
        <f>A293&amp;COUNTIF($A$89:$A293,A293)</f>
        <v>0</v>
      </c>
    </row>
    <row r="294" spans="2:2" x14ac:dyDescent="0.2">
      <c r="B294" s="8" t="str">
        <f>A294&amp;COUNTIF($A$89:$A294,A294)</f>
        <v>0</v>
      </c>
    </row>
    <row r="295" spans="2:2" x14ac:dyDescent="0.2">
      <c r="B295" s="8" t="str">
        <f>A295&amp;COUNTIF($A$89:$A295,A295)</f>
        <v>0</v>
      </c>
    </row>
    <row r="296" spans="2:2" x14ac:dyDescent="0.2">
      <c r="B296" s="8" t="str">
        <f>A296&amp;COUNTIF($A$89:$A296,A296)</f>
        <v>0</v>
      </c>
    </row>
    <row r="297" spans="2:2" x14ac:dyDescent="0.2">
      <c r="B297" s="8" t="str">
        <f>A297&amp;COUNTIF($A$89:$A297,A297)</f>
        <v>0</v>
      </c>
    </row>
    <row r="298" spans="2:2" x14ac:dyDescent="0.2">
      <c r="B298" s="8" t="str">
        <f>A298&amp;COUNTIF($A$89:$A298,A298)</f>
        <v>0</v>
      </c>
    </row>
    <row r="299" spans="2:2" x14ac:dyDescent="0.2">
      <c r="B299" s="8" t="str">
        <f>A299&amp;COUNTIF($A$89:$A299,A299)</f>
        <v>0</v>
      </c>
    </row>
    <row r="300" spans="2:2" x14ac:dyDescent="0.2">
      <c r="B300" s="8" t="str">
        <f>A300&amp;COUNTIF($A$89:$A300,A300)</f>
        <v>0</v>
      </c>
    </row>
    <row r="301" spans="2:2" x14ac:dyDescent="0.2">
      <c r="B301" s="8" t="str">
        <f>A301&amp;COUNTIF($A$89:$A301,A301)</f>
        <v>0</v>
      </c>
    </row>
    <row r="302" spans="2:2" x14ac:dyDescent="0.2">
      <c r="B302" s="8" t="str">
        <f>A302&amp;COUNTIF($A$89:$A302,A302)</f>
        <v>0</v>
      </c>
    </row>
    <row r="303" spans="2:2" x14ac:dyDescent="0.2">
      <c r="B303" s="8" t="str">
        <f>A303&amp;COUNTIF($A$89:$A303,A303)</f>
        <v>0</v>
      </c>
    </row>
    <row r="304" spans="2:2" x14ac:dyDescent="0.2">
      <c r="B304" s="8" t="str">
        <f>A304&amp;COUNTIF($A$89:$A304,A304)</f>
        <v>0</v>
      </c>
    </row>
    <row r="305" spans="2:2" x14ac:dyDescent="0.2">
      <c r="B305" s="8" t="str">
        <f>A305&amp;COUNTIF($A$89:$A305,A305)</f>
        <v>0</v>
      </c>
    </row>
    <row r="306" spans="2:2" x14ac:dyDescent="0.2">
      <c r="B306" s="8" t="str">
        <f>A306&amp;COUNTIF($A$89:$A306,A306)</f>
        <v>0</v>
      </c>
    </row>
    <row r="307" spans="2:2" x14ac:dyDescent="0.2">
      <c r="B307" s="8" t="str">
        <f>A307&amp;COUNTIF($A$89:$A307,A307)</f>
        <v>0</v>
      </c>
    </row>
    <row r="308" spans="2:2" x14ac:dyDescent="0.2">
      <c r="B308" s="8" t="str">
        <f>A308&amp;COUNTIF($A$89:$A308,A308)</f>
        <v>0</v>
      </c>
    </row>
    <row r="309" spans="2:2" x14ac:dyDescent="0.2">
      <c r="B309" s="8" t="str">
        <f>A309&amp;COUNTIF($A$89:$A309,A309)</f>
        <v>0</v>
      </c>
    </row>
    <row r="310" spans="2:2" x14ac:dyDescent="0.2">
      <c r="B310" s="8" t="str">
        <f>A310&amp;COUNTIF($A$89:$A310,A310)</f>
        <v>0</v>
      </c>
    </row>
    <row r="311" spans="2:2" x14ac:dyDescent="0.2">
      <c r="B311" s="8" t="str">
        <f>A311&amp;COUNTIF($A$89:$A311,A311)</f>
        <v>0</v>
      </c>
    </row>
    <row r="312" spans="2:2" x14ac:dyDescent="0.2">
      <c r="B312" s="8" t="str">
        <f>A312&amp;COUNTIF($A$89:$A312,A312)</f>
        <v>0</v>
      </c>
    </row>
    <row r="313" spans="2:2" x14ac:dyDescent="0.2">
      <c r="B313" s="8" t="str">
        <f>A313&amp;COUNTIF($A$89:$A313,A313)</f>
        <v>0</v>
      </c>
    </row>
    <row r="314" spans="2:2" x14ac:dyDescent="0.2">
      <c r="B314" s="8" t="str">
        <f>A314&amp;COUNTIF($A$89:$A314,A314)</f>
        <v>0</v>
      </c>
    </row>
    <row r="315" spans="2:2" x14ac:dyDescent="0.2">
      <c r="B315" s="8" t="str">
        <f>A315&amp;COUNTIF($A$89:$A315,A315)</f>
        <v>0</v>
      </c>
    </row>
    <row r="316" spans="2:2" x14ac:dyDescent="0.2">
      <c r="B316" s="8" t="str">
        <f>A316&amp;COUNTIF($A$89:$A316,A316)</f>
        <v>0</v>
      </c>
    </row>
    <row r="317" spans="2:2" x14ac:dyDescent="0.2">
      <c r="B317" s="8" t="str">
        <f>A317&amp;COUNTIF($A$89:$A317,A317)</f>
        <v>0</v>
      </c>
    </row>
    <row r="318" spans="2:2" x14ac:dyDescent="0.2">
      <c r="B318" s="8" t="str">
        <f>A318&amp;COUNTIF($A$89:$A318,A318)</f>
        <v>0</v>
      </c>
    </row>
    <row r="319" spans="2:2" x14ac:dyDescent="0.2">
      <c r="B319" s="8" t="str">
        <f>A319&amp;COUNTIF($A$89:$A319,A319)</f>
        <v>0</v>
      </c>
    </row>
    <row r="320" spans="2:2" x14ac:dyDescent="0.2">
      <c r="B320" s="8" t="str">
        <f>A320&amp;COUNTIF($A$89:$A320,A320)</f>
        <v>0</v>
      </c>
    </row>
    <row r="321" spans="2:2" x14ac:dyDescent="0.2">
      <c r="B321" s="8" t="str">
        <f>A321&amp;COUNTIF($A$89:$A321,A321)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2022-06-29T21:07:12Z</dcterms:modified>
</cp:coreProperties>
</file>