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9BB7A2D7-6002-D245-A498-FE9364C9A78F}" xr6:coauthVersionLast="47" xr6:coauthVersionMax="47" xr10:uidLastSave="{00000000-0000-0000-0000-000000000000}"/>
  <bookViews>
    <workbookView xWindow="10660" yWindow="980" windowWidth="1690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N37" i="2"/>
  <c r="M37" i="2"/>
  <c r="L37" i="2"/>
  <c r="L23" i="2"/>
  <c r="M23" i="2"/>
  <c r="N23" i="2"/>
  <c r="O23" i="2"/>
  <c r="L24" i="2"/>
  <c r="M24" i="2"/>
  <c r="N24" i="2"/>
  <c r="O24" i="2"/>
  <c r="L25" i="2"/>
  <c r="M25" i="2"/>
  <c r="N25" i="2"/>
  <c r="O25" i="2"/>
  <c r="L26" i="2"/>
  <c r="M26" i="2"/>
  <c r="N26" i="2"/>
  <c r="O26" i="2"/>
  <c r="L27" i="2"/>
  <c r="M27" i="2"/>
  <c r="N27" i="2"/>
  <c r="O27" i="2"/>
  <c r="L28" i="2"/>
  <c r="M28" i="2"/>
  <c r="N28" i="2"/>
  <c r="O28" i="2"/>
  <c r="L29" i="2"/>
  <c r="M29" i="2"/>
  <c r="N29" i="2"/>
  <c r="O29" i="2"/>
  <c r="L30" i="2"/>
  <c r="M30" i="2"/>
  <c r="N30" i="2"/>
  <c r="O30" i="2"/>
  <c r="L31" i="2"/>
  <c r="M31" i="2"/>
  <c r="N31" i="2"/>
  <c r="O31" i="2"/>
  <c r="L32" i="2"/>
  <c r="M32" i="2"/>
  <c r="N32" i="2"/>
  <c r="O32" i="2"/>
  <c r="L33" i="2"/>
  <c r="M33" i="2"/>
  <c r="N33" i="2"/>
  <c r="O33" i="2"/>
  <c r="L34" i="2"/>
  <c r="M34" i="2"/>
  <c r="N34" i="2"/>
  <c r="O34" i="2"/>
  <c r="L35" i="2"/>
  <c r="M35" i="2"/>
  <c r="N35" i="2"/>
  <c r="O35" i="2"/>
  <c r="L36" i="2"/>
  <c r="M36" i="2"/>
  <c r="N36" i="2"/>
  <c r="O36" i="2"/>
  <c r="O22" i="2"/>
  <c r="N22" i="2"/>
  <c r="M22" i="2"/>
  <c r="L22" i="2"/>
  <c r="M18" i="2"/>
  <c r="O18" i="2"/>
  <c r="L4" i="2"/>
  <c r="M4" i="2"/>
  <c r="N4" i="2"/>
  <c r="O4" i="2"/>
  <c r="L5" i="2"/>
  <c r="M5" i="2"/>
  <c r="N5" i="2"/>
  <c r="O5" i="2"/>
  <c r="L6" i="2"/>
  <c r="M6" i="2"/>
  <c r="N6" i="2"/>
  <c r="O6" i="2"/>
  <c r="L7" i="2"/>
  <c r="M7" i="2"/>
  <c r="N7" i="2"/>
  <c r="O7" i="2"/>
  <c r="L8" i="2"/>
  <c r="M8" i="2"/>
  <c r="N8" i="2"/>
  <c r="O8" i="2"/>
  <c r="L9" i="2"/>
  <c r="M9" i="2"/>
  <c r="N9" i="2"/>
  <c r="O9" i="2"/>
  <c r="L10" i="2"/>
  <c r="M10" i="2"/>
  <c r="N10" i="2"/>
  <c r="O10" i="2"/>
  <c r="L11" i="2"/>
  <c r="M11" i="2"/>
  <c r="N11" i="2"/>
  <c r="O11" i="2"/>
  <c r="L12" i="2"/>
  <c r="M12" i="2"/>
  <c r="N12" i="2"/>
  <c r="O12" i="2"/>
  <c r="L13" i="2"/>
  <c r="M13" i="2"/>
  <c r="N13" i="2"/>
  <c r="O13" i="2"/>
  <c r="L14" i="2"/>
  <c r="M14" i="2"/>
  <c r="N14" i="2"/>
  <c r="O14" i="2"/>
  <c r="L15" i="2"/>
  <c r="M15" i="2"/>
  <c r="N15" i="2"/>
  <c r="O15" i="2"/>
  <c r="L16" i="2"/>
  <c r="M16" i="2"/>
  <c r="N16" i="2"/>
  <c r="O16" i="2"/>
  <c r="L17" i="2"/>
  <c r="M17" i="2"/>
  <c r="N17" i="2"/>
  <c r="O17" i="2"/>
  <c r="O3" i="2"/>
  <c r="N3" i="2"/>
  <c r="M3" i="2"/>
  <c r="L3" i="2"/>
  <c r="L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6" i="2"/>
  <c r="K8" i="2"/>
  <c r="K9" i="2"/>
  <c r="K10" i="2"/>
  <c r="K12" i="2"/>
  <c r="K13" i="2"/>
  <c r="K14" i="2"/>
  <c r="K15" i="2"/>
  <c r="K16" i="2"/>
  <c r="K17" i="2"/>
  <c r="K22" i="2"/>
  <c r="K23" i="2"/>
  <c r="K37" i="2" s="1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K4" i="2" s="1"/>
  <c r="I5" i="2"/>
  <c r="J5" i="2"/>
  <c r="K5" i="2" s="1"/>
  <c r="I6" i="2"/>
  <c r="J6" i="2"/>
  <c r="I7" i="2"/>
  <c r="J7" i="2"/>
  <c r="K7" i="2" s="1"/>
  <c r="I8" i="2"/>
  <c r="J8" i="2"/>
  <c r="I9" i="2"/>
  <c r="J9" i="2"/>
  <c r="I10" i="2"/>
  <c r="J10" i="2"/>
  <c r="I11" i="2"/>
  <c r="J11" i="2"/>
  <c r="K11" i="2" s="1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N18" i="2" l="1"/>
  <c r="K3" i="2"/>
  <c r="K18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<sst xmlns="http://schemas.openxmlformats.org/spreadsheetml/2006/main" count="356" uniqueCount="217">
  <si>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</si>
  <si>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</si>
  <si>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</si>
  <si>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</si>
  <si>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</si>
  <si>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</si>
  <si>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</si>
  <si>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</si>
  <si>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</si>
  <si>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</si>
  <si>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</si>
  <si>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</si>
  <si>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</si>
  <si>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</si>
  <si>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</si>
  <si>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</si>
  <si>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</si>
  <si>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</si>
  <si>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</si>
  <si>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</si>
  <si>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</si>
  <si>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</si>
  <si>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</si>
  <si>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</si>
  <si>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</si>
  <si>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</si>
  <si>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</si>
  <si>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</si>
  <si>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</si>
  <si>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</si>
  <si>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</si>
  <si>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</si>
  <si>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</si>
  <si>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</si>
  <si>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</si>
  <si>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</si>
  <si>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</si>
  <si>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</si>
  <si>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</si>
  <si>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</si>
  <si>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</si>
  <si>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</si>
  <si>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</si>
  <si>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</si>
  <si>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</si>
  <si>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</si>
  <si>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</si>
  <si>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</si>
  <si>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</si>
  <si>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</si>
  <si>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</si>
  <si>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</si>
  <si>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</si>
  <si>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</si>
  <si>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</si>
  <si>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</si>
  <si>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</si>
  <si>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</si>
  <si>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</si>
  <si>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</si>
  <si>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</si>
  <si>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</si>
  <si>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</si>
  <si>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</si>
  <si>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</si>
  <si>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</si>
  <si>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</si>
  <si>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</si>
  <si>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</si>
  <si>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</si>
  <si>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</si>
  <si>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</si>
  <si>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</si>
  <si>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</si>
  <si>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</si>
  <si>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</si>
  <si>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</si>
  <si>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</si>
  <si>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</si>
  <si>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</si>
  <si>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</si>
  <si>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</si>
  <si>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</si>
  <si>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</si>
  <si>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</si>
  <si>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</si>
  <si>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</si>
  <si>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</si>
  <si>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</si>
  <si>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</si>
  <si>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</si>
  <si>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</si>
  <si>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</si>
  <si>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</si>
  <si>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</si>
  <si>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</si>
  <si>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</si>
  <si>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</si>
  <si>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</si>
  <si>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</si>
  <si>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</si>
  <si>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</si>
  <si>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</si>
  <si>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</si>
  <si>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</si>
  <si>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</si>
  <si>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</si>
  <si>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</si>
  <si>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</si>
  <si>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</si>
  <si>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</si>
  <si>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</si>
  <si>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</si>
  <si>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</si>
  <si>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</si>
  <si>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</si>
  <si>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</si>
  <si>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</si>
  <si>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</si>
  <si>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</si>
  <si>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</si>
  <si>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</si>
  <si>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</si>
  <si>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</si>
  <si>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</si>
  <si>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</si>
  <si>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</si>
  <si>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</si>
  <si>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</si>
  <si>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</si>
  <si>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</si>
  <si>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</si>
  <si>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</si>
  <si>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</si>
  <si>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</si>
  <si>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</si>
  <si>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</si>
  <si>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</si>
  <si>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</si>
  <si>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</si>
  <si>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</si>
  <si>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</si>
  <si>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</si>
  <si>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</si>
  <si>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</si>
  <si>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</si>
  <si>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</si>
  <si>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</si>
  <si>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</si>
  <si>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</si>
  <si>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</si>
  <si>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</si>
  <si>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</si>
  <si>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</si>
  <si>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</si>
  <si>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</si>
  <si>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</si>
  <si>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</si>
  <si>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</si>
  <si>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</si>
  <si>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</si>
  <si>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</si>
  <si>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</si>
  <si>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</si>
  <si>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</si>
  <si>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</si>
  <si>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</si>
  <si>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</si>
  <si>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</si>
  <si>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</si>
  <si>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</si>
  <si>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</si>
  <si>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</si>
  <si>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</si>
  <si>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</si>
  <si>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</si>
  <si>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</si>
  <si>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</si>
  <si>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</si>
  <si>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</si>
  <si>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</si>
  <si>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</si>
  <si>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</si>
  <si>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</si>
  <si>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</si>
  <si>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</si>
  <si>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</si>
  <si>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</si>
  <si>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</si>
  <si>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</si>
  <si>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</si>
  <si>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</si>
  <si>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</si>
  <si>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</si>
  <si>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</si>
  <si>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</si>
  <si>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</si>
  <si>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</si>
  <si>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</si>
  <si>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</si>
  <si>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</si>
  <si>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</si>
  <si>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</si>
  <si>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</si>
  <si>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</si>
  <si>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</si>
  <si>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</si>
  <si>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</si>
  <si>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</si>
  <si>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</si>
  <si>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</si>
  <si>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</si>
  <si>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</si>
  <si>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AST</t>
  </si>
  <si>
    <t>STL</t>
  </si>
  <si>
    <t>TOV</t>
  </si>
  <si>
    <t>BLK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</si>
</sst>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workbookViewId="0">
      <selection activeCell="O18" sqref="O1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G1'!B1</f>
        <v>Team Egan</v>
      </c>
    </row>
    <row r="2" spans="2:15" x14ac:dyDescent="0.2">
      <c r="B2" t="str">
        <f>G1</f>
        <v>Team Egan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  <c r="L2" t="s">
        <v>213</v>
      </c>
      <c r="M2" t="s">
        <v>214</v>
      </c>
      <c r="N2" t="s">
        <v>215</v>
      </c>
      <c r="O2" t="s">
        <v>216</v>
      </c>
    </row>
    <row r="3" spans="2:15" x14ac:dyDescent="0.2">
      <c r="B3">
        <f>I18</f>
        <v>6</v>
      </c>
      <c r="C3" s="3" t="s">
        <v>6</v>
      </c>
      <c r="D3" s="4">
        <f>I37</f>
        <v>0</v>
      </c>
      <c r="F3" t="str">
        <f>'Stats G1'!A3</f>
        <v>Casdon</v>
      </c>
      <c r="G3" t="str">
        <f>'Stats G1'!B3</f>
        <v>Jardine</v>
      </c>
      <c r="H3">
        <f>'Stats G1'!C3</f>
        <v>22</v>
      </c>
      <c r="I3">
        <f>'Stats G1'!E3</f>
        <v>2</v>
      </c>
      <c r="J3">
        <f>'Stats G1'!H3</f>
        <v>5</v>
      </c>
      <c r="K3">
        <f>J3+I3</f>
        <v>7</v>
      </c>
      <c r="L3">
        <f>'Stats G1'!K3</f>
        <v>2</v>
      </c>
      <c r="M3">
        <f>'Stats G1'!N3</f>
        <v>0</v>
      </c>
      <c r="N3">
        <f>'Stats G1'!Q3</f>
        <v>1</v>
      </c>
      <c r="O3">
        <f>'Stats G1'!T3</f>
        <v>0</v>
      </c>
    </row>
    <row r="4" spans="2:15" x14ac:dyDescent="0.2">
      <c r="F4" t="str">
        <f>'Stats G1'!A4</f>
        <v>Rex</v>
      </c>
      <c r="G4" t="str">
        <f>'Stats G1'!B4</f>
        <v>Sunderland</v>
      </c>
      <c r="H4">
        <f>'Stats G1'!C4</f>
        <v>13</v>
      </c>
      <c r="I4">
        <f>'Stats G1'!E4</f>
        <v>0</v>
      </c>
      <c r="J4">
        <f>'Stats G1'!H4</f>
        <v>4</v>
      </c>
      <c r="K4">
        <f t="shared" ref="K4:K17" si="0">J4+I4</f>
        <v>4</v>
      </c>
      <c r="L4">
        <f>'Stats G1'!K4</f>
        <v>4</v>
      </c>
      <c r="M4">
        <f>'Stats G1'!N4</f>
        <v>0</v>
      </c>
      <c r="N4">
        <f>'Stats G1'!Q4</f>
        <v>1</v>
      </c>
      <c r="O4">
        <f>'Stats G1'!T4</f>
        <v>0</v>
      </c>
    </row>
    <row r="5" spans="2:15" x14ac:dyDescent="0.2">
      <c r="F5" t="str">
        <f>'Stats G1'!A5</f>
        <v>Steve</v>
      </c>
      <c r="G5" t="str">
        <f>'Stats G1'!B5</f>
        <v>Panos</v>
      </c>
      <c r="H5">
        <f>'Stats G1'!C5</f>
        <v>0</v>
      </c>
      <c r="I5">
        <f>'Stats G1'!E5</f>
        <v>2</v>
      </c>
      <c r="J5">
        <f>'Stats G1'!H5</f>
        <v>2</v>
      </c>
      <c r="K5">
        <f t="shared" si="0"/>
        <v>4</v>
      </c>
      <c r="L5">
        <f>'Stats G1'!K5</f>
        <v>2</v>
      </c>
      <c r="M5">
        <f>'Stats G1'!N5</f>
        <v>0</v>
      </c>
      <c r="N5">
        <f>'Stats G1'!Q5</f>
        <v>0</v>
      </c>
      <c r="O5">
        <f>'Stats G1'!T5</f>
        <v>0</v>
      </c>
    </row>
    <row r="6" spans="2:15" x14ac:dyDescent="0.2">
      <c r="F6" t="str">
        <f>'Stats G1'!A6</f>
        <v>James</v>
      </c>
      <c r="G6" t="str">
        <f>'Stats G1'!B6</f>
        <v>Walljasper</v>
      </c>
      <c r="H6">
        <f>'Stats G1'!C6</f>
        <v>1</v>
      </c>
      <c r="I6">
        <f>'Stats G1'!E6</f>
        <v>1</v>
      </c>
      <c r="J6">
        <f>'Stats G1'!H6</f>
        <v>4</v>
      </c>
      <c r="K6">
        <f t="shared" si="0"/>
        <v>5</v>
      </c>
      <c r="L6">
        <f>'Stats G1'!K6</f>
        <v>1</v>
      </c>
      <c r="M6">
        <f>'Stats G1'!N6</f>
        <v>0</v>
      </c>
      <c r="N6">
        <f>'Stats G1'!Q6</f>
        <v>0</v>
      </c>
      <c r="O6">
        <f>'Stats G1'!T6</f>
        <v>0</v>
      </c>
    </row>
    <row r="7" spans="2:15" x14ac:dyDescent="0.2">
      <c r="F7" t="str">
        <f>'Stats G1'!A7</f>
        <v>Wil</v>
      </c>
      <c r="G7" t="str">
        <f>'Stats G1'!B7</f>
        <v>Carter</v>
      </c>
      <c r="H7">
        <f>'Stats G1'!C7</f>
        <v>15</v>
      </c>
      <c r="I7">
        <f>'Stats G1'!E7</f>
        <v>1</v>
      </c>
      <c r="J7">
        <f>'Stats G1'!H7</f>
        <v>2</v>
      </c>
      <c r="K7">
        <f t="shared" si="0"/>
        <v>3</v>
      </c>
      <c r="L7">
        <f>'Stats G1'!K7</f>
        <v>0</v>
      </c>
      <c r="M7">
        <f>'Stats G1'!N7</f>
        <v>0</v>
      </c>
      <c r="N7">
        <f>'Stats G1'!Q7</f>
        <v>0</v>
      </c>
      <c r="O7">
        <f>'Stats G1'!T7</f>
        <v>0</v>
      </c>
    </row>
    <row r="8" spans="2:15" x14ac:dyDescent="0.2">
      <c r="F8" t="str">
        <f>'Stats G1'!A8</f>
        <v>Drew</v>
      </c>
      <c r="G8" t="str">
        <f>'Stats G1'!B8</f>
        <v>Lokeni</v>
      </c>
      <c r="H8">
        <f>'Stats G1'!C8</f>
        <v>7</v>
      </c>
      <c r="I8">
        <f>'Stats G1'!E8</f>
        <v>0</v>
      </c>
      <c r="J8">
        <f>'Stats G1'!H8</f>
        <v>0</v>
      </c>
      <c r="K8">
        <f t="shared" si="0"/>
        <v>0</v>
      </c>
      <c r="L8">
        <f>'Stats G1'!K8</f>
        <v>0</v>
      </c>
      <c r="M8">
        <f>'Stats G1'!N8</f>
        <v>0</v>
      </c>
      <c r="N8">
        <f>'Stats G1'!Q8</f>
        <v>0</v>
      </c>
      <c r="O8">
        <f>'Stats G1'!T8</f>
        <v>0</v>
      </c>
    </row>
    <row r="9" spans="2:15" x14ac:dyDescent="0.2">
      <c r="F9" t="str">
        <f>'Stats G1'!A9</f>
        <v>Mason</v>
      </c>
      <c r="G9" t="str">
        <f>'Stats G1'!B9</f>
        <v>Sawyer</v>
      </c>
      <c r="H9">
        <f>'Stats G1'!C9</f>
        <v>4</v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  <c r="M9">
        <f>'Stats G1'!N9</f>
        <v>0</v>
      </c>
      <c r="N9">
        <f>'Stats G1'!Q9</f>
        <v>0</v>
      </c>
      <c r="O9">
        <f>'Stats G1'!T9</f>
        <v>0</v>
      </c>
    </row>
    <row r="10" spans="2:15" x14ac:dyDescent="0.2">
      <c r="F10" t="str">
        <f>'Stats G1'!A10</f>
        <v>Adam</v>
      </c>
      <c r="G10" t="str">
        <f>'Stats G1'!B10</f>
        <v>Egan</v>
      </c>
      <c r="H10">
        <f>'Stats G1'!C10</f>
        <v>13</v>
      </c>
      <c r="I10">
        <f>'Stats G1'!E10</f>
        <v>0</v>
      </c>
      <c r="J10">
        <f>'Stats G1'!H10</f>
        <v>1</v>
      </c>
      <c r="K10">
        <f t="shared" si="0"/>
        <v>1</v>
      </c>
      <c r="L10">
        <f>'Stats G1'!K10</f>
        <v>2</v>
      </c>
      <c r="M10">
        <f>'Stats G1'!N10</f>
        <v>0</v>
      </c>
      <c r="N10">
        <f>'Stats G1'!Q10</f>
        <v>0</v>
      </c>
      <c r="O10">
        <f>'Stats G1'!T10</f>
        <v>0</v>
      </c>
    </row>
    <row r="11" spans="2:15" x14ac:dyDescent="0.2">
      <c r="F11" t="str">
        <f>'Stats G1'!A11</f>
        <v>Tony</v>
      </c>
      <c r="G11" t="str">
        <f>'Stats G1'!B11</f>
        <v>Roberts</v>
      </c>
      <c r="H11">
        <f>'Stats G1'!C11</f>
        <v>21</v>
      </c>
      <c r="I11">
        <f>'Stats G1'!E11</f>
        <v>0</v>
      </c>
      <c r="J11">
        <f>'Stats G1'!H11</f>
        <v>1</v>
      </c>
      <c r="K11">
        <f t="shared" si="0"/>
        <v>1</v>
      </c>
      <c r="L11">
        <f>'Stats G1'!K11</f>
        <v>0</v>
      </c>
      <c r="M11">
        <f>'Stats G1'!N11</f>
        <v>0</v>
      </c>
      <c r="N11">
        <f>'Stats G1'!Q11</f>
        <v>2</v>
      </c>
      <c r="O11">
        <f>'Stats G1'!T11</f>
        <v>0</v>
      </c>
    </row>
    <row r="12" spans="2:15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  <c r="L12">
        <f>'Stats G1'!K12</f>
        <v>0</v>
      </c>
      <c r="M12">
        <f>'Stats G1'!N12</f>
        <v>0</v>
      </c>
      <c r="N12">
        <f>'Stats G1'!Q12</f>
        <v>0</v>
      </c>
      <c r="O12">
        <f>'Stats G1'!T12</f>
        <v>0</v>
      </c>
    </row>
    <row r="13" spans="2:15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  <c r="M13">
        <f>'Stats G1'!N13</f>
        <v>0</v>
      </c>
      <c r="N13">
        <f>'Stats G1'!Q13</f>
        <v>0</v>
      </c>
      <c r="O13">
        <f>'Stats G1'!T13</f>
        <v>0</v>
      </c>
    </row>
    <row r="14" spans="2:15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  <c r="M14">
        <f>'Stats G1'!N14</f>
        <v>0</v>
      </c>
      <c r="N14">
        <f>'Stats G1'!Q14</f>
        <v>0</v>
      </c>
      <c r="O14">
        <f>'Stats G1'!T14</f>
        <v>0</v>
      </c>
    </row>
    <row r="15" spans="2:15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  <c r="M15">
        <f>'Stats G1'!N15</f>
        <v>0</v>
      </c>
      <c r="N15">
        <f>'Stats G1'!Q15</f>
        <v>0</v>
      </c>
      <c r="O15">
        <f>'Stats G1'!T15</f>
        <v>0</v>
      </c>
    </row>
    <row r="16" spans="2:15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  <c r="M16">
        <f>'Stats G1'!N16</f>
        <v>0</v>
      </c>
      <c r="N16">
        <f>'Stats G1'!Q16</f>
        <v>0</v>
      </c>
      <c r="O16">
        <f>'Stats G1'!T16</f>
        <v>0</v>
      </c>
    </row>
    <row r="17" spans="6:15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  <c r="M17">
        <f>'Stats G1'!N17</f>
        <v>0</v>
      </c>
      <c r="N17">
        <f>'Stats G1'!Q17</f>
        <v>0</v>
      </c>
      <c r="O17">
        <f>'Stats G1'!T17</f>
        <v>0</v>
      </c>
    </row>
    <row r="18" spans="6:15" x14ac:dyDescent="0.2">
      <c r="H18" s="2" t="s">
        <v>5</v>
      </c>
      <c r="I18">
        <f t="shared" ref="I18:O18" si="1">SUM(I3:I17)</f>
        <v>6</v>
      </c>
      <c r="J18">
        <f t="shared" si="1"/>
        <v>19</v>
      </c>
      <c r="K18">
        <f t="shared" si="1"/>
        <v>25</v>
      </c>
      <c r="L18">
        <f t="shared" si="1"/>
        <v>11</v>
      </c>
      <c r="M18">
        <f t="shared" si="1"/>
        <v>0</v>
      </c>
      <c r="N18">
        <f t="shared" si="1"/>
        <v>4</v>
      </c>
      <c r="O18">
        <f t="shared" si="1"/>
        <v>0</v>
      </c>
    </row>
    <row r="20" spans="6:15" x14ac:dyDescent="0.2">
      <c r="F20" t="s">
        <v>4</v>
      </c>
      <c r="G20" t="str">
        <f>'Stats G1'!B19</f>
        <v>Team Humpherys</v>
      </c>
    </row>
    <row r="21" spans="6:15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  <c r="L21" t="s">
        <v>213</v>
      </c>
      <c r="M21" t="s">
        <v>214</v>
      </c>
      <c r="N21" t="s">
        <v>215</v>
      </c>
      <c r="O21" t="s">
        <v>216</v>
      </c>
    </row>
    <row r="22" spans="6:15" x14ac:dyDescent="0.2">
      <c r="F22" t="str">
        <f>'Stats G1'!A21</f>
        <v>John</v>
      </c>
      <c r="G22" t="str">
        <f>'Stats G1'!B21</f>
        <v>Knight III</v>
      </c>
      <c r="H22">
        <f>'Stats G1'!C21</f>
        <v>23</v>
      </c>
      <c r="I22">
        <f>'Stats G1'!E21</f>
        <v>0</v>
      </c>
      <c r="J22">
        <f>'Stats G1'!H21</f>
        <v>0</v>
      </c>
      <c r="K22">
        <f>J22+I22</f>
        <v>0</v>
      </c>
      <c r="L22">
        <f>'Stats G1'!K21</f>
        <v>0</v>
      </c>
      <c r="M22">
        <f>'Stats G1'!N21</f>
        <v>0</v>
      </c>
      <c r="N22">
        <f>'Stats G1'!Q21</f>
        <v>0</v>
      </c>
      <c r="O22">
        <f>'Stats G1'!T21</f>
        <v>0</v>
      </c>
    </row>
    <row r="23" spans="6:15" x14ac:dyDescent="0.2">
      <c r="F23" t="str">
        <f>'Stats G1'!A22</f>
        <v>Isaac</v>
      </c>
      <c r="G23" t="str">
        <f>'Stats G1'!B22</f>
        <v>Johnson</v>
      </c>
      <c r="H23">
        <f>'Stats G1'!C22</f>
        <v>20</v>
      </c>
      <c r="I23">
        <f>'Stats G1'!E22</f>
        <v>0</v>
      </c>
      <c r="J23">
        <f>'Stats G1'!H22</f>
        <v>0</v>
      </c>
      <c r="K23">
        <f t="shared" ref="K23:K36" si="2">J23+I23</f>
        <v>0</v>
      </c>
      <c r="L23">
        <f>'Stats G1'!K22</f>
        <v>0</v>
      </c>
      <c r="M23">
        <f>'Stats G1'!N22</f>
        <v>0</v>
      </c>
      <c r="N23">
        <f>'Stats G1'!Q22</f>
        <v>0</v>
      </c>
      <c r="O23">
        <f>'Stats G1'!T22</f>
        <v>0</v>
      </c>
    </row>
    <row r="24" spans="6:15" x14ac:dyDescent="0.2">
      <c r="F24" t="str">
        <f>'Stats G1'!A23</f>
        <v>Seena</v>
      </c>
      <c r="G24" t="str">
        <f>'Stats G1'!B23</f>
        <v>Namdar</v>
      </c>
      <c r="H24">
        <f>'Stats G1'!C23</f>
        <v>13</v>
      </c>
      <c r="I24">
        <f>'Stats G1'!E23</f>
        <v>0</v>
      </c>
      <c r="J24">
        <f>'Stats G1'!H23</f>
        <v>0</v>
      </c>
      <c r="K24">
        <f t="shared" si="2"/>
        <v>0</v>
      </c>
      <c r="L24">
        <f>'Stats G1'!K23</f>
        <v>0</v>
      </c>
      <c r="M24">
        <f>'Stats G1'!N23</f>
        <v>0</v>
      </c>
      <c r="N24">
        <f>'Stats G1'!Q23</f>
        <v>0</v>
      </c>
      <c r="O24">
        <f>'Stats G1'!T23</f>
        <v>0</v>
      </c>
    </row>
    <row r="25" spans="6:15" x14ac:dyDescent="0.2">
      <c r="F25" t="str">
        <f>'Stats G1'!A24</f>
        <v>Hunter</v>
      </c>
      <c r="G25" t="str">
        <f>'Stats G1'!B24</f>
        <v>Humpherys</v>
      </c>
      <c r="H25">
        <f>'Stats G1'!C24</f>
        <v>11</v>
      </c>
      <c r="I25">
        <f>'Stats G1'!E24</f>
        <v>0</v>
      </c>
      <c r="J25">
        <f>'Stats G1'!H24</f>
        <v>0</v>
      </c>
      <c r="K25">
        <f t="shared" si="2"/>
        <v>0</v>
      </c>
      <c r="L25">
        <f>'Stats G1'!K24</f>
        <v>0</v>
      </c>
      <c r="M25">
        <f>'Stats G1'!N24</f>
        <v>0</v>
      </c>
      <c r="N25">
        <f>'Stats G1'!Q24</f>
        <v>0</v>
      </c>
      <c r="O25">
        <f>'Stats G1'!T24</f>
        <v>0</v>
      </c>
    </row>
    <row r="26" spans="6:15" x14ac:dyDescent="0.2">
      <c r="F26" t="str">
        <f>'Stats G1'!A25</f>
        <v>Mark</v>
      </c>
      <c r="G26" t="str">
        <f>'Stats G1'!B25</f>
        <v>Burton</v>
      </c>
      <c r="H26">
        <f>'Stats G1'!C25</f>
        <v>3</v>
      </c>
      <c r="I26">
        <f>'Stats G1'!E25</f>
        <v>0</v>
      </c>
      <c r="J26">
        <f>'Stats G1'!H25</f>
        <v>0</v>
      </c>
      <c r="K26">
        <f t="shared" si="2"/>
        <v>0</v>
      </c>
      <c r="L26">
        <f>'Stats G1'!K25</f>
        <v>0</v>
      </c>
      <c r="M26">
        <f>'Stats G1'!N25</f>
        <v>0</v>
      </c>
      <c r="N26">
        <f>'Stats G1'!Q25</f>
        <v>0</v>
      </c>
      <c r="O26">
        <f>'Stats G1'!T25</f>
        <v>0</v>
      </c>
    </row>
    <row r="27" spans="6:15" x14ac:dyDescent="0.2">
      <c r="F27" t="str">
        <f>'Stats G1'!A26</f>
        <v>Gabe</v>
      </c>
      <c r="G27" t="str">
        <f>'Stats G1'!B26</f>
        <v>Madsen</v>
      </c>
      <c r="H27">
        <f>'Stats G1'!C26</f>
        <v>55</v>
      </c>
      <c r="I27">
        <f>'Stats G1'!E26</f>
        <v>0</v>
      </c>
      <c r="J27">
        <f>'Stats G1'!H26</f>
        <v>0</v>
      </c>
      <c r="K27">
        <f t="shared" si="2"/>
        <v>0</v>
      </c>
      <c r="L27">
        <f>'Stats G1'!K26</f>
        <v>0</v>
      </c>
      <c r="M27">
        <f>'Stats G1'!N26</f>
        <v>0</v>
      </c>
      <c r="N27">
        <f>'Stats G1'!Q26</f>
        <v>0</v>
      </c>
      <c r="O27">
        <f>'Stats G1'!T26</f>
        <v>0</v>
      </c>
    </row>
    <row r="28" spans="6:15" x14ac:dyDescent="0.2">
      <c r="F28" t="str">
        <f>'Stats G1'!A27</f>
        <v>Marco</v>
      </c>
      <c r="G28" t="str">
        <f>'Stats G1'!B27</f>
        <v>Anthony</v>
      </c>
      <c r="H28">
        <f>'Stats G1'!C27</f>
        <v>99</v>
      </c>
      <c r="I28">
        <f>'Stats G1'!E27</f>
        <v>0</v>
      </c>
      <c r="J28">
        <f>'Stats G1'!H27</f>
        <v>0</v>
      </c>
      <c r="K28">
        <f t="shared" si="2"/>
        <v>0</v>
      </c>
      <c r="L28">
        <f>'Stats G1'!K27</f>
        <v>0</v>
      </c>
      <c r="M28">
        <f>'Stats G1'!N27</f>
        <v>0</v>
      </c>
      <c r="N28">
        <f>'Stats G1'!Q27</f>
        <v>0</v>
      </c>
      <c r="O28">
        <f>'Stats G1'!T27</f>
        <v>0</v>
      </c>
    </row>
    <row r="29" spans="6:15" x14ac:dyDescent="0.2">
      <c r="F29" t="str">
        <f>'Stats G1'!A28</f>
        <v>Dee</v>
      </c>
      <c r="G29" t="str">
        <f>'Stats G1'!B28</f>
        <v>Barnes</v>
      </c>
      <c r="H29">
        <f>'Stats G1'!C28</f>
        <v>22</v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  <c r="M29">
        <f>'Stats G1'!N28</f>
        <v>0</v>
      </c>
      <c r="N29">
        <f>'Stats G1'!Q28</f>
        <v>0</v>
      </c>
      <c r="O29">
        <f>'Stats G1'!T28</f>
        <v>0</v>
      </c>
    </row>
    <row r="30" spans="6:15" x14ac:dyDescent="0.2">
      <c r="F30" t="str">
        <f>'Stats G1'!A29</f>
        <v>Zack</v>
      </c>
      <c r="G30" t="str">
        <f>'Stats G1'!B29</f>
        <v>Visentin</v>
      </c>
      <c r="H30">
        <f>'Stats G1'!C29</f>
        <v>32</v>
      </c>
      <c r="I30">
        <f>'Stats G1'!E29</f>
        <v>0</v>
      </c>
      <c r="J30">
        <f>'Stats G1'!H29</f>
        <v>0</v>
      </c>
      <c r="K30">
        <f t="shared" si="2"/>
        <v>0</v>
      </c>
      <c r="L30">
        <f>'Stats G1'!K29</f>
        <v>0</v>
      </c>
      <c r="M30">
        <f>'Stats G1'!N29</f>
        <v>0</v>
      </c>
      <c r="N30">
        <f>'Stats G1'!Q29</f>
        <v>0</v>
      </c>
      <c r="O30">
        <f>'Stats G1'!T29</f>
        <v>0</v>
      </c>
    </row>
    <row r="31" spans="6:15" x14ac:dyDescent="0.2">
      <c r="F31" t="str">
        <f>'Stats G1'!A30</f>
        <v>Demarcus</v>
      </c>
      <c r="G31" t="str">
        <f>'Stats G1'!B30</f>
        <v>Harrison</v>
      </c>
      <c r="H31">
        <f>'Stats G1'!C30</f>
        <v>31</v>
      </c>
      <c r="I31">
        <f>'Stats G1'!E30</f>
        <v>0</v>
      </c>
      <c r="J31">
        <f>'Stats G1'!H30</f>
        <v>0</v>
      </c>
      <c r="K31">
        <f t="shared" si="2"/>
        <v>0</v>
      </c>
      <c r="L31">
        <f>'Stats G1'!K30</f>
        <v>0</v>
      </c>
      <c r="M31">
        <f>'Stats G1'!N30</f>
        <v>0</v>
      </c>
      <c r="N31">
        <f>'Stats G1'!Q30</f>
        <v>0</v>
      </c>
      <c r="O31">
        <f>'Stats G1'!T30</f>
        <v>0</v>
      </c>
    </row>
    <row r="32" spans="6:15" x14ac:dyDescent="0.2">
      <c r="F32" t="str">
        <f>'Stats G1'!A31</f>
        <v>Trey</v>
      </c>
      <c r="G32" t="str">
        <f>'Stats G1'!B31</f>
        <v>Anderson</v>
      </c>
      <c r="H32">
        <f>'Stats G1'!C31</f>
        <v>5</v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  <c r="M32">
        <f>'Stats G1'!N31</f>
        <v>0</v>
      </c>
      <c r="N32">
        <f>'Stats G1'!Q31</f>
        <v>0</v>
      </c>
      <c r="O32">
        <f>'Stats G1'!T31</f>
        <v>0</v>
      </c>
    </row>
    <row r="33" spans="6:15" x14ac:dyDescent="0.2">
      <c r="F33" t="str">
        <f>'Stats G1'!A32</f>
        <v>Lual</v>
      </c>
      <c r="G33" t="str">
        <f>'Stats G1'!B32</f>
        <v>Arok</v>
      </c>
      <c r="H33">
        <f>'Stats G1'!C32</f>
        <v>9</v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  <c r="M33">
        <f>'Stats G1'!N32</f>
        <v>0</v>
      </c>
      <c r="N33">
        <f>'Stats G1'!Q32</f>
        <v>0</v>
      </c>
      <c r="O33">
        <f>'Stats G1'!T32</f>
        <v>0</v>
      </c>
    </row>
    <row r="34" spans="6:15" x14ac:dyDescent="0.2">
      <c r="F34" t="str">
        <f>'Stats G1'!A33</f>
        <v>Zach</v>
      </c>
      <c r="G34" t="str">
        <f>'Stats G1'!B33</f>
        <v>Mogbo</v>
      </c>
      <c r="H34">
        <f>'Stats G1'!C33</f>
        <v>4</v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  <c r="M34">
        <f>'Stats G1'!N33</f>
        <v>0</v>
      </c>
      <c r="N34">
        <f>'Stats G1'!Q33</f>
        <v>0</v>
      </c>
      <c r="O34">
        <f>'Stats G1'!T33</f>
        <v>0</v>
      </c>
    </row>
    <row r="35" spans="6:15" x14ac:dyDescent="0.2">
      <c r="F35" t="str">
        <f>'Stats G1'!A34</f>
        <v>Kyle</v>
      </c>
      <c r="G35" t="str">
        <f>'Stats G1'!B34</f>
        <v>Nielsen</v>
      </c>
      <c r="H35">
        <f>'Stats G1'!C34</f>
        <v>1</v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  <c r="M35">
        <f>'Stats G1'!N34</f>
        <v>0</v>
      </c>
      <c r="N35">
        <f>'Stats G1'!Q34</f>
        <v>0</v>
      </c>
      <c r="O35">
        <f>'Stats G1'!T34</f>
        <v>0</v>
      </c>
    </row>
    <row r="36" spans="6:15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  <c r="M36">
        <f>'Stats G1'!N35</f>
        <v>0</v>
      </c>
      <c r="N36">
        <f>'Stats G1'!Q35</f>
        <v>0</v>
      </c>
      <c r="O36">
        <f>'Stats G1'!T35</f>
        <v>0</v>
      </c>
    </row>
    <row r="37" spans="6:15" x14ac:dyDescent="0.2">
      <c r="H37" s="2" t="s">
        <v>5</v>
      </c>
      <c r="I37">
        <f t="shared" ref="I37:O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zoomScale="90" zoomScaleNormal="90" workbookViewId="0">
      <selection activeCell="Q12" sqref="Q1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17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213</v>
      </c>
      <c r="N2" t="s">
        <v>214</v>
      </c>
      <c r="Q2" t="s">
        <v>215</v>
      </c>
      <c r="T2" t="s">
        <v>216</v>
      </c>
    </row>
    <row r="3" spans="1:24" s="6" customFormat="1" x14ac:dyDescent="0.2">
      <c r="A3" s="5" t="str">
        <f>_xlfn.IFNA(VLOOKUP($B$1&amp;ROWS($A$3:A3),Rosters!$B$2:$C$163,2,0),"?")</f>
        <v>Casdon</v>
      </c>
      <c r="B3" s="5" t="str">
        <f>_xlfn.IFNA(VLOOKUP($B$1&amp;ROWS($B$3:B3),Rosters!$B$2:$D$163,3,0),"?")</f>
        <v>Jardine</v>
      </c>
      <c r="C3" s="5">
        <f>_xlfn.IFNA(VLOOKUP($B$1&amp;ROWS($C$3:C3),Rosters!$B$2:$E$163,4,0),"")</f>
        <v>22</v>
      </c>
      <c r="D3" s="5"/>
      <c r="E3" s="5">
        <v>2</v>
      </c>
      <c r="F3" s="5"/>
      <c r="G3" s="5"/>
      <c r="H3" s="5">
        <v>5</v>
      </c>
      <c r="I3" s="5"/>
      <c r="J3" s="5"/>
      <c r="K3" s="5">
        <v>2</v>
      </c>
      <c r="L3" s="5"/>
      <c r="M3" s="5"/>
      <c r="N3" s="5">
        <v>0</v>
      </c>
      <c r="O3" s="5"/>
      <c r="P3" s="5"/>
      <c r="Q3" s="5">
        <v>1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Rex</v>
      </c>
      <c r="B4" s="6" t="str">
        <f>_xlfn.IFNA(VLOOKUP($B$1&amp;ROWS($B$3:B4),Rosters!$B$2:$D$163,3,0),"?")</f>
        <v>Sunderland</v>
      </c>
      <c r="C4" s="6">
        <f>_xlfn.IFNA(VLOOKUP($B$1&amp;ROWS($C$3:C4),Rosters!$B$2:$E$163,4,0),"")</f>
        <v>13</v>
      </c>
      <c r="E4" s="6">
        <v>0</v>
      </c>
      <c r="H4" s="6">
        <v>4</v>
      </c>
      <c r="K4" s="6">
        <v>4</v>
      </c>
      <c r="N4" s="6">
        <v>0</v>
      </c>
      <c r="Q4" s="6">
        <v>1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Steve</v>
      </c>
      <c r="B5" s="5" t="str">
        <f>_xlfn.IFNA(VLOOKUP($B$1&amp;ROWS($B$3:B5),Rosters!$B$2:$D$163,3,0),"?")</f>
        <v>Panos</v>
      </c>
      <c r="C5" s="5">
        <f>_xlfn.IFNA(VLOOKUP($B$1&amp;ROWS($C$3:C5),Rosters!$B$2:$E$163,4,0),"")</f>
        <v>0</v>
      </c>
      <c r="D5" s="5"/>
      <c r="E5" s="5">
        <v>2</v>
      </c>
      <c r="F5" s="5"/>
      <c r="G5" s="5"/>
      <c r="H5" s="5">
        <v>2</v>
      </c>
      <c r="I5" s="5"/>
      <c r="J5" s="5"/>
      <c r="K5" s="5">
        <v>2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James</v>
      </c>
      <c r="B6" s="6" t="str">
        <f>_xlfn.IFNA(VLOOKUP($B$1&amp;ROWS($B$3:B6),Rosters!$B$2:$D$163,3,0),"?")</f>
        <v>Walljasper</v>
      </c>
      <c r="C6" s="6">
        <f>_xlfn.IFNA(VLOOKUP($B$1&amp;ROWS($C$3:C6),Rosters!$B$2:$E$163,4,0),"")</f>
        <v>1</v>
      </c>
      <c r="E6" s="6">
        <v>1</v>
      </c>
      <c r="H6" s="6">
        <v>4</v>
      </c>
      <c r="K6" s="6">
        <v>1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Wil</v>
      </c>
      <c r="B7" s="5" t="str">
        <f>_xlfn.IFNA(VLOOKUP($B$1&amp;ROWS($B$3:B7),Rosters!$B$2:$D$163,3,0),"?")</f>
        <v>Carter</v>
      </c>
      <c r="C7" s="5">
        <f>_xlfn.IFNA(VLOOKUP($B$1&amp;ROWS($C$3:C7),Rosters!$B$2:$E$163,4,0),"")</f>
        <v>15</v>
      </c>
      <c r="D7" s="5"/>
      <c r="E7" s="5">
        <v>1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Drew</v>
      </c>
      <c r="B8" s="6" t="str">
        <f>_xlfn.IFNA(VLOOKUP($B$1&amp;ROWS($B$3:B8),Rosters!$B$2:$D$163,3,0),"?")</f>
        <v>Lokeni</v>
      </c>
      <c r="C8" s="6">
        <f>_xlfn.IFNA(VLOOKUP($B$1&amp;ROWS($C$3:C8),Rosters!$B$2:$E$163,4,0),"")</f>
        <v>7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Mason</v>
      </c>
      <c r="B9" s="5" t="str">
        <f>_xlfn.IFNA(VLOOKUP($B$1&amp;ROWS($B$3:B9),Rosters!$B$2:$D$163,3,0),"?")</f>
        <v>Sawyer</v>
      </c>
      <c r="C9" s="5">
        <f>_xlfn.IFNA(VLOOKUP($B$1&amp;ROWS($C$3:C9),Rosters!$B$2:$E$163,4,0),"")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Adam</v>
      </c>
      <c r="B10" s="6" t="str">
        <f>_xlfn.IFNA(VLOOKUP($B$1&amp;ROWS($B$3:B10),Rosters!$B$2:$D$163,3,0),"?")</f>
        <v>Egan</v>
      </c>
      <c r="C10" s="6">
        <f>_xlfn.IFNA(VLOOKUP($B$1&amp;ROWS($C$3:C10),Rosters!$B$2:$E$163,4,0),"")</f>
        <v>13</v>
      </c>
      <c r="E10" s="6">
        <v>0</v>
      </c>
      <c r="H10" s="6">
        <v>1</v>
      </c>
      <c r="K10" s="6">
        <v>2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Tony</v>
      </c>
      <c r="B11" s="5" t="str">
        <f>_xlfn.IFNA(VLOOKUP($B$1&amp;ROWS($B$3:B11),Rosters!$B$2:$D$163,3,0),"?")</f>
        <v>Roberts</v>
      </c>
      <c r="C11" s="5">
        <f>_xlfn.IFNA(VLOOKUP($B$1&amp;ROWS($C$3:C11),Rosters!$B$2:$E$163,4,0),"")</f>
        <v>21</v>
      </c>
      <c r="D11" s="5"/>
      <c r="E11" s="5">
        <v>0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2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6</v>
      </c>
      <c r="H18" s="6">
        <f>SUM(H3:H17)</f>
        <v>19</v>
      </c>
      <c r="K18" s="6">
        <f>SUM(K3:K17)</f>
        <v>11</v>
      </c>
      <c r="N18" s="6">
        <f>SUM(N3:N17)</f>
        <v>0</v>
      </c>
      <c r="Q18" s="6">
        <f>SUM(Q3:Q17)</f>
        <v>4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189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213</v>
      </c>
      <c r="N20" t="s">
        <v>214</v>
      </c>
      <c r="Q20" t="s">
        <v>215</v>
      </c>
      <c r="T20" t="s">
        <v>216</v>
      </c>
    </row>
    <row r="21" spans="1:24" s="6" customFormat="1" x14ac:dyDescent="0.2">
      <c r="A21" s="5" t="str">
        <f>_xlfn.IFNA(VLOOKUP($B$19&amp;ROWS($A$21:A21),Rosters!$B$2:$C$163,2,0),"?")</f>
        <v>John</v>
      </c>
      <c r="B21" s="5" t="str">
        <f>_xlfn.IFNA(VLOOKUP($B$19&amp;ROWS($B$21:B21),Rosters!$B$2:$D$163,3,0),"?")</f>
        <v>Knight III</v>
      </c>
      <c r="C21" s="5">
        <f>_xlfn.IFNA(VLOOKUP($B$19&amp;ROWS($C$21:C21),Rosters!$B$2:$E$163,4,0),"")</f>
        <v>23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Isaac</v>
      </c>
      <c r="B22" t="str">
        <f>_xlfn.IFNA(VLOOKUP($B$19&amp;ROWS($B$21:B22),Rosters!$B$2:$D$163,3,0),"?")</f>
        <v>Johnson</v>
      </c>
      <c r="C22">
        <f>_xlfn.IFNA(VLOOKUP($B$19&amp;ROWS($C$21:C22),Rosters!$B$2:$E$163,4,0),"")</f>
        <v>20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Seena</v>
      </c>
      <c r="B23" s="5" t="str">
        <f>_xlfn.IFNA(VLOOKUP($B$19&amp;ROWS($B$21:B23),Rosters!$B$2:$D$163,3,0),"?")</f>
        <v>Namdar</v>
      </c>
      <c r="C23" s="5">
        <f>_xlfn.IFNA(VLOOKUP($B$19&amp;ROWS($C$21:C23),Rosters!$B$2:$E$163,4,0),"")</f>
        <v>13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Hunter</v>
      </c>
      <c r="B24" t="str">
        <f>_xlfn.IFNA(VLOOKUP($B$19&amp;ROWS($B$21:B24),Rosters!$B$2:$D$163,3,0),"?")</f>
        <v>Humpherys</v>
      </c>
      <c r="C24">
        <f>_xlfn.IFNA(VLOOKUP($B$19&amp;ROWS($C$21:C24),Rosters!$B$2:$E$163,4,0),"")</f>
        <v>11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Mark</v>
      </c>
      <c r="B25" s="5" t="str">
        <f>_xlfn.IFNA(VLOOKUP($B$19&amp;ROWS($B$21:B25),Rosters!$B$2:$D$163,3,0),"?")</f>
        <v>Burton</v>
      </c>
      <c r="C25" s="5">
        <f>_xlfn.IFNA(VLOOKUP($B$19&amp;ROWS($C$21:C25),Rosters!$B$2:$E$163,4,0),"")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Gabe</v>
      </c>
      <c r="B26" t="str">
        <f>_xlfn.IFNA(VLOOKUP($B$19&amp;ROWS($B$21:B26),Rosters!$B$2:$D$163,3,0),"?")</f>
        <v>Madsen</v>
      </c>
      <c r="C26">
        <f>_xlfn.IFNA(VLOOKUP($B$19&amp;ROWS($C$21:C26),Rosters!$B$2:$E$163,4,0),"")</f>
        <v>55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Marco</v>
      </c>
      <c r="B27" s="5" t="str">
        <f>_xlfn.IFNA(VLOOKUP($B$19&amp;ROWS($B$21:B27),Rosters!$B$2:$D$163,3,0),"?")</f>
        <v>Anthony</v>
      </c>
      <c r="C27" s="5">
        <f>_xlfn.IFNA(VLOOKUP($B$19&amp;ROWS($C$21:C27),Rosters!$B$2:$E$163,4,0),"")</f>
        <v>99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Dee</v>
      </c>
      <c r="B28" t="str">
        <f>_xlfn.IFNA(VLOOKUP($B$19&amp;ROWS($B$21:B28),Rosters!$B$2:$D$163,3,0),"?")</f>
        <v>Barnes</v>
      </c>
      <c r="C28">
        <f>_xlfn.IFNA(VLOOKUP($B$19&amp;ROWS($C$21:C28),Rosters!$B$2:$E$163,4,0),"")</f>
        <v>22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Zack</v>
      </c>
      <c r="B29" s="5" t="str">
        <f>_xlfn.IFNA(VLOOKUP($B$19&amp;ROWS($B$21:B29),Rosters!$B$2:$D$163,3,0),"?")</f>
        <v>Visentin</v>
      </c>
      <c r="C29" s="5">
        <f>_xlfn.IFNA(VLOOKUP($B$19&amp;ROWS($C$21:C29),Rosters!$B$2:$E$163,4,0),"")</f>
        <v>32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Demarcus</v>
      </c>
      <c r="B30" t="str">
        <f>_xlfn.IFNA(VLOOKUP($B$19&amp;ROWS($B$21:B30),Rosters!$B$2:$D$163,3,0),"?")</f>
        <v>Harrison</v>
      </c>
      <c r="C30">
        <f>_xlfn.IFNA(VLOOKUP($B$19&amp;ROWS($C$21:C30),Rosters!$B$2:$E$163,4,0),"")</f>
        <v>31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Trey</v>
      </c>
      <c r="B31" s="5" t="str">
        <f>_xlfn.IFNA(VLOOKUP($B$19&amp;ROWS($B$21:B31),Rosters!$B$2:$D$163,3,0),"?")</f>
        <v>Anderson</v>
      </c>
      <c r="C31" s="5">
        <f>_xlfn.IFNA(VLOOKUP($B$19&amp;ROWS($C$21:C31),Rosters!$B$2:$E$163,4,0),"")</f>
        <v>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Lual</v>
      </c>
      <c r="B32" t="str">
        <f>_xlfn.IFNA(VLOOKUP($B$19&amp;ROWS($B$21:B32),Rosters!$B$2:$D$163,3,0),"?")</f>
        <v>Arok</v>
      </c>
      <c r="C32">
        <f>_xlfn.IFNA(VLOOKUP($B$19&amp;ROWS($C$21:C32),Rosters!$B$2:$E$163,4,0),"")</f>
        <v>9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Zach</v>
      </c>
      <c r="B33" s="5" t="str">
        <f>_xlfn.IFNA(VLOOKUP($B$19&amp;ROWS($B$21:B33),Rosters!$B$2:$D$163,3,0),"?")</f>
        <v>Mogbo</v>
      </c>
      <c r="C33" s="5">
        <f>_xlfn.IFNA(VLOOKUP($B$19&amp;ROWS($C$21:C33),Rosters!$B$2:$E$163,4,0),"")</f>
        <v>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Kyle</v>
      </c>
      <c r="B34" t="str">
        <f>_xlfn.IFNA(VLOOKUP($B$19&amp;ROWS($B$21:B34),Rosters!$B$2:$D$163,3,0),"?")</f>
        <v>Nielsen</v>
      </c>
      <c r="C34">
        <f>_xlfn.IFNA(VLOOKUP($B$19&amp;ROWS($C$21:C34),Rosters!$B$2:$E$163,4,0),"")</f>
        <v>1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26" sqref="D26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2022-06-28T03:11:12Z</dcterms:modified>
</cp:coreProperties>
</file>