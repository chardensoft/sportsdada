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195923Z-001/"/>
    </mc:Choice>
  </mc:AlternateContent>
  <xr:revisionPtr revIDLastSave="0" documentId="13_ncr:1_{E9181336-5F64-FE40-ADDC-843D3BFE9E1C}" xr6:coauthVersionLast="47" xr6:coauthVersionMax="47" xr10:uidLastSave="{00000000-0000-0000-0000-000000000000}"/>
  <bookViews>
    <workbookView xWindow="0" yWindow="500" windowWidth="20720" windowHeight="131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" l="1"/>
  <c r="B30" i="1"/>
  <c r="A30" i="1"/>
  <c r="H29" i="2"/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Y26" i="1" s="1"/>
  <c r="I18" i="2"/>
  <c r="Y8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37" i="2"/>
  <c r="J18" i="2"/>
  <c r="K18" i="2"/>
  <c r="L37" i="2"/>
  <c r="J37" i="2"/>
  <c r="G20" i="2"/>
  <c r="D2" i="2" s="1"/>
  <c r="G1" i="2"/>
  <c r="B2" i="2" s="1"/>
  <c r="C19" i="1" l="1"/>
  <c r="H17" i="2" s="1"/>
  <c r="A17" i="1"/>
  <c r="F15" i="2" s="1"/>
  <c r="G35" i="2"/>
  <c r="C33" i="1"/>
  <c r="H32" i="2" s="1"/>
  <c r="A31" i="1"/>
  <c r="F30" i="2" s="1"/>
  <c r="G27" i="2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F36" i="2"/>
  <c r="B26" i="1"/>
  <c r="G25" i="2" s="1"/>
  <c r="B19" i="1"/>
  <c r="G17" i="2" s="1"/>
  <c r="H14" i="2"/>
  <c r="F35" i="2"/>
  <c r="B33" i="1"/>
  <c r="G32" i="2" s="1"/>
  <c r="F27" i="2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G33" i="2"/>
  <c r="A24" i="1"/>
  <c r="F23" i="2" s="1"/>
  <c r="A19" i="1"/>
  <c r="F17" i="2" s="1"/>
  <c r="B16" i="1"/>
  <c r="G14" i="2" s="1"/>
  <c r="C35" i="1"/>
  <c r="H34" i="2" s="1"/>
  <c r="A33" i="1"/>
  <c r="F32" i="2" s="1"/>
  <c r="G29" i="2"/>
  <c r="C27" i="1"/>
  <c r="H26" i="2" s="1"/>
  <c r="A25" i="1"/>
  <c r="F24" i="2" s="1"/>
  <c r="A16" i="1"/>
  <c r="F14" i="2" s="1"/>
  <c r="F29" i="2"/>
  <c r="C29" i="1"/>
  <c r="H28" i="2" s="1"/>
  <c r="G36" i="2"/>
  <c r="C26" i="1"/>
  <c r="H25" i="2" s="1"/>
  <c r="C31" i="1"/>
  <c r="H30" i="2" s="1"/>
  <c r="H16" i="2"/>
  <c r="G16" i="2"/>
  <c r="F16" i="2"/>
  <c r="C17" i="1"/>
  <c r="H15" i="2" s="1"/>
  <c r="B17" i="1"/>
  <c r="G15" i="2" s="1"/>
  <c r="C36" i="1"/>
  <c r="H35" i="2" s="1"/>
  <c r="F33" i="2"/>
  <c r="B31" i="1"/>
  <c r="G30" i="2" s="1"/>
  <c r="C28" i="1"/>
  <c r="H27" i="2" s="1"/>
  <c r="A26" i="1"/>
  <c r="F25" i="2" s="1"/>
  <c r="B23" i="1"/>
  <c r="G22" i="2" s="1"/>
  <c r="C32" i="1"/>
  <c r="H31" i="2" s="1"/>
  <c r="H36" i="2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<sst xmlns="http://schemas.openxmlformats.org/spreadsheetml/2006/main" count="372" uniqueCount="234">
  <si>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</si>
  <si>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</si>
  <si>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</si>
  <si>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</si>
  <si>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</si>
  <si>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</si>
  <si>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</si>
  <si>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</si>
  <si>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</si>
  <si>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</si>
  <si>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</si>
  <si>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</si>
  <si>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</si>
  <si>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</si>
  <si>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</si>
  <si>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</si>
  <si>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</si>
  <si>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</si>
  <si>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</si>
  <si>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</si>
  <si>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</si>
  <si>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</si>
  <si>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</si>
  <si>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</si>
  <si>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</si>
  <si>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</si>
  <si>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</si>
  <si>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</si>
  <si>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</si>
  <si>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</si>
  <si>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</si>
  <si>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</si>
  <si>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</si>
  <si>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</si>
  <si>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</si>
  <si>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</si>
  <si>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</si>
  <si>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</si>
  <si>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</si>
  <si>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</si>
  <si>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</si>
  <si>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</si>
  <si>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</si>
  <si>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</si>
  <si>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</si>
  <si>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</si>
  <si>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</si>
  <si>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</si>
  <si>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</si>
  <si>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</si>
  <si>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</si>
  <si>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</si>
  <si>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</si>
  <si>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</si>
  <si>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</si>
  <si>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</si>
  <si>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</si>
  <si>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</si>
  <si>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</si>
  <si>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</si>
  <si>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</si>
  <si>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</si>
  <si>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</si>
  <si>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</si>
  <si>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</si>
  <si>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</si>
  <si>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</si>
  <si>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</si>
  <si>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</si>
  <si>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</si>
  <si>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</si>
  <si>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</si>
  <si>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</si>
  <si>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</si>
  <si>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</si>
  <si>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</si>
  <si>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</si>
  <si>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</si>
  <si>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</si>
  <si>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</si>
  <si>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</si>
  <si>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</si>
  <si>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</si>
  <si>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</si>
  <si>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</si>
  <si>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</si>
  <si>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</si>
  <si>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</si>
  <si>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</si>
  <si>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</si>
  <si>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</si>
  <si>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</si>
  <si>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</si>
  <si>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</si>
  <si>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</si>
  <si>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</si>
  <si>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</si>
  <si>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</si>
  <si>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</si>
  <si>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</si>
  <si>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</si>
  <si>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</si>
  <si>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</si>
  <si>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</si>
  <si>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</si>
  <si>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</si>
  <si>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</si>
  <si>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</si>
  <si>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</si>
  <si>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</si>
  <si>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</si>
  <si>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</si>
  <si>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</si>
  <si>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</si>
  <si>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</si>
  <si>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</si>
  <si>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</si>
  <si>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</si>
  <si>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</si>
  <si>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</si>
  <si>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</si>
  <si>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</si>
  <si>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</si>
  <si>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</si>
  <si>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</si>
  <si>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</si>
  <si>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</si>
  <si>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</si>
  <si>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</si>
  <si>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</si>
  <si>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</si>
  <si>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</si>
  <si>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</si>
  <si>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</si>
  <si>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</si>
  <si>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</si>
  <si>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</si>
  <si>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</si>
  <si>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</si>
  <si>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</si>
  <si>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</si>
  <si>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</si>
  <si>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</si>
  <si>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</si>
  <si>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</si>
  <si>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</si>
  <si>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</si>
  <si>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</si>
  <si>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</si>
  <si>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</si>
  <si>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</si>
  <si>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</si>
  <si>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</si>
  <si>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</si>
  <si>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</si>
  <si>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</si>
  <si>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</si>
  <si>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</si>
  <si>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</si>
  <si>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</si>
  <si>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</si>
  <si>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</si>
  <si>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</si>
  <si>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</si>
  <si>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</si>
  <si>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</si>
  <si>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</si>
  <si>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</si>
  <si>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</si>
  <si>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</si>
  <si>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</si>
  <si>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</si>
  <si>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</si>
  <si>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</si>
  <si>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</si>
  <si>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</si>
  <si>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</si>
  <si>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</si>
  <si>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</si>
  <si>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</si>
  <si>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</si>
  <si>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</si>
  <si>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</si>
  <si>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</si>
  <si>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</si>
  <si>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</si>
  <si>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</si>
  <si>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</si>
  <si>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</si>
  <si>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</si>
  <si>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</si>
  <si>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</si>
  <si>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</si>
  <si>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</si>
  <si>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</si>
  <si>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</si>
  <si>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</si>
  <si>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</si>
  <si>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</si>
  <si>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</si>
  <si>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</si>
  <si>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</si>
  <si>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</si>
  <si>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</si>
  <si>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</si>
  <si>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</si>
  <si>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</si>
  <si>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</si>
  <si>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</si>
  <si>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</si>
  <si>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</si>
  <si>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</si>
  <si>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</si>
  <si>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</si>
  <si>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</si>
  <si>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</si>
  <si>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</si>
  <si>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</si>
  <si>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</si>
  <si>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</si>
  <si>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</si>
  <si>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</si>
  <si>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</si>
  <si>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POINTS</t>
  </si>
  <si>
    <t>QT FLS</t>
  </si>
  <si>
    <t>Shaquille</t>
  </si>
  <si>
    <t>Hopkins</t>
  </si>
  <si>
    <t>Claude</t>
  </si>
  <si>
    <t>Mckesey</t>
  </si>
  <si>
    <t>Dang</t>
  </si>
  <si>
    <t>Mayer</t>
  </si>
  <si>
    <t>Majak</t>
  </si>
  <si>
    <t>Max</t>
  </si>
  <si>
    <t>Topham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</si>
</sst>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opLeftCell="A22" workbookViewId="0">
      <selection activeCell="H29" sqref="H2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Stan</v>
      </c>
    </row>
    <row r="2" spans="2:13" x14ac:dyDescent="0.2">
      <c r="B2" t="str">
        <f>G1</f>
        <v>Team Stan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126</v>
      </c>
      <c r="C3" s="3" t="s">
        <v>13</v>
      </c>
      <c r="D3" s="4">
        <f>I37</f>
        <v>115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G1'!H5*2+'Stats G1'!N5*3+'Stats G1'!T5</f>
        <v>13</v>
      </c>
      <c r="J3" t="str">
        <f>SUM('Stats G1'!H5+'Stats G1'!N5)&amp;"-"&amp;SUM('Stats G1'!E5+'Stats G1'!K5)</f>
        <v>5-13</v>
      </c>
      <c r="K3" t="str">
        <f>SUM('Stats G1'!N5)&amp;"-"&amp;SUM('Stats G1'!K5)</f>
        <v>1-6</v>
      </c>
      <c r="L3" t="str">
        <f>SUM('Stats G1'!T5)&amp;"-"&amp;SUM('Stats G1'!Q5)</f>
        <v>2-6</v>
      </c>
      <c r="M3">
        <f>'Stats G1'!W5</f>
        <v>0</v>
      </c>
    </row>
    <row r="4" spans="2:13" x14ac:dyDescent="0.2">
      <c r="F4" t="str">
        <f>'Stats G1'!A6</f>
        <v>Ronald</v>
      </c>
      <c r="G4" t="str">
        <f>'Stats G1'!B6</f>
        <v>Leach</v>
      </c>
      <c r="H4">
        <f>'Stats G1'!C6</f>
        <v>32</v>
      </c>
      <c r="I4">
        <f>'Stats G1'!H6*2+'Stats G1'!N6*3+'Stats G1'!T6</f>
        <v>6</v>
      </c>
      <c r="J4" t="str">
        <f>SUM('Stats G1'!H6+'Stats G1'!N6)&amp;"-"&amp;SUM('Stats G1'!E6+'Stats G1'!K6)</f>
        <v>3-8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Brendan</v>
      </c>
      <c r="G5" t="str">
        <f>'Stats G1'!B7</f>
        <v>Bailey</v>
      </c>
      <c r="H5">
        <f>'Stats G1'!C7</f>
        <v>1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1</v>
      </c>
    </row>
    <row r="6" spans="2:13" x14ac:dyDescent="0.2">
      <c r="F6" t="str">
        <f>'Stats G1'!A8</f>
        <v>Zahir</v>
      </c>
      <c r="G6" t="str">
        <f>'Stats G1'!B8</f>
        <v>Porter</v>
      </c>
      <c r="H6">
        <f>'Stats G1'!C8</f>
        <v>5</v>
      </c>
      <c r="I6">
        <f>'Stats G1'!H8*2+'Stats G1'!N8*3+'Stats G1'!T8</f>
        <v>44</v>
      </c>
      <c r="J6" t="str">
        <f>SUM('Stats G1'!H8+'Stats G1'!N8)&amp;"-"&amp;SUM('Stats G1'!E8+'Stats G1'!K8)</f>
        <v>18-30</v>
      </c>
      <c r="K6" t="str">
        <f>SUM('Stats G1'!N8)&amp;"-"&amp;SUM('Stats G1'!K8)</f>
        <v>4-8</v>
      </c>
      <c r="L6" t="str">
        <f>SUM('Stats G1'!T8)&amp;"-"&amp;SUM('Stats G1'!Q8)</f>
        <v>4-7</v>
      </c>
      <c r="M6">
        <f>'Stats G1'!W8</f>
        <v>0</v>
      </c>
    </row>
    <row r="7" spans="2:13" x14ac:dyDescent="0.2">
      <c r="F7" t="str">
        <f>'Stats G1'!A9</f>
        <v>Eli</v>
      </c>
      <c r="G7" t="str">
        <f>'Stats G1'!B9</f>
        <v>Davy</v>
      </c>
      <c r="H7">
        <f>'Stats G1'!C9</f>
        <v>2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Anthony</v>
      </c>
      <c r="G8" t="str">
        <f>'Stats G1'!B10</f>
        <v>Cox</v>
      </c>
      <c r="H8">
        <f>'Stats G1'!C10</f>
        <v>11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Xavier</v>
      </c>
      <c r="G9" t="str">
        <f>'Stats G1'!B11</f>
        <v>Sneed</v>
      </c>
      <c r="H9">
        <f>'Stats G1'!C11</f>
        <v>20</v>
      </c>
      <c r="I9">
        <f>'Stats G1'!H11*2+'Stats G1'!N11*3+'Stats G1'!T11</f>
        <v>3</v>
      </c>
      <c r="J9" t="str">
        <f>SUM('Stats G1'!H11+'Stats G1'!N11)&amp;"-"&amp;SUM('Stats G1'!E11+'Stats G1'!K11)</f>
        <v>1-2</v>
      </c>
      <c r="K9" t="str">
        <f>SUM('Stats G1'!N11)&amp;"-"&amp;SUM('Stats G1'!K11)</f>
        <v>1-2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Rayjon</v>
      </c>
      <c r="G10" t="str">
        <f>'Stats G1'!B12</f>
        <v>Tucker</v>
      </c>
      <c r="H10">
        <f>'Stats G1'!C12</f>
        <v>59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Branden</v>
      </c>
      <c r="G11" t="str">
        <f>'Stats G1'!B13</f>
        <v>Carlon</v>
      </c>
      <c r="H11">
        <f>'Stats G1'!C13</f>
        <v>35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Quae</v>
      </c>
      <c r="G12" t="str">
        <f>'Stats G1'!B14</f>
        <v>Furlow</v>
      </c>
      <c r="H12">
        <f>'Stats G1'!C14</f>
        <v>3</v>
      </c>
      <c r="I12">
        <f>'Stats G1'!H14*2+'Stats G1'!N14*3+'Stats G1'!T14</f>
        <v>9</v>
      </c>
      <c r="J12" t="str">
        <f>SUM('Stats G1'!H14+'Stats G1'!N14)&amp;"-"&amp;SUM('Stats G1'!E14+'Stats G1'!K14)</f>
        <v>3-14</v>
      </c>
      <c r="K12" t="str">
        <f>SUM('Stats G1'!N14)&amp;"-"&amp;SUM('Stats G1'!K14)</f>
        <v>1-5</v>
      </c>
      <c r="L12" t="str">
        <f>SUM('Stats G1'!T14)&amp;"-"&amp;SUM('Stats G1'!Q14)</f>
        <v>2-4</v>
      </c>
      <c r="M12">
        <f>'Stats G1'!W14</f>
        <v>3</v>
      </c>
    </row>
    <row r="13" spans="2:13" x14ac:dyDescent="0.2">
      <c r="F13" t="str">
        <f>'Stats G1'!A15</f>
        <v>Ibe</v>
      </c>
      <c r="G13" t="str">
        <f>'Stats G1'!B15</f>
        <v>Gerlach</v>
      </c>
      <c r="H13">
        <f>'Stats G1'!C15</f>
        <v>20</v>
      </c>
      <c r="I13">
        <f>'Stats G1'!H15*2+'Stats G1'!N15*3+'Stats G1'!T15</f>
        <v>11</v>
      </c>
      <c r="J13" t="str">
        <f>SUM('Stats G1'!H15+'Stats G1'!N15)&amp;"-"&amp;SUM('Stats G1'!E15+'Stats G1'!K15)</f>
        <v>4-7</v>
      </c>
      <c r="K13" t="str">
        <f>SUM('Stats G1'!N15)&amp;"-"&amp;SUM('Stats G1'!K15)</f>
        <v>3-4</v>
      </c>
      <c r="L13" t="str">
        <f>SUM('Stats G1'!T15)&amp;"-"&amp;SUM('Stats G1'!Q15)</f>
        <v>0-0</v>
      </c>
      <c r="M13">
        <f>'Stats G1'!W15</f>
        <v>5</v>
      </c>
    </row>
    <row r="14" spans="2:13" x14ac:dyDescent="0.2">
      <c r="F14" t="str">
        <f>'Stats G1'!A16</f>
        <v>Justin</v>
      </c>
      <c r="G14" t="str">
        <f>'Stats G1'!B16</f>
        <v>Harmon</v>
      </c>
      <c r="H14">
        <f>'Stats G1'!C16</f>
        <v>1</v>
      </c>
      <c r="I14">
        <f>'Stats G1'!H16*2+'Stats G1'!N16*3+'Stats G1'!T16</f>
        <v>36</v>
      </c>
      <c r="J14" t="str">
        <f>SUM('Stats G1'!H16+'Stats G1'!N16)&amp;"-"&amp;SUM('Stats G1'!E16+'Stats G1'!K16)</f>
        <v>12-20</v>
      </c>
      <c r="K14" t="str">
        <f>SUM('Stats G1'!N16)&amp;"-"&amp;SUM('Stats G1'!K16)</f>
        <v>2-9</v>
      </c>
      <c r="L14" t="str">
        <f>SUM('Stats G1'!T16)&amp;"-"&amp;SUM('Stats G1'!Q16)</f>
        <v>10-12</v>
      </c>
      <c r="M14">
        <f>'Stats G1'!W16</f>
        <v>3</v>
      </c>
    </row>
    <row r="15" spans="2:13" x14ac:dyDescent="0.2">
      <c r="F15" t="str">
        <f>'Stats G1'!A17</f>
        <v>KJ</v>
      </c>
      <c r="G15" t="str">
        <f>'Stats G1'!B17</f>
        <v>Cunningham</v>
      </c>
      <c r="H15">
        <f>'Stats G1'!C17</f>
        <v>0</v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Shaquille</v>
      </c>
      <c r="G16" t="str">
        <f>'Stats G1'!B18</f>
        <v>Hopkins</v>
      </c>
      <c r="H16">
        <f>'Stats G1'!C18</f>
        <v>15</v>
      </c>
      <c r="I16">
        <f>'Stats G1'!H18*2+'Stats G1'!N18*3+'Stats G1'!T18</f>
        <v>4</v>
      </c>
      <c r="J16" t="str">
        <f>SUM('Stats G1'!H18+'Stats G1'!N18)&amp;"-"&amp;SUM('Stats G1'!E18+'Stats G1'!K18)</f>
        <v>2-2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126</v>
      </c>
      <c r="J18" t="str">
        <f>SUM('Stats G1'!H20+'Stats G1'!N20)&amp;"-"&amp;SUM('Stats G1'!E20+'Stats G1'!K20)</f>
        <v>48-96</v>
      </c>
      <c r="K18" t="str">
        <f>SUM('Stats G1'!N20)&amp;"-"&amp;SUM('Stats G1'!K20)</f>
        <v>12-34</v>
      </c>
      <c r="L18" t="str">
        <f>SUM('Stats G1'!T20)&amp;"-"&amp;SUM('Stats G1'!Q20)</f>
        <v>18-29</v>
      </c>
      <c r="M18">
        <f>SUM(M3:M17)</f>
        <v>12</v>
      </c>
    </row>
    <row r="20" spans="6:13" x14ac:dyDescent="0.2">
      <c r="F20" t="s">
        <v>11</v>
      </c>
      <c r="G20" t="str">
        <f>'Stats G1'!B21</f>
        <v>Team Humpherys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John</v>
      </c>
      <c r="G22" t="str">
        <f>'Stats G1'!B23</f>
        <v>Knight III</v>
      </c>
      <c r="H22">
        <f>'Stats G1'!C23</f>
        <v>23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Isaac</v>
      </c>
      <c r="G23" t="str">
        <f>'Stats G1'!B24</f>
        <v>Johnson</v>
      </c>
      <c r="H23">
        <f>'Stats G1'!C24</f>
        <v>20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Seena</v>
      </c>
      <c r="G24" t="str">
        <f>'Stats G1'!B25</f>
        <v>Namdar</v>
      </c>
      <c r="H24">
        <f>'Stats G1'!C25</f>
        <v>13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Hunter</v>
      </c>
      <c r="G25" t="str">
        <f>'Stats G1'!B26</f>
        <v>Humpherys</v>
      </c>
      <c r="H25">
        <f>'Stats G1'!C26</f>
        <v>11</v>
      </c>
      <c r="I25">
        <f>'Stats G1'!H26*2+'Stats G1'!N26*3+'Stats G1'!T26</f>
        <v>13</v>
      </c>
      <c r="J25" t="str">
        <f>SUM('Stats G1'!H26+'Stats G1'!N26)&amp;"-"&amp;SUM('Stats G1'!E26+'Stats G1'!K26)</f>
        <v>6-14</v>
      </c>
      <c r="K25" t="str">
        <f>SUM('Stats G1'!N26)&amp;"-"&amp;SUM('Stats G1'!K26)</f>
        <v>0-4</v>
      </c>
      <c r="L25" t="str">
        <f>SUM('Stats G1'!T26)&amp;"-"&amp;SUM('Stats G1'!Q26)</f>
        <v>1-4</v>
      </c>
      <c r="M25">
        <f>'Stats G1'!W26</f>
        <v>2</v>
      </c>
    </row>
    <row r="26" spans="6:13" x14ac:dyDescent="0.2">
      <c r="F26" t="str">
        <f>'Stats G1'!A27</f>
        <v>Mark</v>
      </c>
      <c r="G26" t="str">
        <f>'Stats G1'!B27</f>
        <v>Burton</v>
      </c>
      <c r="H26">
        <f>'Stats G1'!C27</f>
        <v>3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Claude</v>
      </c>
      <c r="G27" t="str">
        <f>'Stats G1'!B28</f>
        <v>Mckesey</v>
      </c>
      <c r="H27">
        <f>'Stats G1'!C28</f>
        <v>55</v>
      </c>
      <c r="I27">
        <f>'Stats G1'!H28*2+'Stats G1'!N28*3+'Stats G1'!T28</f>
        <v>16</v>
      </c>
      <c r="J27" t="str">
        <f>SUM('Stats G1'!H28+'Stats G1'!N28)&amp;"-"&amp;SUM('Stats G1'!E28+'Stats G1'!K28)</f>
        <v>8-12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5</v>
      </c>
    </row>
    <row r="28" spans="6:13" x14ac:dyDescent="0.2">
      <c r="F28" t="str">
        <f>'Stats G1'!A29</f>
        <v>Marco</v>
      </c>
      <c r="G28" t="str">
        <f>'Stats G1'!B29</f>
        <v>Anthony</v>
      </c>
      <c r="H28">
        <f>'Stats G1'!C29</f>
        <v>99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Dee</v>
      </c>
      <c r="G29" t="str">
        <f>'Stats G1'!B30</f>
        <v>Barnes</v>
      </c>
      <c r="H29">
        <f>'Stats G1'!C30</f>
        <v>22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Zack</v>
      </c>
      <c r="G30" t="str">
        <f>'Stats G1'!B31</f>
        <v>Visentin</v>
      </c>
      <c r="H30">
        <f>'Stats G1'!C31</f>
        <v>32</v>
      </c>
      <c r="I30">
        <f>'Stats G1'!H31*2+'Stats G1'!N31*3+'Stats G1'!T31</f>
        <v>4</v>
      </c>
      <c r="J30" t="str">
        <f>SUM('Stats G1'!H31+'Stats G1'!N31)&amp;"-"&amp;SUM('Stats G1'!E31+'Stats G1'!K31)</f>
        <v>2-3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3</v>
      </c>
    </row>
    <row r="31" spans="6:13" x14ac:dyDescent="0.2">
      <c r="F31" t="str">
        <f>'Stats G1'!A32</f>
        <v>Demarcus</v>
      </c>
      <c r="G31" t="str">
        <f>'Stats G1'!B32</f>
        <v>Harrison</v>
      </c>
      <c r="H31">
        <f>'Stats G1'!C32</f>
        <v>31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Trey</v>
      </c>
      <c r="G32" t="str">
        <f>'Stats G1'!B33</f>
        <v>Anderson</v>
      </c>
      <c r="H32">
        <f>'Stats G1'!C33</f>
        <v>5</v>
      </c>
      <c r="I32">
        <f>'Stats G1'!H33*2+'Stats G1'!N33*3+'Stats G1'!T33</f>
        <v>23</v>
      </c>
      <c r="J32" t="str">
        <f>SUM('Stats G1'!H33+'Stats G1'!N33)&amp;"-"&amp;SUM('Stats G1'!E33+'Stats G1'!K33)</f>
        <v>10-16</v>
      </c>
      <c r="K32" t="str">
        <f>SUM('Stats G1'!N33)&amp;"-"&amp;SUM('Stats G1'!K33)</f>
        <v>1-6</v>
      </c>
      <c r="L32" t="str">
        <f>SUM('Stats G1'!T33)&amp;"-"&amp;SUM('Stats G1'!Q33)</f>
        <v>2-2</v>
      </c>
      <c r="M32">
        <f>'Stats G1'!W33</f>
        <v>3</v>
      </c>
    </row>
    <row r="33" spans="6:13" x14ac:dyDescent="0.2">
      <c r="F33" t="str">
        <f>'Stats G1'!A34</f>
        <v>Dang</v>
      </c>
      <c r="G33" t="str">
        <f>'Stats G1'!B34</f>
        <v>Mayer</v>
      </c>
      <c r="H33">
        <f>'Stats G1'!C34</f>
        <v>9</v>
      </c>
      <c r="I33">
        <f>'Stats G1'!H34*2+'Stats G1'!N34*3+'Stats G1'!T34</f>
        <v>10</v>
      </c>
      <c r="J33" t="str">
        <f>SUM('Stats G1'!H34+'Stats G1'!N34)&amp;"-"&amp;SUM('Stats G1'!E34+'Stats G1'!K34)</f>
        <v>4-9</v>
      </c>
      <c r="K33" t="str">
        <f>SUM('Stats G1'!N34)&amp;"-"&amp;SUM('Stats G1'!K34)</f>
        <v>0-4</v>
      </c>
      <c r="L33" t="str">
        <f>SUM('Stats G1'!T34)&amp;"-"&amp;SUM('Stats G1'!Q34)</f>
        <v>2-2</v>
      </c>
      <c r="M33">
        <f>'Stats G1'!W34</f>
        <v>1</v>
      </c>
    </row>
    <row r="34" spans="6:13" x14ac:dyDescent="0.2">
      <c r="F34" t="str">
        <f>'Stats G1'!A35</f>
        <v>Zach</v>
      </c>
      <c r="G34" t="str">
        <f>'Stats G1'!B35</f>
        <v>Mogbo</v>
      </c>
      <c r="H34">
        <f>'Stats G1'!C35</f>
        <v>4</v>
      </c>
      <c r="I34">
        <f>'Stats G1'!H35*2+'Stats G1'!N35*3+'Stats G1'!T35</f>
        <v>28</v>
      </c>
      <c r="J34" t="str">
        <f>SUM('Stats G1'!H35+'Stats G1'!N35)&amp;"-"&amp;SUM('Stats G1'!E35+'Stats G1'!K35)</f>
        <v>11-21</v>
      </c>
      <c r="K34" t="str">
        <f>SUM('Stats G1'!N35)&amp;"-"&amp;SUM('Stats G1'!K35)</f>
        <v>1-5</v>
      </c>
      <c r="L34" t="str">
        <f>SUM('Stats G1'!T35)&amp;"-"&amp;SUM('Stats G1'!Q35)</f>
        <v>5-9</v>
      </c>
      <c r="M34">
        <f>'Stats G1'!W35</f>
        <v>2</v>
      </c>
    </row>
    <row r="35" spans="6:13" x14ac:dyDescent="0.2">
      <c r="F35" t="str">
        <f>'Stats G1'!A36</f>
        <v>Majak</v>
      </c>
      <c r="G35" t="str">
        <f>'Stats G1'!B36</f>
        <v>Kuath</v>
      </c>
      <c r="H35">
        <f>'Stats G1'!C36</f>
        <v>1</v>
      </c>
      <c r="I35">
        <f>'Stats G1'!H36*2+'Stats G1'!N36*3+'Stats G1'!T36</f>
        <v>10</v>
      </c>
      <c r="J35" t="str">
        <f>SUM('Stats G1'!H36+'Stats G1'!N36)&amp;"-"&amp;SUM('Stats G1'!E36+'Stats G1'!K36)</f>
        <v>4-4</v>
      </c>
      <c r="K35" t="str">
        <f>SUM('Stats G1'!N36)&amp;"-"&amp;SUM('Stats G1'!K36)</f>
        <v>2-2</v>
      </c>
      <c r="L35" t="str">
        <f>SUM('Stats G1'!T36)&amp;"-"&amp;SUM('Stats G1'!Q36)</f>
        <v>0-0</v>
      </c>
      <c r="M35">
        <f>'Stats G1'!W36</f>
        <v>1</v>
      </c>
    </row>
    <row r="36" spans="6:13" x14ac:dyDescent="0.2">
      <c r="F36" t="str">
        <f>'Stats G1'!A37</f>
        <v>Max</v>
      </c>
      <c r="G36" t="str">
        <f>'Stats G1'!B37</f>
        <v>Topham</v>
      </c>
      <c r="H36">
        <f>'Stats G1'!C37</f>
        <v>25</v>
      </c>
      <c r="I36">
        <f>'Stats G1'!H37*2+'Stats G1'!N37*3+'Stats G1'!T37</f>
        <v>11</v>
      </c>
      <c r="J36" t="str">
        <f>SUM('Stats G1'!H37+'Stats G1'!N37)&amp;"-"&amp;SUM('Stats G1'!E37+'Stats G1'!K37)</f>
        <v>5-6</v>
      </c>
      <c r="K36" t="str">
        <f>SUM('Stats G1'!N37)&amp;"-"&amp;SUM('Stats G1'!K37)</f>
        <v>1-1</v>
      </c>
      <c r="L36" t="str">
        <f>SUM('Stats G1'!T37)&amp;"-"&amp;SUM('Stats G1'!Q37)</f>
        <v>0-0</v>
      </c>
      <c r="M36">
        <f>'Stats G1'!W37</f>
        <v>3</v>
      </c>
    </row>
    <row r="37" spans="6:13" x14ac:dyDescent="0.2">
      <c r="H37" s="2" t="s">
        <v>12</v>
      </c>
      <c r="I37">
        <f>SUM(I22:I36)</f>
        <v>115</v>
      </c>
      <c r="J37" t="str">
        <f>SUM('Stats G1'!H38+'Stats G1'!N38)&amp;"-"&amp;SUM('Stats G1'!E38+'Stats G1'!K38)</f>
        <v>50-85</v>
      </c>
      <c r="K37" t="str">
        <f>SUM('Stats G1'!N38)&amp;"-"&amp;SUM('Stats G1'!K38)</f>
        <v>5-22</v>
      </c>
      <c r="L37" t="str">
        <f>SUM('Stats G1'!T38)&amp;"-"&amp;SUM('Stats G1'!Q38)</f>
        <v>10-17</v>
      </c>
      <c r="M37">
        <f>SUM(M22:M36)</f>
        <v>20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abSelected="1" topLeftCell="A13" zoomScale="90" zoomScaleNormal="90" workbookViewId="0">
      <selection activeCell="B34" sqref="B3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172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</row>
    <row r="5" spans="1:26" s="6" customFormat="1" x14ac:dyDescent="0.2">
      <c r="A5" s="5" t="str">
        <f>_xlfn.IFNA(VLOOKUP($B$3&amp;ROWS($A$5:A5),Rosters!$B$2:$C$163,2,0),"?")</f>
        <v>Tone</v>
      </c>
      <c r="B5" s="5" t="str">
        <f>_xlfn.IFNA(VLOOKUP($B$3&amp;ROWS($B$5:B5),Rosters!$B$2:$D$163,3,0),"?")</f>
        <v>Anderson</v>
      </c>
      <c r="C5" s="5">
        <f>_xlfn.IFNA(VLOOKUP($B$3&amp;ROWS($C$5:C5),Rosters!$B$2:$E$163,4,0),"")</f>
        <v>0</v>
      </c>
      <c r="D5" s="5"/>
      <c r="E5" s="5">
        <v>7</v>
      </c>
      <c r="F5" s="5"/>
      <c r="G5" s="5"/>
      <c r="H5" s="5">
        <v>4</v>
      </c>
      <c r="I5" s="5"/>
      <c r="J5" s="5"/>
      <c r="K5" s="5">
        <v>6</v>
      </c>
      <c r="L5" s="5"/>
      <c r="M5" s="5"/>
      <c r="N5" s="5">
        <v>1</v>
      </c>
      <c r="O5" s="5"/>
      <c r="P5" s="5"/>
      <c r="Q5" s="5">
        <v>6</v>
      </c>
      <c r="R5" s="5"/>
      <c r="S5" s="5"/>
      <c r="T5" s="5">
        <v>2</v>
      </c>
      <c r="U5" s="5"/>
      <c r="V5" s="5"/>
      <c r="W5" s="5">
        <v>0</v>
      </c>
      <c r="X5" s="5"/>
    </row>
    <row r="6" spans="1:26" s="6" customFormat="1" x14ac:dyDescent="0.2">
      <c r="A6" s="6" t="str">
        <f>_xlfn.IFNA(VLOOKUP($B$3&amp;ROWS($A$5:A6),Rosters!$B$2:$C$163,2,0),"?")</f>
        <v>Ronald</v>
      </c>
      <c r="B6" s="6" t="str">
        <f>_xlfn.IFNA(VLOOKUP($B$3&amp;ROWS($B$5:B6),Rosters!$B$2:$D$163,3,0),"?")</f>
        <v>Leach</v>
      </c>
      <c r="C6" s="6">
        <f>_xlfn.IFNA(VLOOKUP($B$3&amp;ROWS($C$5:C6),Rosters!$B$2:$E$163,4,0),"")</f>
        <v>32</v>
      </c>
      <c r="E6" s="6">
        <v>8</v>
      </c>
      <c r="H6" s="6">
        <v>3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6" s="6" customFormat="1" x14ac:dyDescent="0.2">
      <c r="A7" s="5" t="str">
        <f>_xlfn.IFNA(VLOOKUP($B$3&amp;ROWS($A$5:A7),Rosters!$B$2:$C$163,2,0),"?")</f>
        <v>Brendan</v>
      </c>
      <c r="B7" s="5" t="str">
        <f>_xlfn.IFNA(VLOOKUP($B$3&amp;ROWS($B$5:B7),Rosters!$B$2:$D$163,3,0),"?")</f>
        <v>Bailey</v>
      </c>
      <c r="C7" s="5">
        <f>_xlfn.IFNA(VLOOKUP($B$3&amp;ROWS($C$5:C7),Rosters!$B$2:$E$163,4,0),"")</f>
        <v>1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1</v>
      </c>
      <c r="X7" s="5"/>
      <c r="Y7" s="6" t="s">
        <v>223</v>
      </c>
    </row>
    <row r="8" spans="1:26" s="6" customFormat="1" x14ac:dyDescent="0.2">
      <c r="A8" s="6" t="str">
        <f>_xlfn.IFNA(VLOOKUP($B$3&amp;ROWS($A$5:A8),Rosters!$B$2:$C$163,2,0),"?")</f>
        <v>Zahir</v>
      </c>
      <c r="B8" s="6" t="str">
        <f>_xlfn.IFNA(VLOOKUP($B$3&amp;ROWS($B$5:B8),Rosters!$B$2:$D$163,3,0),"?")</f>
        <v>Porter</v>
      </c>
      <c r="C8" s="6">
        <f>_xlfn.IFNA(VLOOKUP($B$3&amp;ROWS($C$5:C8),Rosters!$B$2:$E$163,4,0),"")</f>
        <v>5</v>
      </c>
      <c r="E8" s="6">
        <v>22</v>
      </c>
      <c r="H8" s="6">
        <v>14</v>
      </c>
      <c r="K8" s="6">
        <v>8</v>
      </c>
      <c r="N8" s="6">
        <v>4</v>
      </c>
      <c r="Q8" s="6">
        <v>7</v>
      </c>
      <c r="T8" s="6">
        <v>4</v>
      </c>
      <c r="W8" s="6">
        <v>0</v>
      </c>
      <c r="Y8" s="6">
        <f>'G1 Box Score'!I18</f>
        <v>126</v>
      </c>
    </row>
    <row r="9" spans="1:26" s="6" customFormat="1" x14ac:dyDescent="0.2">
      <c r="A9" s="5" t="str">
        <f>_xlfn.IFNA(VLOOKUP($B$3&amp;ROWS($A$5:A9),Rosters!$B$2:$C$163,2,0),"?")</f>
        <v>Eli</v>
      </c>
      <c r="B9" s="5" t="str">
        <f>_xlfn.IFNA(VLOOKUP($B$3&amp;ROWS($B$5:B9),Rosters!$B$2:$D$163,3,0),"?")</f>
        <v>Davy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_xlfn.IFNA(VLOOKUP($B$3&amp;ROWS($A$5:A10),Rosters!$B$2:$C$163,2,0),"?")</f>
        <v>Anthony</v>
      </c>
      <c r="B10" s="6" t="str">
        <f>_xlfn.IFNA(VLOOKUP($B$3&amp;ROWS($B$5:B10),Rosters!$B$2:$D$163,3,0),"?")</f>
        <v>Cox</v>
      </c>
      <c r="C10" s="6">
        <f>_xlfn.IFNA(VLOOKUP($B$3&amp;ROWS($C$5:C10),Rosters!$B$2:$E$163,4,0),"")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Z10" s="6" t="s">
        <v>224</v>
      </c>
    </row>
    <row r="11" spans="1:26" s="6" customFormat="1" x14ac:dyDescent="0.2">
      <c r="A11" s="5" t="str">
        <f>_xlfn.IFNA(VLOOKUP($B$3&amp;ROWS($A$5:A11),Rosters!$B$2:$C$163,2,0),"?")</f>
        <v>Xavier</v>
      </c>
      <c r="B11" s="5" t="str">
        <f>_xlfn.IFNA(VLOOKUP($B$3&amp;ROWS($B$5:B11),Rosters!$B$2:$D$163,3,0),"?")</f>
        <v>Sneed</v>
      </c>
      <c r="C11" s="5">
        <f>_xlfn.IFNA(VLOOKUP($B$3&amp;ROWS($C$5:C11),Rosters!$B$2:$E$163,4,0),"")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_xlfn.IFNA(VLOOKUP($B$3&amp;ROWS($A$5:A12),Rosters!$B$2:$C$163,2,0),"?")</f>
        <v>Rayjon</v>
      </c>
      <c r="B12" s="6" t="str">
        <f>_xlfn.IFNA(VLOOKUP($B$3&amp;ROWS($B$5:B12),Rosters!$B$2:$D$163,3,0),"?")</f>
        <v>Tucker</v>
      </c>
      <c r="C12" s="6">
        <f>_xlfn.IFNA(VLOOKUP($B$3&amp;ROWS($C$5:C12),Rosters!$B$2:$E$163,4,0),"")</f>
        <v>59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Z12" s="6">
        <v>3</v>
      </c>
    </row>
    <row r="13" spans="1:26" s="6" customFormat="1" x14ac:dyDescent="0.2">
      <c r="A13" s="5" t="str">
        <f>_xlfn.IFNA(VLOOKUP($B$3&amp;ROWS($A$5:A13),Rosters!$B$2:$C$163,2,0),"?")</f>
        <v>Branden</v>
      </c>
      <c r="B13" s="5" t="str">
        <f>_xlfn.IFNA(VLOOKUP($B$3&amp;ROWS($B$5:B13),Rosters!$B$2:$D$163,3,0),"?")</f>
        <v>Carlon</v>
      </c>
      <c r="C13" s="5">
        <f>_xlfn.IFNA(VLOOKUP($B$3&amp;ROWS($C$5:C13),Rosters!$B$2:$E$163,4,0),"")</f>
        <v>35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_xlfn.IFNA(VLOOKUP($B$3&amp;ROWS($A$5:A14),Rosters!$B$2:$C$163,2,0),"?")</f>
        <v>Quae</v>
      </c>
      <c r="B14" s="6" t="str">
        <f>_xlfn.IFNA(VLOOKUP($B$3&amp;ROWS($B$5:B14),Rosters!$B$2:$D$163,3,0),"?")</f>
        <v>Furlow</v>
      </c>
      <c r="C14" s="6">
        <f>_xlfn.IFNA(VLOOKUP($B$3&amp;ROWS($C$5:C14),Rosters!$B$2:$E$163,4,0),"")</f>
        <v>3</v>
      </c>
      <c r="E14" s="6">
        <v>9</v>
      </c>
      <c r="H14" s="6">
        <v>2</v>
      </c>
      <c r="K14" s="6">
        <v>5</v>
      </c>
      <c r="N14" s="6">
        <v>1</v>
      </c>
      <c r="Q14" s="6">
        <v>4</v>
      </c>
      <c r="T14" s="6">
        <v>2</v>
      </c>
      <c r="W14" s="6">
        <v>3</v>
      </c>
    </row>
    <row r="15" spans="1:26" s="6" customFormat="1" x14ac:dyDescent="0.2">
      <c r="A15" s="5" t="str">
        <f>_xlfn.IFNA(VLOOKUP($B$3&amp;ROWS($A$5:A15),Rosters!$B$2:$C$163,2,0),"?")</f>
        <v>Ibe</v>
      </c>
      <c r="B15" s="5" t="str">
        <f>_xlfn.IFNA(VLOOKUP($B$3&amp;ROWS($B$5:B15),Rosters!$B$2:$D$163,3,0),"?")</f>
        <v>Gerlach</v>
      </c>
      <c r="C15" s="5">
        <f>_xlfn.IFNA(VLOOKUP($B$3&amp;ROWS($C$5:C15),Rosters!$B$2:$E$163,4,0),"")</f>
        <v>20</v>
      </c>
      <c r="D15" s="5"/>
      <c r="E15" s="5">
        <v>3</v>
      </c>
      <c r="F15" s="5"/>
      <c r="G15" s="5"/>
      <c r="H15" s="5">
        <v>1</v>
      </c>
      <c r="I15" s="5"/>
      <c r="J15" s="5"/>
      <c r="K15" s="5">
        <v>4</v>
      </c>
      <c r="L15" s="5"/>
      <c r="M15" s="5"/>
      <c r="N15" s="5">
        <v>3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5</v>
      </c>
      <c r="X15" s="5"/>
    </row>
    <row r="16" spans="1:26" s="6" customFormat="1" x14ac:dyDescent="0.2">
      <c r="A16" s="6" t="str">
        <f>_xlfn.IFNA(VLOOKUP($B$3&amp;ROWS($A$5:A16),Rosters!$B$2:$C$163,2,0),"?")</f>
        <v>Justin</v>
      </c>
      <c r="B16" s="6" t="str">
        <f>_xlfn.IFNA(VLOOKUP($B$3&amp;ROWS($B$5:B16),Rosters!$B$2:$D$163,3,0),"?")</f>
        <v>Harmon</v>
      </c>
      <c r="C16" s="6">
        <v>1</v>
      </c>
      <c r="E16" s="6">
        <v>11</v>
      </c>
      <c r="H16" s="6">
        <v>10</v>
      </c>
      <c r="K16" s="6">
        <v>9</v>
      </c>
      <c r="N16" s="6">
        <v>2</v>
      </c>
      <c r="Q16" s="6">
        <v>12</v>
      </c>
      <c r="T16" s="6">
        <v>10</v>
      </c>
      <c r="W16" s="6">
        <v>3</v>
      </c>
    </row>
    <row r="17" spans="1:26" s="6" customFormat="1" x14ac:dyDescent="0.2">
      <c r="A17" s="5" t="str">
        <f>_xlfn.IFNA(VLOOKUP($B$3&amp;ROWS($A$5:A17),Rosters!$B$2:$C$163,2,0),"?")</f>
        <v>KJ</v>
      </c>
      <c r="B17" s="5" t="str">
        <f>_xlfn.IFNA(VLOOKUP($B$3&amp;ROWS($B$5:B17),Rosters!$B$2:$D$163,3,0),"?")</f>
        <v>Cunningham</v>
      </c>
      <c r="C17" s="5">
        <f>_xlfn.IFNA(VLOOKUP($B$3&amp;ROWS($C$5:C17),Rosters!$B$2:$E$163,4,0),"")</f>
        <v>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A18" s="6" t="s">
        <v>225</v>
      </c>
      <c r="B18" s="6" t="s">
        <v>226</v>
      </c>
      <c r="C18" s="6">
        <v>15</v>
      </c>
      <c r="E18" s="6">
        <v>2</v>
      </c>
      <c r="H18" s="6">
        <v>2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62</v>
      </c>
      <c r="H20" s="6">
        <f>SUM(H5:H19)</f>
        <v>36</v>
      </c>
      <c r="K20" s="6">
        <f>SUM(K5:K19)</f>
        <v>34</v>
      </c>
      <c r="N20" s="6">
        <f>SUM(N5:N19)</f>
        <v>12</v>
      </c>
      <c r="Q20" s="6">
        <f>SUM(Q5:Q19)</f>
        <v>29</v>
      </c>
      <c r="T20" s="6">
        <f>SUM(T5:T19)</f>
        <v>18</v>
      </c>
      <c r="W20" s="6">
        <f>SUM(W5:W19)</f>
        <v>12</v>
      </c>
    </row>
    <row r="21" spans="1:26" x14ac:dyDescent="0.2">
      <c r="A21" s="2" t="s">
        <v>16</v>
      </c>
      <c r="B21" s="1" t="s">
        <v>199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6" s="6" customFormat="1" x14ac:dyDescent="0.2">
      <c r="A23" s="5" t="str">
        <f>_xlfn.IFNA(VLOOKUP($B$21&amp;ROWS($A$23:A23),Rosters!$B$2:$C$163,2,0),"?")</f>
        <v>John</v>
      </c>
      <c r="B23" s="5" t="str">
        <f>_xlfn.IFNA(VLOOKUP($B$21&amp;ROWS($B$23:B23),Rosters!$B$2:$D$163,3,0),"?")</f>
        <v>Knight III</v>
      </c>
      <c r="C23" s="5">
        <f>_xlfn.IFNA(VLOOKUP($B$21&amp;ROWS($C$23:C23),Rosters!$B$2:$E$163,4,0),"")</f>
        <v>23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6" x14ac:dyDescent="0.2">
      <c r="A24" t="str">
        <f>_xlfn.IFNA(VLOOKUP($B$21&amp;ROWS($A$23:A24),Rosters!$B$2:$C$163,2,0),"?")</f>
        <v>Isaac</v>
      </c>
      <c r="B24" t="str">
        <f>_xlfn.IFNA(VLOOKUP($B$21&amp;ROWS($B$23:B24),Rosters!$B$2:$D$163,3,0),"?")</f>
        <v>Johnson</v>
      </c>
      <c r="C24">
        <f>_xlfn.IFNA(VLOOKUP($B$21&amp;ROWS($C$23:C24),Rosters!$B$2:$E$163,4,0),"")</f>
        <v>20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6" s="6" customFormat="1" x14ac:dyDescent="0.2">
      <c r="A25" s="5" t="str">
        <f>_xlfn.IFNA(VLOOKUP($B$21&amp;ROWS($A$23:A25),Rosters!$B$2:$C$163,2,0),"?")</f>
        <v>Seena</v>
      </c>
      <c r="B25" s="5" t="str">
        <f>_xlfn.IFNA(VLOOKUP($B$21&amp;ROWS($B$23:B25),Rosters!$B$2:$D$163,3,0),"?")</f>
        <v>Namdar</v>
      </c>
      <c r="C25" s="5">
        <f>_xlfn.IFNA(VLOOKUP($B$21&amp;ROWS($C$23:C25),Rosters!$B$2:$E$163,4,0),"")</f>
        <v>13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 t="s">
        <v>223</v>
      </c>
    </row>
    <row r="26" spans="1:26" x14ac:dyDescent="0.2">
      <c r="A26" t="str">
        <f>_xlfn.IFNA(VLOOKUP($B$21&amp;ROWS($A$23:A26),Rosters!$B$2:$C$163,2,0),"?")</f>
        <v>Hunter</v>
      </c>
      <c r="B26" t="str">
        <f>_xlfn.IFNA(VLOOKUP($B$21&amp;ROWS($B$23:B26),Rosters!$B$2:$D$163,3,0),"?")</f>
        <v>Humpherys</v>
      </c>
      <c r="C26">
        <f>_xlfn.IFNA(VLOOKUP($B$21&amp;ROWS($C$23:C26),Rosters!$B$2:$E$163,4,0),"")</f>
        <v>11</v>
      </c>
      <c r="D26" s="6"/>
      <c r="E26" s="6">
        <v>10</v>
      </c>
      <c r="F26" s="6"/>
      <c r="G26" s="6"/>
      <c r="H26" s="6">
        <v>6</v>
      </c>
      <c r="I26" s="6"/>
      <c r="J26" s="6"/>
      <c r="K26" s="6">
        <v>4</v>
      </c>
      <c r="L26" s="6"/>
      <c r="M26" s="6"/>
      <c r="N26" s="6">
        <v>0</v>
      </c>
      <c r="O26" s="6"/>
      <c r="P26" s="6"/>
      <c r="Q26" s="6">
        <v>4</v>
      </c>
      <c r="R26" s="6"/>
      <c r="S26" s="6"/>
      <c r="T26" s="6">
        <v>1</v>
      </c>
      <c r="U26" s="6"/>
      <c r="V26" s="6"/>
      <c r="W26" s="6">
        <v>2</v>
      </c>
      <c r="X26" s="6"/>
      <c r="Y26">
        <f>'G1 Box Score'!I37</f>
        <v>115</v>
      </c>
    </row>
    <row r="27" spans="1:26" s="6" customFormat="1" x14ac:dyDescent="0.2">
      <c r="A27" s="5" t="str">
        <f>_xlfn.IFNA(VLOOKUP($B$21&amp;ROWS($A$23:A27),Rosters!$B$2:$C$163,2,0),"?")</f>
        <v>Mark</v>
      </c>
      <c r="B27" s="5" t="str">
        <f>_xlfn.IFNA(VLOOKUP($B$21&amp;ROWS($B$23:B27),Rosters!$B$2:$D$163,3,0),"?")</f>
        <v>Burton</v>
      </c>
      <c r="C27" s="5">
        <f>_xlfn.IFNA(VLOOKUP($B$21&amp;ROWS($C$23:C27),Rosters!$B$2:$E$163,4,0),"")</f>
        <v>3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">
        <v>227</v>
      </c>
      <c r="B28" t="s">
        <v>228</v>
      </c>
      <c r="C28">
        <f>_xlfn.IFNA(VLOOKUP($B$21&amp;ROWS($C$23:C28),Rosters!$B$2:$E$163,4,0),"")</f>
        <v>55</v>
      </c>
      <c r="D28" s="6"/>
      <c r="E28" s="6">
        <v>12</v>
      </c>
      <c r="F28" s="6"/>
      <c r="G28" s="6"/>
      <c r="H28" s="6">
        <v>8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5</v>
      </c>
      <c r="X28" s="6"/>
    </row>
    <row r="29" spans="1:26" s="6" customFormat="1" x14ac:dyDescent="0.2">
      <c r="A29" s="5" t="str">
        <f>_xlfn.IFNA(VLOOKUP($B$21&amp;ROWS($A$23:A29),Rosters!$B$2:$C$163,2,0),"?")</f>
        <v>Marco</v>
      </c>
      <c r="B29" s="5" t="str">
        <f>_xlfn.IFNA(VLOOKUP($B$21&amp;ROWS($B$23:B29),Rosters!$B$2:$D$163,3,0),"?")</f>
        <v>Anthony</v>
      </c>
      <c r="C29" s="5">
        <f>_xlfn.IFNA(VLOOKUP($B$21&amp;ROWS($C$23:C29),Rosters!$B$2:$E$163,4,0),"")</f>
        <v>99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Z29" s="6" t="s">
        <v>224</v>
      </c>
    </row>
    <row r="30" spans="1:26" x14ac:dyDescent="0.2">
      <c r="A30" t="str">
        <f>_xlfn.IFNA(VLOOKUP($B$21&amp;ROWS($A$23:A30),Rosters!$B$2:$C$163,2,0),"?")</f>
        <v>Dee</v>
      </c>
      <c r="B30" t="str">
        <f>_xlfn.IFNA(VLOOKUP($B$21&amp;ROWS($B$23:B30),Rosters!$B$2:$D$163,3,0),"?")</f>
        <v>Barnes</v>
      </c>
      <c r="C30">
        <f>_xlfn.IFNA(VLOOKUP($B$21&amp;ROWS($C$23:C30),Rosters!$B$2:$E$163,4,0),"")</f>
        <v>22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Z30" s="6">
        <v>5</v>
      </c>
    </row>
    <row r="31" spans="1:26" s="6" customFormat="1" x14ac:dyDescent="0.2">
      <c r="A31" s="5" t="str">
        <f>_xlfn.IFNA(VLOOKUP($B$21&amp;ROWS($A$23:A31),Rosters!$B$2:$C$163,2,0),"?")</f>
        <v>Zack</v>
      </c>
      <c r="B31" s="5" t="str">
        <f>_xlfn.IFNA(VLOOKUP($B$21&amp;ROWS($B$23:B31),Rosters!$B$2:$D$163,3,0),"?")</f>
        <v>Visentin</v>
      </c>
      <c r="C31" s="5">
        <f>_xlfn.IFNA(VLOOKUP($B$21&amp;ROWS($C$23:C31),Rosters!$B$2:$E$163,4,0),"")</f>
        <v>32</v>
      </c>
      <c r="D31" s="5"/>
      <c r="E31" s="5">
        <v>3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3</v>
      </c>
      <c r="X31" s="5"/>
    </row>
    <row r="32" spans="1:26" x14ac:dyDescent="0.2">
      <c r="A32" t="str">
        <f>_xlfn.IFNA(VLOOKUP($B$21&amp;ROWS($A$23:A32),Rosters!$B$2:$C$163,2,0),"?")</f>
        <v>Demarcus</v>
      </c>
      <c r="B32" t="str">
        <f>_xlfn.IFNA(VLOOKUP($B$21&amp;ROWS($B$23:B32),Rosters!$B$2:$D$163,3,0),"?")</f>
        <v>Harrison</v>
      </c>
      <c r="C32">
        <f>_xlfn.IFNA(VLOOKUP($B$21&amp;ROWS($C$23:C32),Rosters!$B$2:$E$163,4,0),"")</f>
        <v>31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Trey</v>
      </c>
      <c r="B33" s="5" t="str">
        <f>_xlfn.IFNA(VLOOKUP($B$21&amp;ROWS($B$23:B33),Rosters!$B$2:$D$163,3,0),"?")</f>
        <v>Anderson</v>
      </c>
      <c r="C33" s="5">
        <f>_xlfn.IFNA(VLOOKUP($B$21&amp;ROWS($C$23:C33),Rosters!$B$2:$E$163,4,0),"")</f>
        <v>5</v>
      </c>
      <c r="D33" s="5"/>
      <c r="E33" s="5">
        <v>10</v>
      </c>
      <c r="F33" s="5"/>
      <c r="G33" s="5"/>
      <c r="H33" s="5">
        <v>9</v>
      </c>
      <c r="I33" s="5"/>
      <c r="J33" s="5"/>
      <c r="K33" s="5">
        <v>6</v>
      </c>
      <c r="L33" s="5"/>
      <c r="M33" s="5"/>
      <c r="N33" s="5">
        <v>1</v>
      </c>
      <c r="O33" s="5"/>
      <c r="P33" s="5"/>
      <c r="Q33" s="5">
        <v>2</v>
      </c>
      <c r="R33" s="5"/>
      <c r="S33" s="5"/>
      <c r="T33" s="5">
        <v>2</v>
      </c>
      <c r="U33" s="5"/>
      <c r="V33" s="5"/>
      <c r="W33" s="5">
        <v>3</v>
      </c>
      <c r="X33" s="5"/>
    </row>
    <row r="34" spans="1:24" x14ac:dyDescent="0.2">
      <c r="A34" t="s">
        <v>229</v>
      </c>
      <c r="B34" t="s">
        <v>230</v>
      </c>
      <c r="C34">
        <f>_xlfn.IFNA(VLOOKUP($B$21&amp;ROWS($C$23:C34),Rosters!$B$2:$E$163,4,0),"")</f>
        <v>9</v>
      </c>
      <c r="D34" s="6"/>
      <c r="E34" s="6">
        <v>5</v>
      </c>
      <c r="F34" s="6"/>
      <c r="G34" s="6"/>
      <c r="H34" s="6">
        <v>4</v>
      </c>
      <c r="I34" s="6"/>
      <c r="J34" s="6"/>
      <c r="K34" s="6">
        <v>4</v>
      </c>
      <c r="L34" s="6"/>
      <c r="M34" s="6"/>
      <c r="N34" s="6">
        <v>0</v>
      </c>
      <c r="O34" s="6"/>
      <c r="P34" s="6"/>
      <c r="Q34" s="6">
        <v>2</v>
      </c>
      <c r="R34" s="6"/>
      <c r="S34" s="6"/>
      <c r="T34" s="6">
        <v>2</v>
      </c>
      <c r="U34" s="6"/>
      <c r="V34" s="6"/>
      <c r="W34" s="6">
        <v>1</v>
      </c>
      <c r="X34" s="6"/>
    </row>
    <row r="35" spans="1:24" s="6" customFormat="1" x14ac:dyDescent="0.2">
      <c r="A35" s="5" t="str">
        <f>_xlfn.IFNA(VLOOKUP($B$21&amp;ROWS($A$23:A35),Rosters!$B$2:$C$163,2,0),"?")</f>
        <v>Zach</v>
      </c>
      <c r="B35" s="5" t="str">
        <f>_xlfn.IFNA(VLOOKUP($B$21&amp;ROWS($B$23:B35),Rosters!$B$2:$D$163,3,0),"?")</f>
        <v>Mogbo</v>
      </c>
      <c r="C35" s="5">
        <f>_xlfn.IFNA(VLOOKUP($B$21&amp;ROWS($C$23:C35),Rosters!$B$2:$E$163,4,0),"")</f>
        <v>4</v>
      </c>
      <c r="D35" s="5"/>
      <c r="E35" s="5">
        <v>16</v>
      </c>
      <c r="F35" s="5"/>
      <c r="G35" s="5"/>
      <c r="H35" s="5">
        <v>10</v>
      </c>
      <c r="I35" s="5"/>
      <c r="J35" s="5"/>
      <c r="K35" s="5">
        <v>5</v>
      </c>
      <c r="L35" s="5"/>
      <c r="M35" s="5"/>
      <c r="N35" s="5">
        <v>1</v>
      </c>
      <c r="O35" s="5"/>
      <c r="P35" s="5"/>
      <c r="Q35" s="5">
        <v>9</v>
      </c>
      <c r="R35" s="5"/>
      <c r="S35" s="5"/>
      <c r="T35" s="5">
        <v>5</v>
      </c>
      <c r="U35" s="5"/>
      <c r="V35" s="5"/>
      <c r="W35" s="5">
        <v>2</v>
      </c>
      <c r="X35" s="5"/>
    </row>
    <row r="36" spans="1:24" x14ac:dyDescent="0.2">
      <c r="A36" t="s">
        <v>231</v>
      </c>
      <c r="B36" t="s">
        <v>131</v>
      </c>
      <c r="C36">
        <f>_xlfn.IFNA(VLOOKUP($B$21&amp;ROWS($C$23:C36),Rosters!$B$2:$E$163,4,0),"")</f>
        <v>1</v>
      </c>
      <c r="D36" s="6"/>
      <c r="E36" s="6">
        <v>2</v>
      </c>
      <c r="F36" s="6"/>
      <c r="G36" s="6"/>
      <c r="H36" s="6">
        <v>2</v>
      </c>
      <c r="I36" s="6"/>
      <c r="J36" s="6"/>
      <c r="K36" s="6">
        <v>2</v>
      </c>
      <c r="L36" s="6"/>
      <c r="M36" s="6"/>
      <c r="N36" s="6">
        <v>2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1</v>
      </c>
      <c r="X36" s="6"/>
    </row>
    <row r="37" spans="1:24" s="6" customFormat="1" x14ac:dyDescent="0.2">
      <c r="A37" s="5" t="s">
        <v>232</v>
      </c>
      <c r="B37" s="5" t="s">
        <v>233</v>
      </c>
      <c r="C37" s="5">
        <v>25</v>
      </c>
      <c r="D37" s="5"/>
      <c r="E37" s="5">
        <v>5</v>
      </c>
      <c r="F37" s="5"/>
      <c r="G37" s="5"/>
      <c r="H37" s="5">
        <v>4</v>
      </c>
      <c r="I37" s="5"/>
      <c r="J37" s="5"/>
      <c r="K37" s="5">
        <v>1</v>
      </c>
      <c r="L37" s="5"/>
      <c r="M37" s="5"/>
      <c r="N37" s="5">
        <v>1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3</v>
      </c>
      <c r="X37" s="5"/>
    </row>
    <row r="38" spans="1:24" x14ac:dyDescent="0.2">
      <c r="E38">
        <f>SUM(E23:E37)</f>
        <v>63</v>
      </c>
      <c r="H38">
        <f>SUM(H23:H37)</f>
        <v>45</v>
      </c>
      <c r="K38">
        <f>SUM(K23:K37)</f>
        <v>22</v>
      </c>
      <c r="N38">
        <f>SUM(N23:N37)</f>
        <v>5</v>
      </c>
      <c r="Q38">
        <f>SUM(Q23:Q37)</f>
        <v>17</v>
      </c>
      <c r="T38">
        <f>SUM(T23:T37)</f>
        <v>10</v>
      </c>
      <c r="W38">
        <f>SUM(W23:W37)</f>
        <v>20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2022-08-04T20:02:04Z</dcterms:modified>
</cp:coreProperties>
</file>