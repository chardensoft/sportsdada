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C84F3779-C350-4442-BFCA-7003C6A4D57D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qpccop2wdvxy+0tEyIwavopZFgA=="/>
    </ext>
  </extLst>
</workbook>
</file>

<file path=xl/calcChain.xml><?xml version="1.0" encoding="utf-8"?>
<calcChain xmlns="http://schemas.openxmlformats.org/spreadsheetml/2006/main">
  <c r="A25" i="2" l="1"/>
  <c r="B25" i="2"/>
  <c r="C25" i="2"/>
  <c r="A26" i="2"/>
  <c r="B26" i="2"/>
  <c r="G25" i="1" s="1"/>
  <c r="C26" i="2"/>
  <c r="H25" i="1" s="1"/>
  <c r="A27" i="2"/>
  <c r="F26" i="1" s="1"/>
  <c r="B27" i="2"/>
  <c r="G26" i="1" s="1"/>
  <c r="C27" i="2"/>
  <c r="A28" i="2"/>
  <c r="B28" i="2"/>
  <c r="C28" i="2"/>
  <c r="A29" i="2"/>
  <c r="F28" i="1" s="1"/>
  <c r="B29" i="2"/>
  <c r="G28" i="1" s="1"/>
  <c r="C29" i="2"/>
  <c r="H28" i="1" s="1"/>
  <c r="A30" i="2"/>
  <c r="F29" i="1" s="1"/>
  <c r="B30" i="2"/>
  <c r="C30" i="2"/>
  <c r="A31" i="2"/>
  <c r="B31" i="2"/>
  <c r="C31" i="2"/>
  <c r="H30" i="1" s="1"/>
  <c r="A32" i="2"/>
  <c r="F31" i="1" s="1"/>
  <c r="B32" i="2"/>
  <c r="G31" i="1" s="1"/>
  <c r="C32" i="2"/>
  <c r="H31" i="1" s="1"/>
  <c r="A33" i="2"/>
  <c r="B33" i="2"/>
  <c r="C33" i="2"/>
  <c r="A34" i="2"/>
  <c r="B34" i="2"/>
  <c r="G33" i="1" s="1"/>
  <c r="C34" i="2"/>
  <c r="H33" i="1" s="1"/>
  <c r="A35" i="2"/>
  <c r="F34" i="1" s="1"/>
  <c r="B35" i="2"/>
  <c r="G34" i="1" s="1"/>
  <c r="C35" i="2"/>
  <c r="A36" i="2"/>
  <c r="B36" i="2"/>
  <c r="C36" i="2"/>
  <c r="A37" i="2"/>
  <c r="F36" i="1" s="1"/>
  <c r="B37" i="2"/>
  <c r="G36" i="1" s="1"/>
  <c r="C37" i="2"/>
  <c r="H36" i="1" s="1"/>
  <c r="C24" i="2"/>
  <c r="C23" i="2"/>
  <c r="B23" i="2"/>
  <c r="B24" i="2"/>
  <c r="G23" i="1" s="1"/>
  <c r="A24" i="2"/>
  <c r="A23" i="2"/>
  <c r="G22" i="1"/>
  <c r="H22" i="1"/>
  <c r="H23" i="1"/>
  <c r="F22" i="1"/>
  <c r="C7" i="2"/>
  <c r="C8" i="2"/>
  <c r="C9" i="2"/>
  <c r="C10" i="2"/>
  <c r="C11" i="2"/>
  <c r="C12" i="2"/>
  <c r="C13" i="2"/>
  <c r="C14" i="2"/>
  <c r="H12" i="1" s="1"/>
  <c r="C15" i="2"/>
  <c r="C16" i="2"/>
  <c r="C17" i="2"/>
  <c r="C18" i="2"/>
  <c r="C19" i="2"/>
  <c r="C6" i="2"/>
  <c r="C5" i="2"/>
  <c r="B7" i="2"/>
  <c r="B8" i="2"/>
  <c r="B9" i="2"/>
  <c r="G7" i="1" s="1"/>
  <c r="B10" i="2"/>
  <c r="B11" i="2"/>
  <c r="B12" i="2"/>
  <c r="B13" i="2"/>
  <c r="B14" i="2"/>
  <c r="B15" i="2"/>
  <c r="B16" i="2"/>
  <c r="B17" i="2"/>
  <c r="B18" i="2"/>
  <c r="B19" i="2"/>
  <c r="G17" i="1" s="1"/>
  <c r="B6" i="2"/>
  <c r="B5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6" i="2"/>
  <c r="A5" i="2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G5" i="3"/>
  <c r="B5" i="3"/>
  <c r="G4" i="3"/>
  <c r="B4" i="3"/>
  <c r="G3" i="3"/>
  <c r="B3" i="3"/>
  <c r="G2" i="3"/>
  <c r="B2" i="3"/>
  <c r="W38" i="2"/>
  <c r="T38" i="2"/>
  <c r="Q38" i="2"/>
  <c r="N38" i="2"/>
  <c r="K38" i="2"/>
  <c r="H38" i="2"/>
  <c r="E38" i="2"/>
  <c r="H35" i="1"/>
  <c r="G35" i="1"/>
  <c r="F35" i="1"/>
  <c r="H34" i="1"/>
  <c r="F33" i="1"/>
  <c r="H32" i="1"/>
  <c r="G32" i="1"/>
  <c r="F32" i="1"/>
  <c r="G30" i="1"/>
  <c r="F30" i="1"/>
  <c r="H29" i="1"/>
  <c r="G29" i="1"/>
  <c r="H27" i="1"/>
  <c r="G27" i="1"/>
  <c r="F27" i="1"/>
  <c r="H26" i="1"/>
  <c r="F25" i="1"/>
  <c r="H24" i="1"/>
  <c r="G24" i="1"/>
  <c r="F24" i="1"/>
  <c r="F23" i="1"/>
  <c r="W20" i="2"/>
  <c r="T20" i="2"/>
  <c r="Q20" i="2"/>
  <c r="N20" i="2"/>
  <c r="J18" i="1" s="1"/>
  <c r="K20" i="2"/>
  <c r="H20" i="2"/>
  <c r="H17" i="1"/>
  <c r="H16" i="1"/>
  <c r="G16" i="1"/>
  <c r="F16" i="1"/>
  <c r="H15" i="1"/>
  <c r="G15" i="1"/>
  <c r="H14" i="1"/>
  <c r="G14" i="1"/>
  <c r="H13" i="1"/>
  <c r="G13" i="1"/>
  <c r="F13" i="1"/>
  <c r="G12" i="1"/>
  <c r="H11" i="1"/>
  <c r="G11" i="1"/>
  <c r="F11" i="1"/>
  <c r="H10" i="1"/>
  <c r="G10" i="1"/>
  <c r="F10" i="1"/>
  <c r="H9" i="1"/>
  <c r="G9" i="1"/>
  <c r="H8" i="1"/>
  <c r="G8" i="1"/>
  <c r="F8" i="1"/>
  <c r="H7" i="1"/>
  <c r="H6" i="1"/>
  <c r="G6" i="1"/>
  <c r="H5" i="1"/>
  <c r="G5" i="1"/>
  <c r="F5" i="1"/>
  <c r="H4" i="1"/>
  <c r="G4" i="1"/>
  <c r="E5" i="2"/>
  <c r="E20" i="2" s="1"/>
  <c r="G3" i="1"/>
  <c r="F3" i="1"/>
  <c r="L37" i="1"/>
  <c r="K37" i="1"/>
  <c r="J37" i="1"/>
  <c r="L36" i="1"/>
  <c r="K36" i="1"/>
  <c r="J36" i="1"/>
  <c r="I36" i="1"/>
  <c r="L35" i="1"/>
  <c r="K35" i="1"/>
  <c r="J35" i="1"/>
  <c r="I35" i="1"/>
  <c r="L34" i="1"/>
  <c r="K34" i="1"/>
  <c r="J34" i="1"/>
  <c r="I34" i="1"/>
  <c r="L33" i="1"/>
  <c r="K33" i="1"/>
  <c r="J33" i="1"/>
  <c r="I33" i="1"/>
  <c r="L32" i="1"/>
  <c r="K32" i="1"/>
  <c r="J32" i="1"/>
  <c r="I32" i="1"/>
  <c r="L31" i="1"/>
  <c r="K31" i="1"/>
  <c r="J31" i="1"/>
  <c r="I31" i="1"/>
  <c r="L30" i="1"/>
  <c r="K30" i="1"/>
  <c r="J30" i="1"/>
  <c r="I30" i="1"/>
  <c r="L29" i="1"/>
  <c r="K29" i="1"/>
  <c r="J29" i="1"/>
  <c r="I29" i="1"/>
  <c r="L28" i="1"/>
  <c r="K28" i="1"/>
  <c r="J28" i="1"/>
  <c r="I28" i="1"/>
  <c r="L27" i="1"/>
  <c r="K27" i="1"/>
  <c r="J27" i="1"/>
  <c r="I27" i="1"/>
  <c r="L26" i="1"/>
  <c r="K26" i="1"/>
  <c r="J26" i="1"/>
  <c r="I26" i="1"/>
  <c r="L25" i="1"/>
  <c r="K25" i="1"/>
  <c r="J25" i="1"/>
  <c r="I25" i="1"/>
  <c r="L24" i="1"/>
  <c r="K24" i="1"/>
  <c r="J24" i="1"/>
  <c r="I24" i="1"/>
  <c r="L23" i="1"/>
  <c r="K23" i="1"/>
  <c r="J23" i="1"/>
  <c r="I23" i="1"/>
  <c r="L22" i="1"/>
  <c r="K22" i="1"/>
  <c r="J22" i="1"/>
  <c r="I22" i="1"/>
  <c r="I37" i="1" s="1"/>
  <c r="D3" i="1" s="1"/>
  <c r="G20" i="1"/>
  <c r="L18" i="1"/>
  <c r="K18" i="1"/>
  <c r="L17" i="1"/>
  <c r="K17" i="1"/>
  <c r="J17" i="1"/>
  <c r="I17" i="1"/>
  <c r="F17" i="1"/>
  <c r="L16" i="1"/>
  <c r="K16" i="1"/>
  <c r="J16" i="1"/>
  <c r="I16" i="1"/>
  <c r="L15" i="1"/>
  <c r="K15" i="1"/>
  <c r="J15" i="1"/>
  <c r="I15" i="1"/>
  <c r="F15" i="1"/>
  <c r="L14" i="1"/>
  <c r="K14" i="1"/>
  <c r="J14" i="1"/>
  <c r="I14" i="1"/>
  <c r="F14" i="1"/>
  <c r="L13" i="1"/>
  <c r="K13" i="1"/>
  <c r="J13" i="1"/>
  <c r="I13" i="1"/>
  <c r="L12" i="1"/>
  <c r="K12" i="1"/>
  <c r="J12" i="1"/>
  <c r="I12" i="1"/>
  <c r="F12" i="1"/>
  <c r="L11" i="1"/>
  <c r="K11" i="1"/>
  <c r="J11" i="1"/>
  <c r="I11" i="1"/>
  <c r="L10" i="1"/>
  <c r="K10" i="1"/>
  <c r="J10" i="1"/>
  <c r="I10" i="1"/>
  <c r="L9" i="1"/>
  <c r="K9" i="1"/>
  <c r="J9" i="1"/>
  <c r="I9" i="1"/>
  <c r="F9" i="1"/>
  <c r="L8" i="1"/>
  <c r="K8" i="1"/>
  <c r="J8" i="1"/>
  <c r="I8" i="1"/>
  <c r="L7" i="1"/>
  <c r="K7" i="1"/>
  <c r="J7" i="1"/>
  <c r="I7" i="1"/>
  <c r="F7" i="1"/>
  <c r="L6" i="1"/>
  <c r="K6" i="1"/>
  <c r="J6" i="1"/>
  <c r="I6" i="1"/>
  <c r="F6" i="1"/>
  <c r="L5" i="1"/>
  <c r="K5" i="1"/>
  <c r="J5" i="1"/>
  <c r="I5" i="1"/>
  <c r="L4" i="1"/>
  <c r="K4" i="1"/>
  <c r="J4" i="1"/>
  <c r="I4" i="1"/>
  <c r="F4" i="1"/>
  <c r="L3" i="1"/>
  <c r="K3" i="1"/>
  <c r="J3" i="1"/>
  <c r="I3" i="1"/>
  <c r="I18" i="1" s="1"/>
  <c r="B3" i="1" s="1"/>
  <c r="H3" i="1"/>
  <c r="D2" i="1"/>
  <c r="G1" i="1"/>
  <c r="B2" i="1" s="1"/>
</calcChain>
</file>

<file path=xl/sharedStrings.xml><?xml version="1.0" encoding="utf-8"?>
<sst xmlns="http://schemas.openxmlformats.org/spreadsheetml/2006/main" count="185" uniqueCount="114">
  <si>
    <t>GAME 1</t>
  </si>
  <si>
    <t>Home Team (Gray)</t>
  </si>
  <si>
    <t>First</t>
  </si>
  <si>
    <t>Last</t>
  </si>
  <si>
    <t>#</t>
  </si>
  <si>
    <t>PTS</t>
  </si>
  <si>
    <t>FG</t>
  </si>
  <si>
    <t>3PT</t>
  </si>
  <si>
    <t>FT</t>
  </si>
  <si>
    <t>TOV</t>
  </si>
  <si>
    <t>-</t>
  </si>
  <si>
    <t>Total:</t>
  </si>
  <si>
    <t>Away Team (Black)</t>
  </si>
  <si>
    <t>Select Team Name</t>
  </si>
  <si>
    <t>Arok</t>
  </si>
  <si>
    <t>Berger</t>
  </si>
  <si>
    <t>Gray Team (Home)</t>
  </si>
  <si>
    <t>Team Egan</t>
  </si>
  <si>
    <t>2PA</t>
  </si>
  <si>
    <t>2PM</t>
  </si>
  <si>
    <t>3PA</t>
  </si>
  <si>
    <t>3PM</t>
  </si>
  <si>
    <t>FTA</t>
  </si>
  <si>
    <t>FTM</t>
  </si>
  <si>
    <t>Black Team (Away)</t>
  </si>
  <si>
    <t>Team Covington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</si>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</sst>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209550</xdr:colOff>
      <xdr:row>0</xdr:row>
      <xdr:rowOff>180975</xdr:rowOff>
    </xdr:from>
    <xdr:ext cx="6467475" cy="25146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117025" y="2527463"/>
          <a:ext cx="6457950" cy="2505075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M1" sqref="M1:M1048576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6" width="15.1640625" customWidth="1"/>
    <col min="7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G1'!B3</f>
        <v>Team Egan</v>
      </c>
    </row>
    <row r="2" spans="2:13" ht="15.75" customHeight="1" x14ac:dyDescent="0.2">
      <c r="B2" s="2" t="str">
        <f>G1</f>
        <v>Team Egan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/>
    </row>
    <row r="3" spans="2:13" ht="15.75" customHeight="1" x14ac:dyDescent="0.2">
      <c r="B3" s="2">
        <f>I18</f>
        <v>87</v>
      </c>
      <c r="C3" s="3" t="s">
        <v>10</v>
      </c>
      <c r="D3" s="4">
        <f>I37</f>
        <v>99</v>
      </c>
      <c r="F3" s="2" t="str">
        <f>'Stats G1'!A5</f>
        <v>Casdon</v>
      </c>
      <c r="G3" s="2" t="str">
        <f>'Stats G1'!B5</f>
        <v>Jardine</v>
      </c>
      <c r="H3" s="2">
        <f>'Stats G1'!C5</f>
        <v>22</v>
      </c>
      <c r="I3" s="2">
        <f>'Stats G1'!H5*2+'Stats G1'!N5*3+'Stats G1'!T5</f>
        <v>13</v>
      </c>
      <c r="J3" s="2" t="str">
        <f>SUM('Stats G1'!H5+'Stats G1'!N5)&amp;"-"&amp;SUM('Stats G1'!E5+'Stats G1'!K5)</f>
        <v>5-14</v>
      </c>
      <c r="K3" s="2" t="str">
        <f>SUM('Stats G1'!N5)&amp;"-"&amp;SUM('Stats G1'!K5)</f>
        <v>3-10</v>
      </c>
      <c r="L3" s="2" t="str">
        <f>SUM('Stats G1'!T5)&amp;"-"&amp;SUM('Stats G1'!Q5)</f>
        <v>0-0</v>
      </c>
      <c r="M3" s="2"/>
    </row>
    <row r="4" spans="2:13" ht="15.75" customHeight="1" x14ac:dyDescent="0.2">
      <c r="F4" s="2" t="str">
        <f>'Stats G1'!A6</f>
        <v>Rex</v>
      </c>
      <c r="G4" s="2" t="str">
        <f>'Stats G1'!B6</f>
        <v>Sunderland</v>
      </c>
      <c r="H4" s="2">
        <f>'Stats G1'!C6</f>
        <v>13</v>
      </c>
      <c r="I4" s="2">
        <f>'Stats G1'!H6*2+'Stats G1'!N6*3+'Stats G1'!T6</f>
        <v>24</v>
      </c>
      <c r="J4" s="2" t="str">
        <f>SUM('Stats G1'!H6+'Stats G1'!N6)&amp;"-"&amp;SUM('Stats G1'!E6+'Stats G1'!K6)</f>
        <v>9-19</v>
      </c>
      <c r="K4" s="2" t="str">
        <f>SUM('Stats G1'!N6)&amp;"-"&amp;SUM('Stats G1'!K6)</f>
        <v>4-10</v>
      </c>
      <c r="L4" s="2" t="str">
        <f>SUM('Stats G1'!T6)&amp;"-"&amp;SUM('Stats G1'!Q6)</f>
        <v>2-2</v>
      </c>
      <c r="M4" s="2"/>
    </row>
    <row r="5" spans="2:13" ht="15.75" customHeight="1" x14ac:dyDescent="0.2">
      <c r="F5" s="2" t="str">
        <f>'Stats G1'!A7</f>
        <v>Steve</v>
      </c>
      <c r="G5" s="2" t="str">
        <f>'Stats G1'!B7</f>
        <v>Panos</v>
      </c>
      <c r="H5" s="2">
        <f>'Stats G1'!C7</f>
        <v>0</v>
      </c>
      <c r="I5" s="2">
        <f>'Stats G1'!H7*2+'Stats G1'!N7*3+'Stats G1'!T7</f>
        <v>8</v>
      </c>
      <c r="J5" s="2" t="str">
        <f>SUM('Stats G1'!H7+'Stats G1'!N7)&amp;"-"&amp;SUM('Stats G1'!E7+'Stats G1'!K7)</f>
        <v>4-7</v>
      </c>
      <c r="K5" s="2" t="str">
        <f>SUM('Stats G1'!N7)&amp;"-"&amp;SUM('Stats G1'!K7)</f>
        <v>0-0</v>
      </c>
      <c r="L5" s="2" t="str">
        <f>SUM('Stats G1'!T7)&amp;"-"&amp;SUM('Stats G1'!Q7)</f>
        <v>0-2</v>
      </c>
      <c r="M5" s="2"/>
    </row>
    <row r="6" spans="2:13" ht="15.75" customHeight="1" x14ac:dyDescent="0.2">
      <c r="F6" s="2" t="str">
        <f>'Stats G1'!A8</f>
        <v>James</v>
      </c>
      <c r="G6" s="2" t="str">
        <f>'Stats G1'!B8</f>
        <v>Walljasper</v>
      </c>
      <c r="H6" s="2">
        <f>'Stats G1'!C8</f>
        <v>1</v>
      </c>
      <c r="I6" s="2">
        <f>'Stats G1'!H8*2+'Stats G1'!N8*3+'Stats G1'!T8</f>
        <v>0</v>
      </c>
      <c r="J6" s="2" t="str">
        <f>SUM('Stats G1'!H8+'Stats G1'!N8)&amp;"-"&amp;SUM('Stats G1'!E8+'Stats G1'!K8)</f>
        <v>0-0</v>
      </c>
      <c r="K6" s="2" t="str">
        <f>SUM('Stats G1'!N8)&amp;"-"&amp;SUM('Stats G1'!K8)</f>
        <v>0-0</v>
      </c>
      <c r="L6" s="2" t="str">
        <f>SUM('Stats G1'!T8)&amp;"-"&amp;SUM('Stats G1'!Q8)</f>
        <v>0-0</v>
      </c>
      <c r="M6" s="2"/>
    </row>
    <row r="7" spans="2:13" ht="15.75" customHeight="1" x14ac:dyDescent="0.2">
      <c r="F7" s="2" t="str">
        <f>'Stats G1'!A9</f>
        <v>Wil</v>
      </c>
      <c r="G7" s="2" t="str">
        <f>'Stats G1'!B9</f>
        <v>Carter</v>
      </c>
      <c r="H7" s="2">
        <f>'Stats G1'!C9</f>
        <v>15</v>
      </c>
      <c r="I7" s="2">
        <f>'Stats G1'!H9*2+'Stats G1'!N9*3+'Stats G1'!T9</f>
        <v>17</v>
      </c>
      <c r="J7" s="2" t="str">
        <f>SUM('Stats G1'!H9+'Stats G1'!N9)&amp;"-"&amp;SUM('Stats G1'!E9+'Stats G1'!K9)</f>
        <v>7-16</v>
      </c>
      <c r="K7" s="2" t="str">
        <f>SUM('Stats G1'!N9)&amp;"-"&amp;SUM('Stats G1'!K9)</f>
        <v>1-4</v>
      </c>
      <c r="L7" s="2" t="str">
        <f>SUM('Stats G1'!T9)&amp;"-"&amp;SUM('Stats G1'!Q9)</f>
        <v>2-4</v>
      </c>
      <c r="M7" s="2"/>
    </row>
    <row r="8" spans="2:13" ht="15.75" customHeight="1" x14ac:dyDescent="0.2">
      <c r="F8" s="2" t="str">
        <f>'Stats G1'!A10</f>
        <v>Drew</v>
      </c>
      <c r="G8" s="2" t="str">
        <f>'Stats G1'!B10</f>
        <v>Lokeni</v>
      </c>
      <c r="H8" s="2">
        <f>'Stats G1'!C10</f>
        <v>7</v>
      </c>
      <c r="I8" s="2">
        <f>'Stats G1'!H10*2+'Stats G1'!N10*3+'Stats G1'!T10</f>
        <v>2</v>
      </c>
      <c r="J8" s="2" t="str">
        <f>SUM('Stats G1'!H10+'Stats G1'!N10)&amp;"-"&amp;SUM('Stats G1'!E10+'Stats G1'!K10)</f>
        <v>1-2</v>
      </c>
      <c r="K8" s="2" t="str">
        <f>SUM('Stats G1'!N10)&amp;"-"&amp;SUM('Stats G1'!K10)</f>
        <v>0-1</v>
      </c>
      <c r="L8" s="2" t="str">
        <f>SUM('Stats G1'!T10)&amp;"-"&amp;SUM('Stats G1'!Q10)</f>
        <v>0-0</v>
      </c>
      <c r="M8" s="2"/>
    </row>
    <row r="9" spans="2:13" ht="15.75" customHeight="1" x14ac:dyDescent="0.2">
      <c r="F9" s="2" t="str">
        <f>'Stats G1'!A11</f>
        <v>Mason</v>
      </c>
      <c r="G9" s="2" t="str">
        <f>'Stats G1'!B11</f>
        <v>Sawyer</v>
      </c>
      <c r="H9" s="2">
        <f>'Stats G1'!C11</f>
        <v>4</v>
      </c>
      <c r="I9" s="2">
        <f>'Stats G1'!H11*2+'Stats G1'!N11*3+'Stats G1'!T11</f>
        <v>8</v>
      </c>
      <c r="J9" s="2" t="str">
        <f>SUM('Stats G1'!H11+'Stats G1'!N11)&amp;"-"&amp;SUM('Stats G1'!E11+'Stats G1'!K11)</f>
        <v>3-6</v>
      </c>
      <c r="K9" s="2" t="str">
        <f>SUM('Stats G1'!N11)&amp;"-"&amp;SUM('Stats G1'!K11)</f>
        <v>0-3</v>
      </c>
      <c r="L9" s="2" t="str">
        <f>SUM('Stats G1'!T11)&amp;"-"&amp;SUM('Stats G1'!Q11)</f>
        <v>2-3</v>
      </c>
      <c r="M9" s="2"/>
    </row>
    <row r="10" spans="2:13" ht="15.75" customHeight="1" x14ac:dyDescent="0.2">
      <c r="F10" s="2" t="str">
        <f>'Stats G1'!A12</f>
        <v>Adam</v>
      </c>
      <c r="G10" s="2" t="str">
        <f>'Stats G1'!B12</f>
        <v>Egan</v>
      </c>
      <c r="H10" s="2">
        <f>'Stats G1'!C12</f>
        <v>13</v>
      </c>
      <c r="I10" s="2">
        <f>'Stats G1'!H12*2+'Stats G1'!N12*3+'Stats G1'!T12</f>
        <v>6</v>
      </c>
      <c r="J10" s="2" t="str">
        <f>SUM('Stats G1'!H12+'Stats G1'!N12)&amp;"-"&amp;SUM('Stats G1'!E12+'Stats G1'!K12)</f>
        <v>3-5</v>
      </c>
      <c r="K10" s="2" t="str">
        <f>SUM('Stats G1'!N12)&amp;"-"&amp;SUM('Stats G1'!K12)</f>
        <v>0-1</v>
      </c>
      <c r="L10" s="2" t="str">
        <f>SUM('Stats G1'!T12)&amp;"-"&amp;SUM('Stats G1'!Q12)</f>
        <v>0-0</v>
      </c>
      <c r="M10" s="2"/>
    </row>
    <row r="11" spans="2:13" ht="15.75" customHeight="1" x14ac:dyDescent="0.2">
      <c r="F11" s="2" t="str">
        <f>'Stats G1'!A13</f>
        <v>Tony</v>
      </c>
      <c r="G11" s="2" t="str">
        <f>'Stats G1'!B13</f>
        <v>Roberts</v>
      </c>
      <c r="H11" s="2">
        <f>'Stats G1'!C13</f>
        <v>21</v>
      </c>
      <c r="I11" s="2">
        <f>'Stats G1'!H13*2+'Stats G1'!N13*3+'Stats G1'!T13</f>
        <v>9</v>
      </c>
      <c r="J11" s="2" t="str">
        <f>SUM('Stats G1'!H13+'Stats G1'!N13)&amp;"-"&amp;SUM('Stats G1'!E13+'Stats G1'!K13)</f>
        <v>4-11</v>
      </c>
      <c r="K11" s="2" t="str">
        <f>SUM('Stats G1'!N13)&amp;"-"&amp;SUM('Stats G1'!K13)</f>
        <v>1-5</v>
      </c>
      <c r="L11" s="2" t="str">
        <f>SUM('Stats G1'!T13)&amp;"-"&amp;SUM('Stats G1'!Q13)</f>
        <v>0-0</v>
      </c>
      <c r="M11" s="2"/>
    </row>
    <row r="12" spans="2:13" ht="15.75" customHeight="1" x14ac:dyDescent="0.2">
      <c r="F12" s="2" t="str">
        <f>'Stats G1'!A14</f>
        <v>?</v>
      </c>
      <c r="G12" s="2" t="str">
        <f>'Stats G1'!B14</f>
        <v>?</v>
      </c>
      <c r="H12" s="2" t="str">
        <f>'Stats G1'!C14</f>
        <v/>
      </c>
      <c r="I12" s="2">
        <f>'Stats G1'!H14*2+'Stats G1'!N14*3+'Stats G1'!T14</f>
        <v>0</v>
      </c>
      <c r="J12" s="2" t="str">
        <f>SUM('Stats G1'!H14+'Stats G1'!N14)&amp;"-"&amp;SUM('Stats G1'!E14+'Stats G1'!K14)</f>
        <v>0-0</v>
      </c>
      <c r="K12" s="2" t="str">
        <f>SUM('Stats G1'!N14)&amp;"-"&amp;SUM('Stats G1'!K14)</f>
        <v>0-0</v>
      </c>
      <c r="L12" s="2" t="str">
        <f>SUM('Stats G1'!T14)&amp;"-"&amp;SUM('Stats G1'!Q14)</f>
        <v>0-0</v>
      </c>
      <c r="M12" s="2"/>
    </row>
    <row r="13" spans="2:13" ht="15.75" customHeight="1" x14ac:dyDescent="0.2">
      <c r="F13" s="2" t="str">
        <f>'Stats G1'!A15</f>
        <v>?</v>
      </c>
      <c r="G13" s="2" t="str">
        <f>'Stats G1'!B15</f>
        <v>?</v>
      </c>
      <c r="H13" s="2" t="str">
        <f>'Stats G1'!C15</f>
        <v/>
      </c>
      <c r="I13" s="2">
        <f>'Stats G1'!H15*2+'Stats G1'!N15*3+'Stats G1'!T15</f>
        <v>0</v>
      </c>
      <c r="J13" s="2" t="str">
        <f>SUM('Stats G1'!H15+'Stats G1'!N15)&amp;"-"&amp;SUM('Stats G1'!E15+'Stats G1'!K15)</f>
        <v>0-0</v>
      </c>
      <c r="K13" s="2" t="str">
        <f>SUM('Stats G1'!N15)&amp;"-"&amp;SUM('Stats G1'!K15)</f>
        <v>0-0</v>
      </c>
      <c r="L13" s="2" t="str">
        <f>SUM('Stats G1'!T15)&amp;"-"&amp;SUM('Stats G1'!Q15)</f>
        <v>0-0</v>
      </c>
      <c r="M13" s="2"/>
    </row>
    <row r="14" spans="2:13" ht="15.75" customHeight="1" x14ac:dyDescent="0.2">
      <c r="F14" s="2" t="str">
        <f>'Stats G1'!A16</f>
        <v>?</v>
      </c>
      <c r="G14" s="2" t="str">
        <f>'Stats G1'!B16</f>
        <v>?</v>
      </c>
      <c r="H14" s="2" t="str">
        <f>'Stats G1'!C16</f>
        <v/>
      </c>
      <c r="I14" s="2">
        <f>'Stats G1'!H16*2+'Stats G1'!N16*3+'Stats G1'!T16</f>
        <v>0</v>
      </c>
      <c r="J14" s="2" t="str">
        <f>SUM('Stats G1'!H16+'Stats G1'!N16)&amp;"-"&amp;SUM('Stats G1'!E16+'Stats G1'!K16)</f>
        <v>0-0</v>
      </c>
      <c r="K14" s="2" t="str">
        <f>SUM('Stats G1'!N16)&amp;"-"&amp;SUM('Stats G1'!K16)</f>
        <v>0-0</v>
      </c>
      <c r="L14" s="2" t="str">
        <f>SUM('Stats G1'!T16)&amp;"-"&amp;SUM('Stats G1'!Q16)</f>
        <v>0-0</v>
      </c>
      <c r="M14" s="2"/>
    </row>
    <row r="15" spans="2:13" ht="15.75" customHeight="1" x14ac:dyDescent="0.2">
      <c r="F15" s="2" t="str">
        <f>'Stats G1'!A17</f>
        <v>?</v>
      </c>
      <c r="G15" s="2" t="str">
        <f>'Stats G1'!B17</f>
        <v>?</v>
      </c>
      <c r="H15" s="2" t="str">
        <f>'Stats G1'!C17</f>
        <v/>
      </c>
      <c r="I15" s="2">
        <f>'Stats G1'!H17*2+'Stats G1'!N17*3+'Stats G1'!T17</f>
        <v>0</v>
      </c>
      <c r="J15" s="2" t="str">
        <f>SUM('Stats G1'!H17+'Stats G1'!N17)&amp;"-"&amp;SUM('Stats G1'!E17+'Stats G1'!K17)</f>
        <v>0-0</v>
      </c>
      <c r="K15" s="2" t="str">
        <f>SUM('Stats G1'!N17)&amp;"-"&amp;SUM('Stats G1'!K17)</f>
        <v>0-0</v>
      </c>
      <c r="L15" s="2" t="str">
        <f>SUM('Stats G1'!T17)&amp;"-"&amp;SUM('Stats G1'!Q17)</f>
        <v>0-0</v>
      </c>
      <c r="M15" s="2"/>
    </row>
    <row r="16" spans="2:13" ht="15.75" customHeight="1" x14ac:dyDescent="0.2">
      <c r="F16" s="2" t="str">
        <f>'Stats G1'!A18</f>
        <v>?</v>
      </c>
      <c r="G16" s="2" t="str">
        <f>'Stats G1'!B18</f>
        <v>?</v>
      </c>
      <c r="H16" s="2" t="str">
        <f>'Stats G1'!C18</f>
        <v/>
      </c>
      <c r="I16" s="2">
        <f>'Stats G1'!H18*2+'Stats G1'!N18*3+'Stats G1'!T18</f>
        <v>0</v>
      </c>
      <c r="J16" s="2" t="str">
        <f>SUM('Stats G1'!H18+'Stats G1'!N18)&amp;"-"&amp;SUM('Stats G1'!E18+'Stats G1'!K18)</f>
        <v>0-0</v>
      </c>
      <c r="K16" s="2" t="str">
        <f>SUM('Stats G1'!N18)&amp;"-"&amp;SUM('Stats G1'!K18)</f>
        <v>0-0</v>
      </c>
      <c r="L16" s="2" t="str">
        <f>SUM('Stats G1'!T18)&amp;"-"&amp;SUM('Stats G1'!Q18)</f>
        <v>0-0</v>
      </c>
      <c r="M16" s="2"/>
    </row>
    <row r="17" spans="6:13" ht="15.75" customHeight="1" x14ac:dyDescent="0.2">
      <c r="F17" s="2" t="str">
        <f>'Stats G1'!A19</f>
        <v>?</v>
      </c>
      <c r="G17" s="2" t="str">
        <f>'Stats G1'!B19</f>
        <v>?</v>
      </c>
      <c r="H17" s="2" t="str">
        <f>'Stats G1'!C19</f>
        <v/>
      </c>
      <c r="I17" s="2">
        <f>'Stats G1'!H19*2+'Stats G1'!N19*3+'Stats G1'!T19</f>
        <v>0</v>
      </c>
      <c r="J17" s="2" t="str">
        <f>SUM('Stats G1'!H19+'Stats G1'!N19)&amp;"-"&amp;SUM('Stats G1'!E19+'Stats G1'!K19)</f>
        <v>0-0</v>
      </c>
      <c r="K17" s="2" t="str">
        <f>SUM('Stats G1'!N19)&amp;"-"&amp;SUM('Stats G1'!K19)</f>
        <v>0-0</v>
      </c>
      <c r="L17" s="2" t="str">
        <f>SUM('Stats G1'!T19)&amp;"-"&amp;SUM('Stats G1'!Q19)</f>
        <v>0-0</v>
      </c>
      <c r="M17" s="2"/>
    </row>
    <row r="18" spans="6:13" ht="15.75" customHeight="1" x14ac:dyDescent="0.2">
      <c r="H18" s="1" t="s">
        <v>11</v>
      </c>
      <c r="I18" s="2">
        <f>SUM(I3:I17)</f>
        <v>87</v>
      </c>
      <c r="J18" s="2" t="str">
        <f>SUM('Stats G1'!H20+'Stats G1'!N20)&amp;"-"&amp;SUM('Stats G1'!E20+'Stats G1'!K20)</f>
        <v>36-80</v>
      </c>
      <c r="K18" s="2" t="str">
        <f>SUM('Stats G1'!N20)&amp;"-"&amp;SUM('Stats G1'!K20)</f>
        <v>9-34</v>
      </c>
      <c r="L18" s="2" t="str">
        <f>SUM('Stats G1'!T20)&amp;"-"&amp;SUM('Stats G1'!Q20)</f>
        <v>6-11</v>
      </c>
      <c r="M18" s="2"/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G1'!B21</f>
        <v>Team Covington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/>
    </row>
    <row r="22" spans="6:13" ht="15.75" customHeight="1" x14ac:dyDescent="0.2">
      <c r="F22" s="2" t="str">
        <f>'Stats G1'!A23</f>
        <v>Andre</v>
      </c>
      <c r="G22" s="2" t="str">
        <f>'Stats G1'!B23</f>
        <v>Mulibea</v>
      </c>
      <c r="H22" s="2">
        <f>'Stats G1'!C23</f>
        <v>34</v>
      </c>
      <c r="I22" s="2">
        <f>'Stats G1'!H23*2+'Stats G1'!N23*3+'Stats G1'!T23</f>
        <v>17</v>
      </c>
      <c r="J22" s="2" t="str">
        <f>SUM('Stats G1'!H23+'Stats G1'!N23)&amp;"-"&amp;SUM('Stats G1'!E23+'Stats G1'!K23)</f>
        <v>7-17</v>
      </c>
      <c r="K22" s="2" t="str">
        <f>SUM('Stats G1'!N23)&amp;"-"&amp;SUM('Stats G1'!K23)</f>
        <v>3-13</v>
      </c>
      <c r="L22" s="2" t="str">
        <f>SUM('Stats G1'!T23)&amp;"-"&amp;SUM('Stats G1'!Q23)</f>
        <v>0-0</v>
      </c>
      <c r="M22" s="2"/>
    </row>
    <row r="23" spans="6:13" ht="15.75" customHeight="1" x14ac:dyDescent="0.2">
      <c r="F23" s="2" t="str">
        <f>'Stats G1'!A24</f>
        <v>Jaxon</v>
      </c>
      <c r="G23" s="2" t="str">
        <f>'Stats G1'!B24</f>
        <v>Pollard</v>
      </c>
      <c r="H23" s="2">
        <f>'Stats G1'!C24</f>
        <v>4</v>
      </c>
      <c r="I23" s="2">
        <f>'Stats G1'!H24*2+'Stats G1'!N24*3+'Stats G1'!T24</f>
        <v>14</v>
      </c>
      <c r="J23" s="2" t="str">
        <f>SUM('Stats G1'!H24+'Stats G1'!N24)&amp;"-"&amp;SUM('Stats G1'!E24+'Stats G1'!K24)</f>
        <v>5-13</v>
      </c>
      <c r="K23" s="2" t="str">
        <f>SUM('Stats G1'!N24)&amp;"-"&amp;SUM('Stats G1'!K24)</f>
        <v>2-6</v>
      </c>
      <c r="L23" s="2" t="str">
        <f>SUM('Stats G1'!T24)&amp;"-"&amp;SUM('Stats G1'!Q24)</f>
        <v>2-2</v>
      </c>
      <c r="M23" s="2"/>
    </row>
    <row r="24" spans="6:13" ht="15.75" customHeight="1" x14ac:dyDescent="0.2">
      <c r="F24" s="2" t="str">
        <f>'Stats G1'!A25</f>
        <v>Tyson</v>
      </c>
      <c r="G24" s="2" t="str">
        <f>'Stats G1'!B25</f>
        <v>Garff</v>
      </c>
      <c r="H24" s="2">
        <f>'Stats G1'!C25</f>
        <v>21</v>
      </c>
      <c r="I24" s="2">
        <f>'Stats G1'!H25*2+'Stats G1'!N25*3+'Stats G1'!T25</f>
        <v>14</v>
      </c>
      <c r="J24" s="2" t="str">
        <f>SUM('Stats G1'!H25+'Stats G1'!N25)&amp;"-"&amp;SUM('Stats G1'!E25+'Stats G1'!K25)</f>
        <v>4-10</v>
      </c>
      <c r="K24" s="2" t="str">
        <f>SUM('Stats G1'!N25)&amp;"-"&amp;SUM('Stats G1'!K25)</f>
        <v>3-7</v>
      </c>
      <c r="L24" s="2" t="str">
        <f>SUM('Stats G1'!T25)&amp;"-"&amp;SUM('Stats G1'!Q25)</f>
        <v>3-6</v>
      </c>
      <c r="M24" s="2"/>
    </row>
    <row r="25" spans="6:13" ht="15.75" customHeight="1" x14ac:dyDescent="0.2">
      <c r="F25" s="2" t="str">
        <f>'Stats G1'!A26</f>
        <v>Tanner</v>
      </c>
      <c r="G25" s="2" t="str">
        <f>'Stats G1'!B26</f>
        <v>Cuff</v>
      </c>
      <c r="H25" s="2">
        <f>'Stats G1'!C26</f>
        <v>87</v>
      </c>
      <c r="I25" s="2">
        <f>'Stats G1'!H26*2+'Stats G1'!N26*3+'Stats G1'!T26</f>
        <v>0</v>
      </c>
      <c r="J25" s="2" t="str">
        <f>SUM('Stats G1'!H26+'Stats G1'!N26)&amp;"-"&amp;SUM('Stats G1'!E26+'Stats G1'!K26)</f>
        <v>0-0</v>
      </c>
      <c r="K25" s="2" t="str">
        <f>SUM('Stats G1'!N26)&amp;"-"&amp;SUM('Stats G1'!K26)</f>
        <v>0-0</v>
      </c>
      <c r="L25" s="2" t="str">
        <f>SUM('Stats G1'!T26)&amp;"-"&amp;SUM('Stats G1'!Q26)</f>
        <v>0-0</v>
      </c>
      <c r="M25" s="2"/>
    </row>
    <row r="26" spans="6:13" ht="15.75" customHeight="1" x14ac:dyDescent="0.2">
      <c r="F26" s="2" t="str">
        <f>'Stats G1'!A27</f>
        <v>Brady</v>
      </c>
      <c r="G26" s="2" t="str">
        <f>'Stats G1'!B27</f>
        <v>Smith</v>
      </c>
      <c r="H26" s="2">
        <f>'Stats G1'!C27</f>
        <v>23</v>
      </c>
      <c r="I26" s="2">
        <f>'Stats G1'!H27*2+'Stats G1'!N27*3+'Stats G1'!T27</f>
        <v>6</v>
      </c>
      <c r="J26" s="2" t="str">
        <f>SUM('Stats G1'!H27+'Stats G1'!N27)&amp;"-"&amp;SUM('Stats G1'!E27+'Stats G1'!K27)</f>
        <v>2-6</v>
      </c>
      <c r="K26" s="2" t="str">
        <f>SUM('Stats G1'!N27)&amp;"-"&amp;SUM('Stats G1'!K27)</f>
        <v>0-2</v>
      </c>
      <c r="L26" s="2" t="str">
        <f>SUM('Stats G1'!T27)&amp;"-"&amp;SUM('Stats G1'!Q27)</f>
        <v>2-2</v>
      </c>
      <c r="M26" s="2"/>
    </row>
    <row r="27" spans="6:13" ht="15.75" customHeight="1" x14ac:dyDescent="0.2">
      <c r="F27" s="2" t="str">
        <f>'Stats G1'!A28</f>
        <v>Nick</v>
      </c>
      <c r="G27" s="2" t="str">
        <f>'Stats G1'!B28</f>
        <v>Covington</v>
      </c>
      <c r="H27" s="2">
        <f>'Stats G1'!C28</f>
        <v>2</v>
      </c>
      <c r="I27" s="2">
        <f>'Stats G1'!H28*2+'Stats G1'!N28*3+'Stats G1'!T28</f>
        <v>5</v>
      </c>
      <c r="J27" s="2" t="str">
        <f>SUM('Stats G1'!H28+'Stats G1'!N28)&amp;"-"&amp;SUM('Stats G1'!E28+'Stats G1'!K28)</f>
        <v>2-8</v>
      </c>
      <c r="K27" s="2" t="str">
        <f>SUM('Stats G1'!N28)&amp;"-"&amp;SUM('Stats G1'!K28)</f>
        <v>1-4</v>
      </c>
      <c r="L27" s="2" t="str">
        <f>SUM('Stats G1'!T28)&amp;"-"&amp;SUM('Stats G1'!Q28)</f>
        <v>0-0</v>
      </c>
      <c r="M27" s="2"/>
    </row>
    <row r="28" spans="6:13" ht="15.75" customHeight="1" x14ac:dyDescent="0.2">
      <c r="F28" s="2" t="str">
        <f>'Stats G1'!A29</f>
        <v>Alejandro</v>
      </c>
      <c r="G28" s="2" t="str">
        <f>'Stats G1'!B29</f>
        <v>Vasquez</v>
      </c>
      <c r="H28" s="2">
        <f>'Stats G1'!C29</f>
        <v>10</v>
      </c>
      <c r="I28" s="2">
        <f>'Stats G1'!H29*2+'Stats G1'!N29*3+'Stats G1'!T29</f>
        <v>16</v>
      </c>
      <c r="J28" s="2" t="str">
        <f>SUM('Stats G1'!H29+'Stats G1'!N29)&amp;"-"&amp;SUM('Stats G1'!E29+'Stats G1'!K29)</f>
        <v>7-16</v>
      </c>
      <c r="K28" s="2" t="str">
        <f>SUM('Stats G1'!N29)&amp;"-"&amp;SUM('Stats G1'!K29)</f>
        <v>2-7</v>
      </c>
      <c r="L28" s="2" t="str">
        <f>SUM('Stats G1'!T29)&amp;"-"&amp;SUM('Stats G1'!Q29)</f>
        <v>0-2</v>
      </c>
      <c r="M28" s="2"/>
    </row>
    <row r="29" spans="6:13" ht="15.75" customHeight="1" x14ac:dyDescent="0.2">
      <c r="F29" s="2" t="str">
        <f>'Stats G1'!A30</f>
        <v>Jared</v>
      </c>
      <c r="G29" s="2" t="str">
        <f>'Stats G1'!B30</f>
        <v>Garcia</v>
      </c>
      <c r="H29" s="2">
        <f>'Stats G1'!C30</f>
        <v>25</v>
      </c>
      <c r="I29" s="2">
        <f>'Stats G1'!H30*2+'Stats G1'!N30*3+'Stats G1'!T30</f>
        <v>9</v>
      </c>
      <c r="J29" s="2" t="str">
        <f>SUM('Stats G1'!H30+'Stats G1'!N30)&amp;"-"&amp;SUM('Stats G1'!E30+'Stats G1'!K30)</f>
        <v>3-11</v>
      </c>
      <c r="K29" s="2" t="str">
        <f>SUM('Stats G1'!N30)&amp;"-"&amp;SUM('Stats G1'!K30)</f>
        <v>0-2</v>
      </c>
      <c r="L29" s="2" t="str">
        <f>SUM('Stats G1'!T30)&amp;"-"&amp;SUM('Stats G1'!Q30)</f>
        <v>3-5</v>
      </c>
      <c r="M29" s="2"/>
    </row>
    <row r="30" spans="6:13" ht="15.75" customHeight="1" x14ac:dyDescent="0.2">
      <c r="F30" s="2" t="str">
        <f>'Stats G1'!A31</f>
        <v>Macea</v>
      </c>
      <c r="G30" s="2" t="str">
        <f>'Stats G1'!B31</f>
        <v>Austin</v>
      </c>
      <c r="H30" s="2">
        <f>'Stats G1'!C31</f>
        <v>3</v>
      </c>
      <c r="I30" s="2">
        <f>'Stats G1'!H31*2+'Stats G1'!N31*3+'Stats G1'!T31</f>
        <v>5</v>
      </c>
      <c r="J30" s="2" t="str">
        <f>SUM('Stats G1'!H31+'Stats G1'!N31)&amp;"-"&amp;SUM('Stats G1'!E31+'Stats G1'!K31)</f>
        <v>1-6</v>
      </c>
      <c r="K30" s="2" t="str">
        <f>SUM('Stats G1'!N31)&amp;"-"&amp;SUM('Stats G1'!K31)</f>
        <v>1-4</v>
      </c>
      <c r="L30" s="2" t="str">
        <f>SUM('Stats G1'!T31)&amp;"-"&amp;SUM('Stats G1'!Q31)</f>
        <v>2-2</v>
      </c>
      <c r="M30" s="2"/>
    </row>
    <row r="31" spans="6:13" ht="15.75" customHeight="1" x14ac:dyDescent="0.2">
      <c r="F31" s="2" t="str">
        <f>'Stats G1'!A32</f>
        <v>Austin</v>
      </c>
      <c r="G31" s="2" t="str">
        <f>'Stats G1'!B32</f>
        <v>Hayhurst</v>
      </c>
      <c r="H31" s="2">
        <f>'Stats G1'!C32</f>
        <v>33</v>
      </c>
      <c r="I31" s="2">
        <f>'Stats G1'!H32*2+'Stats G1'!N32*3+'Stats G1'!T32</f>
        <v>0</v>
      </c>
      <c r="J31" s="2" t="str">
        <f>SUM('Stats G1'!H32+'Stats G1'!N32)&amp;"-"&amp;SUM('Stats G1'!E32+'Stats G1'!K32)</f>
        <v>0-0</v>
      </c>
      <c r="K31" s="2" t="str">
        <f>SUM('Stats G1'!N32)&amp;"-"&amp;SUM('Stats G1'!K32)</f>
        <v>0-0</v>
      </c>
      <c r="L31" s="2" t="str">
        <f>SUM('Stats G1'!T32)&amp;"-"&amp;SUM('Stats G1'!Q32)</f>
        <v>0-0</v>
      </c>
      <c r="M31" s="2"/>
    </row>
    <row r="32" spans="6:13" ht="15.75" customHeight="1" x14ac:dyDescent="0.2">
      <c r="F32" s="2" t="str">
        <f>'Stats G1'!A33</f>
        <v>Dwayne</v>
      </c>
      <c r="G32" s="2" t="str">
        <f>'Stats G1'!B33</f>
        <v>Koroma</v>
      </c>
      <c r="H32" s="2">
        <f>'Stats G1'!C33</f>
        <v>16</v>
      </c>
      <c r="I32" s="2">
        <f>'Stats G1'!H33*2+'Stats G1'!N33*3+'Stats G1'!T33</f>
        <v>9</v>
      </c>
      <c r="J32" s="2" t="str">
        <f>SUM('Stats G1'!H33+'Stats G1'!N33)&amp;"-"&amp;SUM('Stats G1'!E33+'Stats G1'!K33)</f>
        <v>4-5</v>
      </c>
      <c r="K32" s="2" t="str">
        <f>SUM('Stats G1'!N33)&amp;"-"&amp;SUM('Stats G1'!K33)</f>
        <v>0-0</v>
      </c>
      <c r="L32" s="2" t="str">
        <f>SUM('Stats G1'!T33)&amp;"-"&amp;SUM('Stats G1'!Q33)</f>
        <v>1-2</v>
      </c>
      <c r="M32" s="2"/>
    </row>
    <row r="33" spans="6:13" ht="15.75" customHeight="1" x14ac:dyDescent="0.2">
      <c r="F33" s="2" t="str">
        <f>'Stats G1'!A34</f>
        <v>Jaxon</v>
      </c>
      <c r="G33" s="2" t="str">
        <f>'Stats G1'!B34</f>
        <v>Heiden</v>
      </c>
      <c r="H33" s="2">
        <f>'Stats G1'!C34</f>
        <v>14</v>
      </c>
      <c r="I33" s="2">
        <f>'Stats G1'!H34*2+'Stats G1'!N34*3+'Stats G1'!T34</f>
        <v>4</v>
      </c>
      <c r="J33" s="2" t="str">
        <f>SUM('Stats G1'!H34+'Stats G1'!N34)&amp;"-"&amp;SUM('Stats G1'!E34+'Stats G1'!K34)</f>
        <v>1-2</v>
      </c>
      <c r="K33" s="2" t="str">
        <f>SUM('Stats G1'!N34)&amp;"-"&amp;SUM('Stats G1'!K34)</f>
        <v>0-0</v>
      </c>
      <c r="L33" s="2" t="str">
        <f>SUM('Stats G1'!T34)&amp;"-"&amp;SUM('Stats G1'!Q34)</f>
        <v>2-2</v>
      </c>
      <c r="M33" s="2"/>
    </row>
    <row r="34" spans="6:13" ht="15.75" customHeight="1" x14ac:dyDescent="0.2">
      <c r="F34" s="2" t="str">
        <f>'Stats G1'!A35</f>
        <v>?</v>
      </c>
      <c r="G34" s="2" t="str">
        <f>'Stats G1'!B35</f>
        <v>?</v>
      </c>
      <c r="H34" s="2" t="str">
        <f>'Stats G1'!C35</f>
        <v/>
      </c>
      <c r="I34" s="2">
        <f>'Stats G1'!H35*2+'Stats G1'!N35*3+'Stats G1'!T35</f>
        <v>0</v>
      </c>
      <c r="J34" s="2" t="str">
        <f>SUM('Stats G1'!H35+'Stats G1'!N35)&amp;"-"&amp;SUM('Stats G1'!E35+'Stats G1'!K35)</f>
        <v>0-0</v>
      </c>
      <c r="K34" s="2" t="str">
        <f>SUM('Stats G1'!N35)&amp;"-"&amp;SUM('Stats G1'!K35)</f>
        <v>0-0</v>
      </c>
      <c r="L34" s="2" t="str">
        <f>SUM('Stats G1'!T35)&amp;"-"&amp;SUM('Stats G1'!Q35)</f>
        <v>0-0</v>
      </c>
      <c r="M34" s="2"/>
    </row>
    <row r="35" spans="6:13" ht="15.75" customHeight="1" x14ac:dyDescent="0.2">
      <c r="F35" s="2" t="str">
        <f>'Stats G1'!A36</f>
        <v>?</v>
      </c>
      <c r="G35" s="2" t="str">
        <f>'Stats G1'!B36</f>
        <v>?</v>
      </c>
      <c r="H35" s="2" t="str">
        <f>'Stats G1'!C36</f>
        <v/>
      </c>
      <c r="I35" s="2">
        <f>'Stats G1'!H36*2+'Stats G1'!N36*3+'Stats G1'!T36</f>
        <v>0</v>
      </c>
      <c r="J35" s="2" t="str">
        <f>SUM('Stats G1'!H36+'Stats G1'!N36)&amp;"-"&amp;SUM('Stats G1'!E36+'Stats G1'!K36)</f>
        <v>0-0</v>
      </c>
      <c r="K35" s="2" t="str">
        <f>SUM('Stats G1'!N36)&amp;"-"&amp;SUM('Stats G1'!K36)</f>
        <v>0-0</v>
      </c>
      <c r="L35" s="2" t="str">
        <f>SUM('Stats G1'!T36)&amp;"-"&amp;SUM('Stats G1'!Q36)</f>
        <v>0-0</v>
      </c>
      <c r="M35" s="2"/>
    </row>
    <row r="36" spans="6:13" ht="15.75" customHeight="1" x14ac:dyDescent="0.2">
      <c r="F36" s="2" t="str">
        <f>'Stats G1'!A37</f>
        <v>?</v>
      </c>
      <c r="G36" s="2" t="str">
        <f>'Stats G1'!B37</f>
        <v>?</v>
      </c>
      <c r="H36" s="2" t="str">
        <f>'Stats G1'!C37</f>
        <v/>
      </c>
      <c r="I36" s="2">
        <f>'Stats G1'!H37*2+'Stats G1'!N37*3+'Stats G1'!T37</f>
        <v>0</v>
      </c>
      <c r="J36" s="2" t="str">
        <f>SUM('Stats G1'!H37+'Stats G1'!N37)&amp;"-"&amp;SUM('Stats G1'!E37+'Stats G1'!K37)</f>
        <v>0-0</v>
      </c>
      <c r="K36" s="2" t="str">
        <f>SUM('Stats G1'!N37)&amp;"-"&amp;SUM('Stats G1'!K37)</f>
        <v>0-0</v>
      </c>
      <c r="L36" s="2" t="str">
        <f>SUM('Stats G1'!T37)&amp;"-"&amp;SUM('Stats G1'!Q37)</f>
        <v>0-0</v>
      </c>
      <c r="M36" s="2"/>
    </row>
    <row r="37" spans="6:13" ht="15.75" customHeight="1" x14ac:dyDescent="0.2">
      <c r="H37" s="1" t="s">
        <v>11</v>
      </c>
      <c r="I37" s="2">
        <f>SUM(I22:I36)</f>
        <v>99</v>
      </c>
      <c r="J37" s="2" t="str">
        <f>SUM('Stats G1'!H38+'Stats G1'!N38)&amp;"-"&amp;SUM('Stats G1'!E38+'Stats G1'!K38)</f>
        <v>36-94</v>
      </c>
      <c r="K37" s="2" t="str">
        <f>SUM('Stats G1'!N38)&amp;"-"&amp;SUM('Stats G1'!K38)</f>
        <v>12-45</v>
      </c>
      <c r="L37" s="2" t="str">
        <f>SUM('Stats G1'!T38)&amp;"-"&amp;SUM('Stats G1'!Q38)</f>
        <v>15-23</v>
      </c>
      <c r="M37" s="2"/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A3" workbookViewId="0">
      <selection activeCell="D21" sqref="D21"/>
    </sheetView>
  </sheetViews>
  <sheetFormatPr baseColWidth="10" defaultColWidth="11.1640625" defaultRowHeight="15" customHeight="1" x14ac:dyDescent="0.2"/>
  <cols>
    <col min="1" max="1" width="15.164062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hidden="1" customHeight="1" x14ac:dyDescent="0.2">
      <c r="A1" s="5" t="s">
        <v>13</v>
      </c>
      <c r="B1" s="2" t="s">
        <v>14</v>
      </c>
      <c r="C1" s="2" t="s">
        <v>15</v>
      </c>
    </row>
    <row r="2" spans="1:26" ht="15.75" hidden="1" customHeight="1" x14ac:dyDescent="0.2"/>
    <row r="3" spans="1:26" ht="15.75" customHeight="1" x14ac:dyDescent="0.2">
      <c r="A3" s="1" t="s">
        <v>16</v>
      </c>
      <c r="B3" s="6" t="s">
        <v>17</v>
      </c>
    </row>
    <row r="4" spans="1:26" ht="15.75" customHeight="1" x14ac:dyDescent="0.2">
      <c r="A4" s="2" t="s">
        <v>2</v>
      </c>
      <c r="B4" s="2" t="s">
        <v>3</v>
      </c>
      <c r="C4" s="2" t="s">
        <v>4</v>
      </c>
      <c r="E4" s="2" t="s">
        <v>18</v>
      </c>
      <c r="H4" s="2" t="s">
        <v>19</v>
      </c>
      <c r="K4" s="2" t="s">
        <v>20</v>
      </c>
      <c r="N4" s="2" t="s">
        <v>21</v>
      </c>
      <c r="Q4" s="2" t="s">
        <v>22</v>
      </c>
      <c r="T4" s="2" t="s">
        <v>23</v>
      </c>
      <c r="W4" s="2" t="s">
        <v>9</v>
      </c>
    </row>
    <row r="5" spans="1:26" ht="15.75" customHeight="1" x14ac:dyDescent="0.2">
      <c r="A5" s="7" t="str">
        <f>_xlfn.IFNA(VLOOKUP($B$3&amp;ROWS($A$5:A5),Rosters!$B$2:$C$163,2,0),"?")</f>
        <v>Casdon</v>
      </c>
      <c r="B5" s="7" t="str">
        <f>_xlfn.IFNA(VLOOKUP($B$3&amp;ROWS($B$5:B5),Rosters!$B$2:$D$163,3,0),"?")</f>
        <v>Jardine</v>
      </c>
      <c r="C5" s="7">
        <f>_xlfn.IFNA(VLOOKUP($B$3&amp;ROWS($C$5:C5),Rosters!$B$2:$E$163,4,0),"")</f>
        <v>22</v>
      </c>
      <c r="D5" s="7"/>
      <c r="E5" s="8">
        <f>4</f>
        <v>4</v>
      </c>
      <c r="F5" s="7"/>
      <c r="G5" s="7"/>
      <c r="H5" s="8">
        <v>2</v>
      </c>
      <c r="I5" s="7"/>
      <c r="J5" s="7"/>
      <c r="K5" s="8">
        <v>10</v>
      </c>
      <c r="L5" s="7"/>
      <c r="M5" s="7"/>
      <c r="N5" s="8">
        <v>3</v>
      </c>
      <c r="O5" s="7"/>
      <c r="P5" s="7"/>
      <c r="Q5" s="7">
        <v>0</v>
      </c>
      <c r="R5" s="7"/>
      <c r="S5" s="7"/>
      <c r="T5" s="7">
        <v>0</v>
      </c>
      <c r="U5" s="7"/>
      <c r="V5" s="7"/>
      <c r="W5" s="7">
        <v>0</v>
      </c>
      <c r="X5" s="7"/>
      <c r="Y5" s="9"/>
      <c r="Z5" s="9"/>
    </row>
    <row r="6" spans="1:26" ht="15.75" customHeight="1" x14ac:dyDescent="0.2">
      <c r="A6" s="9" t="str">
        <f>_xlfn.IFNA(VLOOKUP($B$3&amp;ROWS($A$5:A6),Rosters!$B$2:$C$163,2,0),"?")</f>
        <v>Rex</v>
      </c>
      <c r="B6" s="9" t="str">
        <f>_xlfn.IFNA(VLOOKUP($B$3&amp;ROWS($B$5:B6),Rosters!$B$2:$D$163,3,0),"?")</f>
        <v>Sunderland</v>
      </c>
      <c r="C6" s="9">
        <f>_xlfn.IFNA(VLOOKUP($B$3&amp;ROWS($C$5:C6),Rosters!$B$2:$E$163,4,0),"")</f>
        <v>13</v>
      </c>
      <c r="D6" s="9"/>
      <c r="E6" s="10">
        <v>9</v>
      </c>
      <c r="F6" s="9"/>
      <c r="G6" s="9"/>
      <c r="H6" s="10">
        <v>5</v>
      </c>
      <c r="I6" s="9"/>
      <c r="J6" s="9"/>
      <c r="K6" s="10">
        <v>10</v>
      </c>
      <c r="L6" s="9"/>
      <c r="M6" s="9"/>
      <c r="N6" s="10">
        <v>4</v>
      </c>
      <c r="O6" s="9"/>
      <c r="P6" s="9"/>
      <c r="Q6" s="10">
        <v>2</v>
      </c>
      <c r="R6" s="9"/>
      <c r="S6" s="9"/>
      <c r="T6" s="10">
        <v>2</v>
      </c>
      <c r="U6" s="9"/>
      <c r="V6" s="9"/>
      <c r="W6" s="9">
        <v>0</v>
      </c>
      <c r="X6" s="9"/>
      <c r="Y6" s="9"/>
      <c r="Z6" s="9"/>
    </row>
    <row r="7" spans="1:26" ht="15.75" customHeight="1" x14ac:dyDescent="0.2">
      <c r="A7" s="7" t="str">
        <f>_xlfn.IFNA(VLOOKUP($B$3&amp;ROWS($A$5:A7),Rosters!$B$2:$C$163,2,0),"?")</f>
        <v>Steve</v>
      </c>
      <c r="B7" s="7" t="str">
        <f>_xlfn.IFNA(VLOOKUP($B$3&amp;ROWS($B$5:B7),Rosters!$B$2:$D$163,3,0),"?")</f>
        <v>Panos</v>
      </c>
      <c r="C7" s="7">
        <f>_xlfn.IFNA(VLOOKUP($B$3&amp;ROWS($C$5:C7),Rosters!$B$2:$E$163,4,0),"")</f>
        <v>0</v>
      </c>
      <c r="D7" s="7"/>
      <c r="E7" s="8">
        <v>7</v>
      </c>
      <c r="F7" s="7"/>
      <c r="G7" s="7"/>
      <c r="H7" s="8">
        <v>4</v>
      </c>
      <c r="I7" s="7"/>
      <c r="J7" s="7"/>
      <c r="K7" s="7">
        <v>0</v>
      </c>
      <c r="L7" s="7"/>
      <c r="M7" s="7"/>
      <c r="N7" s="7">
        <v>0</v>
      </c>
      <c r="O7" s="7"/>
      <c r="P7" s="7"/>
      <c r="Q7" s="8">
        <v>2</v>
      </c>
      <c r="R7" s="7"/>
      <c r="S7" s="7"/>
      <c r="T7" s="7">
        <v>0</v>
      </c>
      <c r="U7" s="7"/>
      <c r="V7" s="7"/>
      <c r="W7" s="7">
        <v>0</v>
      </c>
      <c r="X7" s="7"/>
      <c r="Y7" s="9"/>
      <c r="Z7" s="9"/>
    </row>
    <row r="8" spans="1:26" ht="15.75" customHeight="1" x14ac:dyDescent="0.2">
      <c r="A8" s="9" t="str">
        <f>_xlfn.IFNA(VLOOKUP($B$3&amp;ROWS($A$5:A8),Rosters!$B$2:$C$163,2,0),"?")</f>
        <v>James</v>
      </c>
      <c r="B8" s="9" t="str">
        <f>_xlfn.IFNA(VLOOKUP($B$3&amp;ROWS($B$5:B8),Rosters!$B$2:$D$163,3,0),"?")</f>
        <v>Walljasper</v>
      </c>
      <c r="C8" s="9">
        <f>_xlfn.IFNA(VLOOKUP($B$3&amp;ROWS($C$5:C8),Rosters!$B$2:$E$163,4,0),"")</f>
        <v>1</v>
      </c>
      <c r="D8" s="9"/>
      <c r="E8" s="9">
        <v>0</v>
      </c>
      <c r="F8" s="9"/>
      <c r="G8" s="9"/>
      <c r="H8" s="9">
        <v>0</v>
      </c>
      <c r="I8" s="9"/>
      <c r="J8" s="9"/>
      <c r="K8" s="9">
        <v>0</v>
      </c>
      <c r="L8" s="9"/>
      <c r="M8" s="9"/>
      <c r="N8" s="9">
        <v>0</v>
      </c>
      <c r="O8" s="9"/>
      <c r="P8" s="9"/>
      <c r="Q8" s="9">
        <v>0</v>
      </c>
      <c r="R8" s="9"/>
      <c r="S8" s="9"/>
      <c r="T8" s="9">
        <v>0</v>
      </c>
      <c r="U8" s="9"/>
      <c r="V8" s="9"/>
      <c r="W8" s="9">
        <v>0</v>
      </c>
      <c r="X8" s="9"/>
      <c r="Y8" s="9"/>
      <c r="Z8" s="9"/>
    </row>
    <row r="9" spans="1:26" ht="15.75" customHeight="1" x14ac:dyDescent="0.2">
      <c r="A9" s="7" t="str">
        <f>_xlfn.IFNA(VLOOKUP($B$3&amp;ROWS($A$5:A9),Rosters!$B$2:$C$163,2,0),"?")</f>
        <v>Wil</v>
      </c>
      <c r="B9" s="7" t="str">
        <f>_xlfn.IFNA(VLOOKUP($B$3&amp;ROWS($B$5:B9),Rosters!$B$2:$D$163,3,0),"?")</f>
        <v>Carter</v>
      </c>
      <c r="C9" s="7">
        <f>_xlfn.IFNA(VLOOKUP($B$3&amp;ROWS($C$5:C9),Rosters!$B$2:$E$163,4,0),"")</f>
        <v>15</v>
      </c>
      <c r="D9" s="7"/>
      <c r="E9" s="8">
        <v>12</v>
      </c>
      <c r="F9" s="7"/>
      <c r="G9" s="7"/>
      <c r="H9" s="8">
        <v>6</v>
      </c>
      <c r="I9" s="7"/>
      <c r="J9" s="7"/>
      <c r="K9" s="8">
        <v>4</v>
      </c>
      <c r="L9" s="7"/>
      <c r="M9" s="7"/>
      <c r="N9" s="8">
        <v>1</v>
      </c>
      <c r="O9" s="7"/>
      <c r="P9" s="7"/>
      <c r="Q9" s="8">
        <v>4</v>
      </c>
      <c r="R9" s="7"/>
      <c r="S9" s="7"/>
      <c r="T9" s="8">
        <v>2</v>
      </c>
      <c r="U9" s="7"/>
      <c r="V9" s="7"/>
      <c r="W9" s="7">
        <v>0</v>
      </c>
      <c r="X9" s="7"/>
      <c r="Y9" s="9"/>
      <c r="Z9" s="9"/>
    </row>
    <row r="10" spans="1:26" ht="15.75" customHeight="1" x14ac:dyDescent="0.2">
      <c r="A10" s="9" t="str">
        <f>_xlfn.IFNA(VLOOKUP($B$3&amp;ROWS($A$5:A10),Rosters!$B$2:$C$163,2,0),"?")</f>
        <v>Drew</v>
      </c>
      <c r="B10" s="9" t="str">
        <f>_xlfn.IFNA(VLOOKUP($B$3&amp;ROWS($B$5:B10),Rosters!$B$2:$D$163,3,0),"?")</f>
        <v>Lokeni</v>
      </c>
      <c r="C10" s="9">
        <f>_xlfn.IFNA(VLOOKUP($B$3&amp;ROWS($C$5:C10),Rosters!$B$2:$E$163,4,0),"")</f>
        <v>7</v>
      </c>
      <c r="D10" s="9"/>
      <c r="E10" s="10">
        <v>1</v>
      </c>
      <c r="F10" s="9"/>
      <c r="G10" s="9"/>
      <c r="H10" s="10">
        <v>1</v>
      </c>
      <c r="I10" s="9"/>
      <c r="J10" s="9"/>
      <c r="K10" s="10">
        <v>1</v>
      </c>
      <c r="L10" s="9"/>
      <c r="M10" s="9"/>
      <c r="N10" s="9">
        <v>0</v>
      </c>
      <c r="O10" s="9"/>
      <c r="P10" s="9"/>
      <c r="Q10" s="9">
        <v>0</v>
      </c>
      <c r="R10" s="9"/>
      <c r="S10" s="9"/>
      <c r="T10" s="9">
        <v>0</v>
      </c>
      <c r="U10" s="9"/>
      <c r="V10" s="9"/>
      <c r="W10" s="9">
        <v>0</v>
      </c>
      <c r="X10" s="9"/>
      <c r="Y10" s="9"/>
      <c r="Z10" s="9"/>
    </row>
    <row r="11" spans="1:26" ht="15.75" customHeight="1" x14ac:dyDescent="0.2">
      <c r="A11" s="7" t="str">
        <f>_xlfn.IFNA(VLOOKUP($B$3&amp;ROWS($A$5:A11),Rosters!$B$2:$C$163,2,0),"?")</f>
        <v>Mason</v>
      </c>
      <c r="B11" s="7" t="str">
        <f>_xlfn.IFNA(VLOOKUP($B$3&amp;ROWS($B$5:B11),Rosters!$B$2:$D$163,3,0),"?")</f>
        <v>Sawyer</v>
      </c>
      <c r="C11" s="7">
        <f>_xlfn.IFNA(VLOOKUP($B$3&amp;ROWS($C$5:C11),Rosters!$B$2:$E$163,4,0),"")</f>
        <v>4</v>
      </c>
      <c r="D11" s="7"/>
      <c r="E11" s="8">
        <v>3</v>
      </c>
      <c r="F11" s="7"/>
      <c r="G11" s="7"/>
      <c r="H11" s="8">
        <v>3</v>
      </c>
      <c r="I11" s="7"/>
      <c r="J11" s="7"/>
      <c r="K11" s="8">
        <v>3</v>
      </c>
      <c r="L11" s="7"/>
      <c r="M11" s="7"/>
      <c r="N11" s="8">
        <v>0</v>
      </c>
      <c r="O11" s="7"/>
      <c r="P11" s="7"/>
      <c r="Q11" s="8">
        <v>3</v>
      </c>
      <c r="R11" s="7"/>
      <c r="S11" s="7"/>
      <c r="T11" s="8">
        <v>2</v>
      </c>
      <c r="U11" s="7"/>
      <c r="V11" s="7"/>
      <c r="W11" s="7">
        <v>0</v>
      </c>
      <c r="X11" s="7"/>
      <c r="Y11" s="9"/>
      <c r="Z11" s="9"/>
    </row>
    <row r="12" spans="1:26" ht="15.75" customHeight="1" x14ac:dyDescent="0.2">
      <c r="A12" s="9" t="str">
        <f>_xlfn.IFNA(VLOOKUP($B$3&amp;ROWS($A$5:A12),Rosters!$B$2:$C$163,2,0),"?")</f>
        <v>Adam</v>
      </c>
      <c r="B12" s="9" t="str">
        <f>_xlfn.IFNA(VLOOKUP($B$3&amp;ROWS($B$5:B12),Rosters!$B$2:$D$163,3,0),"?")</f>
        <v>Egan</v>
      </c>
      <c r="C12" s="9">
        <f>_xlfn.IFNA(VLOOKUP($B$3&amp;ROWS($C$5:C12),Rosters!$B$2:$E$163,4,0),"")</f>
        <v>13</v>
      </c>
      <c r="D12" s="9"/>
      <c r="E12" s="10">
        <v>4</v>
      </c>
      <c r="F12" s="9"/>
      <c r="G12" s="9"/>
      <c r="H12" s="10">
        <v>3</v>
      </c>
      <c r="I12" s="9"/>
      <c r="J12" s="9"/>
      <c r="K12" s="10">
        <v>1</v>
      </c>
      <c r="L12" s="9"/>
      <c r="M12" s="9"/>
      <c r="N12" s="9">
        <v>0</v>
      </c>
      <c r="O12" s="9"/>
      <c r="P12" s="9"/>
      <c r="Q12" s="9">
        <v>0</v>
      </c>
      <c r="R12" s="9"/>
      <c r="S12" s="9"/>
      <c r="T12" s="9">
        <v>0</v>
      </c>
      <c r="U12" s="9"/>
      <c r="V12" s="9"/>
      <c r="W12" s="9">
        <v>0</v>
      </c>
      <c r="X12" s="9"/>
      <c r="Y12" s="9"/>
      <c r="Z12" s="9"/>
    </row>
    <row r="13" spans="1:26" ht="15.75" customHeight="1" x14ac:dyDescent="0.2">
      <c r="A13" s="7" t="str">
        <f>_xlfn.IFNA(VLOOKUP($B$3&amp;ROWS($A$5:A13),Rosters!$B$2:$C$163,2,0),"?")</f>
        <v>Tony</v>
      </c>
      <c r="B13" s="7" t="str">
        <f>_xlfn.IFNA(VLOOKUP($B$3&amp;ROWS($B$5:B13),Rosters!$B$2:$D$163,3,0),"?")</f>
        <v>Roberts</v>
      </c>
      <c r="C13" s="7">
        <f>_xlfn.IFNA(VLOOKUP($B$3&amp;ROWS($C$5:C13),Rosters!$B$2:$E$163,4,0),"")</f>
        <v>21</v>
      </c>
      <c r="D13" s="7"/>
      <c r="E13" s="8">
        <v>6</v>
      </c>
      <c r="F13" s="7"/>
      <c r="G13" s="7"/>
      <c r="H13" s="8">
        <v>3</v>
      </c>
      <c r="I13" s="7"/>
      <c r="J13" s="7"/>
      <c r="K13" s="8">
        <v>5</v>
      </c>
      <c r="L13" s="7"/>
      <c r="M13" s="7"/>
      <c r="N13" s="8">
        <v>1</v>
      </c>
      <c r="O13" s="7"/>
      <c r="P13" s="7"/>
      <c r="Q13" s="7">
        <v>0</v>
      </c>
      <c r="R13" s="7"/>
      <c r="S13" s="7"/>
      <c r="T13" s="7">
        <v>0</v>
      </c>
      <c r="U13" s="7"/>
      <c r="V13" s="7"/>
      <c r="W13" s="7">
        <v>0</v>
      </c>
      <c r="X13" s="7"/>
      <c r="Y13" s="9"/>
      <c r="Z13" s="9"/>
    </row>
    <row r="14" spans="1:26" ht="15.75" customHeight="1" x14ac:dyDescent="0.2">
      <c r="A14" s="9" t="str">
        <f>_xlfn.IFNA(VLOOKUP($B$3&amp;ROWS($A$5:A14),Rosters!$B$2:$C$163,2,0),"?")</f>
        <v>?</v>
      </c>
      <c r="B14" s="9" t="str">
        <f>_xlfn.IFNA(VLOOKUP($B$3&amp;ROWS($B$5:B14),Rosters!$B$2:$D$163,3,0),"?")</f>
        <v>?</v>
      </c>
      <c r="C14" s="9" t="str">
        <f>_xlfn.IFNA(VLOOKUP($B$3&amp;ROWS($C$5:C14),Rosters!$B$2:$E$163,4,0),"")</f>
        <v/>
      </c>
      <c r="D14" s="9"/>
      <c r="E14" s="9">
        <v>0</v>
      </c>
      <c r="F14" s="9"/>
      <c r="G14" s="9"/>
      <c r="H14" s="9">
        <v>0</v>
      </c>
      <c r="I14" s="9"/>
      <c r="J14" s="9"/>
      <c r="K14" s="9">
        <v>0</v>
      </c>
      <c r="L14" s="9"/>
      <c r="M14" s="9"/>
      <c r="N14" s="9">
        <v>0</v>
      </c>
      <c r="O14" s="9"/>
      <c r="P14" s="9"/>
      <c r="Q14" s="9">
        <v>0</v>
      </c>
      <c r="R14" s="9"/>
      <c r="S14" s="9"/>
      <c r="T14" s="9">
        <v>0</v>
      </c>
      <c r="U14" s="9"/>
      <c r="V14" s="9"/>
      <c r="W14" s="9">
        <v>0</v>
      </c>
      <c r="X14" s="9"/>
      <c r="Y14" s="9"/>
      <c r="Z14" s="9"/>
    </row>
    <row r="15" spans="1:26" ht="15.75" customHeight="1" x14ac:dyDescent="0.2">
      <c r="A15" s="7" t="str">
        <f>_xlfn.IFNA(VLOOKUP($B$3&amp;ROWS($A$5:A15),Rosters!$B$2:$C$163,2,0),"?")</f>
        <v>?</v>
      </c>
      <c r="B15" s="7" t="str">
        <f>_xlfn.IFNA(VLOOKUP($B$3&amp;ROWS($B$5:B15),Rosters!$B$2:$D$163,3,0),"?")</f>
        <v>?</v>
      </c>
      <c r="C15" s="7" t="str">
        <f>_xlfn.IFNA(VLOOKUP($B$3&amp;ROWS($C$5:C15),Rosters!$B$2:$E$163,4,0),"")</f>
        <v/>
      </c>
      <c r="D15" s="7"/>
      <c r="E15" s="7">
        <v>0</v>
      </c>
      <c r="F15" s="7"/>
      <c r="G15" s="7"/>
      <c r="H15" s="7">
        <v>0</v>
      </c>
      <c r="I15" s="7"/>
      <c r="J15" s="7"/>
      <c r="K15" s="7">
        <v>0</v>
      </c>
      <c r="L15" s="7"/>
      <c r="M15" s="7"/>
      <c r="N15" s="7">
        <v>0</v>
      </c>
      <c r="O15" s="7"/>
      <c r="P15" s="7"/>
      <c r="Q15" s="7">
        <v>0</v>
      </c>
      <c r="R15" s="7"/>
      <c r="S15" s="7"/>
      <c r="T15" s="7">
        <v>0</v>
      </c>
      <c r="U15" s="7"/>
      <c r="V15" s="7"/>
      <c r="W15" s="7">
        <v>0</v>
      </c>
      <c r="X15" s="7"/>
      <c r="Y15" s="9"/>
      <c r="Z15" s="9"/>
    </row>
    <row r="16" spans="1:26" ht="15.75" customHeight="1" x14ac:dyDescent="0.2">
      <c r="A16" s="9" t="str">
        <f>_xlfn.IFNA(VLOOKUP($B$3&amp;ROWS($A$5:A16),Rosters!$B$2:$C$163,2,0),"?")</f>
        <v>?</v>
      </c>
      <c r="B16" s="9" t="str">
        <f>_xlfn.IFNA(VLOOKUP($B$3&amp;ROWS($B$5:B16),Rosters!$B$2:$D$163,3,0),"?")</f>
        <v>?</v>
      </c>
      <c r="C16" s="9" t="str">
        <f>_xlfn.IFNA(VLOOKUP($B$3&amp;ROWS($C$5:C16),Rosters!$B$2:$E$163,4,0),"")</f>
        <v/>
      </c>
      <c r="D16" s="9"/>
      <c r="E16" s="9">
        <v>0</v>
      </c>
      <c r="F16" s="9"/>
      <c r="G16" s="9"/>
      <c r="H16" s="9">
        <v>0</v>
      </c>
      <c r="I16" s="9"/>
      <c r="J16" s="9"/>
      <c r="K16" s="9">
        <v>0</v>
      </c>
      <c r="L16" s="9"/>
      <c r="M16" s="9"/>
      <c r="N16" s="9">
        <v>0</v>
      </c>
      <c r="O16" s="9"/>
      <c r="P16" s="9"/>
      <c r="Q16" s="9">
        <v>0</v>
      </c>
      <c r="R16" s="9"/>
      <c r="S16" s="9"/>
      <c r="T16" s="9">
        <v>0</v>
      </c>
      <c r="U16" s="9"/>
      <c r="V16" s="9"/>
      <c r="W16" s="9">
        <v>0</v>
      </c>
      <c r="X16" s="9"/>
      <c r="Y16" s="9"/>
      <c r="Z16" s="9"/>
    </row>
    <row r="17" spans="1:26" ht="15.75" customHeight="1" x14ac:dyDescent="0.2">
      <c r="A17" s="7" t="str">
        <f>_xlfn.IFNA(VLOOKUP($B$3&amp;ROWS($A$5:A17),Rosters!$B$2:$C$163,2,0),"?")</f>
        <v>?</v>
      </c>
      <c r="B17" s="7" t="str">
        <f>_xlfn.IFNA(VLOOKUP($B$3&amp;ROWS($B$5:B17),Rosters!$B$2:$D$163,3,0),"?")</f>
        <v>?</v>
      </c>
      <c r="C17" s="7" t="str">
        <f>_xlfn.IFNA(VLOOKUP($B$3&amp;ROWS($C$5:C17),Rosters!$B$2:$E$163,4,0),"")</f>
        <v/>
      </c>
      <c r="D17" s="7"/>
      <c r="E17" s="7">
        <v>0</v>
      </c>
      <c r="F17" s="7"/>
      <c r="G17" s="7"/>
      <c r="H17" s="7">
        <v>0</v>
      </c>
      <c r="I17" s="7"/>
      <c r="J17" s="7"/>
      <c r="K17" s="7">
        <v>0</v>
      </c>
      <c r="L17" s="7"/>
      <c r="M17" s="7"/>
      <c r="N17" s="7">
        <v>0</v>
      </c>
      <c r="O17" s="7"/>
      <c r="P17" s="7"/>
      <c r="Q17" s="7">
        <v>0</v>
      </c>
      <c r="R17" s="7"/>
      <c r="S17" s="7"/>
      <c r="T17" s="7">
        <v>0</v>
      </c>
      <c r="U17" s="7"/>
      <c r="V17" s="7"/>
      <c r="W17" s="7">
        <v>0</v>
      </c>
      <c r="X17" s="7"/>
      <c r="Y17" s="9"/>
      <c r="Z17" s="9"/>
    </row>
    <row r="18" spans="1:26" ht="15.75" customHeight="1" x14ac:dyDescent="0.2">
      <c r="A18" s="9" t="str">
        <f>_xlfn.IFNA(VLOOKUP($B$3&amp;ROWS($A$5:A18),Rosters!$B$2:$C$163,2,0),"?")</f>
        <v>?</v>
      </c>
      <c r="B18" s="9" t="str">
        <f>_xlfn.IFNA(VLOOKUP($B$3&amp;ROWS($B$5:B18),Rosters!$B$2:$D$163,3,0),"?")</f>
        <v>?</v>
      </c>
      <c r="C18" s="9" t="str">
        <f>_xlfn.IFNA(VLOOKUP($B$3&amp;ROWS($C$5:C18),Rosters!$B$2:$E$163,4,0),"")</f>
        <v/>
      </c>
      <c r="D18" s="9"/>
      <c r="E18" s="9">
        <v>0</v>
      </c>
      <c r="F18" s="9"/>
      <c r="G18" s="9"/>
      <c r="H18" s="9">
        <v>0</v>
      </c>
      <c r="I18" s="9"/>
      <c r="J18" s="9"/>
      <c r="K18" s="9">
        <v>0</v>
      </c>
      <c r="L18" s="9"/>
      <c r="M18" s="9"/>
      <c r="N18" s="9">
        <v>0</v>
      </c>
      <c r="O18" s="9"/>
      <c r="P18" s="9"/>
      <c r="Q18" s="9">
        <v>0</v>
      </c>
      <c r="R18" s="9"/>
      <c r="S18" s="9"/>
      <c r="T18" s="9">
        <v>0</v>
      </c>
      <c r="U18" s="9"/>
      <c r="V18" s="9"/>
      <c r="W18" s="9">
        <v>0</v>
      </c>
      <c r="X18" s="9"/>
      <c r="Y18" s="9"/>
      <c r="Z18" s="9"/>
    </row>
    <row r="19" spans="1:26" ht="15.75" customHeight="1" x14ac:dyDescent="0.2">
      <c r="A19" s="7" t="str">
        <f>_xlfn.IFNA(VLOOKUP($B$3&amp;ROWS($A$5:A19),Rosters!$B$2:$C$163,2,0),"?")</f>
        <v>?</v>
      </c>
      <c r="B19" s="7" t="str">
        <f>_xlfn.IFNA(VLOOKUP($B$3&amp;ROWS($B$5:B19),Rosters!$B$2:$D$163,3,0),"?")</f>
        <v>?</v>
      </c>
      <c r="C19" s="7" t="str">
        <f>_xlfn.IFNA(VLOOKUP($B$3&amp;ROWS($C$5:C19),Rosters!$B$2:$E$163,4,0),"")</f>
        <v/>
      </c>
      <c r="D19" s="7"/>
      <c r="E19" s="7">
        <v>0</v>
      </c>
      <c r="F19" s="7"/>
      <c r="G19" s="7"/>
      <c r="H19" s="7">
        <v>0</v>
      </c>
      <c r="I19" s="7"/>
      <c r="J19" s="7"/>
      <c r="K19" s="7">
        <v>0</v>
      </c>
      <c r="L19" s="7"/>
      <c r="M19" s="7"/>
      <c r="N19" s="7">
        <v>0</v>
      </c>
      <c r="O19" s="7"/>
      <c r="P19" s="7"/>
      <c r="Q19" s="7">
        <v>0</v>
      </c>
      <c r="R19" s="7"/>
      <c r="S19" s="7"/>
      <c r="T19" s="7">
        <v>0</v>
      </c>
      <c r="U19" s="7"/>
      <c r="V19" s="7"/>
      <c r="W19" s="7">
        <v>0</v>
      </c>
      <c r="X19" s="7"/>
      <c r="Y19" s="9"/>
      <c r="Z19" s="9"/>
    </row>
    <row r="20" spans="1:26" ht="15.75" customHeight="1" x14ac:dyDescent="0.2">
      <c r="A20" s="9"/>
      <c r="B20" s="9"/>
      <c r="C20" s="9"/>
      <c r="D20" s="9"/>
      <c r="E20" s="9">
        <f>SUM(E5:E19)</f>
        <v>46</v>
      </c>
      <c r="F20" s="9"/>
      <c r="G20" s="9"/>
      <c r="H20" s="9">
        <f>SUM(H5:H19)</f>
        <v>27</v>
      </c>
      <c r="I20" s="9"/>
      <c r="J20" s="9"/>
      <c r="K20" s="9">
        <f>SUM(K5:K19)</f>
        <v>34</v>
      </c>
      <c r="L20" s="9"/>
      <c r="M20" s="9"/>
      <c r="N20" s="9">
        <f>SUM(N5:N19)</f>
        <v>9</v>
      </c>
      <c r="O20" s="9"/>
      <c r="P20" s="9"/>
      <c r="Q20" s="9">
        <f>SUM(Q5:Q19)</f>
        <v>11</v>
      </c>
      <c r="R20" s="9"/>
      <c r="S20" s="9"/>
      <c r="T20" s="9">
        <f>SUM(T5:T19)</f>
        <v>6</v>
      </c>
      <c r="U20" s="9"/>
      <c r="V20" s="9"/>
      <c r="W20" s="9">
        <f>SUM(W5:W19)</f>
        <v>0</v>
      </c>
      <c r="X20" s="9"/>
      <c r="Y20" s="9"/>
      <c r="Z20" s="9"/>
    </row>
    <row r="21" spans="1:26" ht="15.75" customHeight="1" x14ac:dyDescent="0.2">
      <c r="A21" s="1" t="s">
        <v>24</v>
      </c>
      <c r="B21" s="6" t="s">
        <v>25</v>
      </c>
    </row>
    <row r="22" spans="1:26" ht="15.75" customHeight="1" x14ac:dyDescent="0.2">
      <c r="A22" s="2" t="s">
        <v>2</v>
      </c>
      <c r="B22" s="2" t="s">
        <v>3</v>
      </c>
      <c r="C22" s="2" t="s">
        <v>4</v>
      </c>
      <c r="E22" s="2" t="s">
        <v>18</v>
      </c>
      <c r="H22" s="2" t="s">
        <v>19</v>
      </c>
      <c r="K22" s="2" t="s">
        <v>20</v>
      </c>
      <c r="N22" s="2" t="s">
        <v>21</v>
      </c>
      <c r="Q22" s="2" t="s">
        <v>22</v>
      </c>
      <c r="T22" s="2" t="s">
        <v>23</v>
      </c>
      <c r="W22" s="2" t="s">
        <v>9</v>
      </c>
    </row>
    <row r="23" spans="1:26" ht="15.75" customHeight="1" x14ac:dyDescent="0.2">
      <c r="A23" s="7" t="str">
        <f>_xlfn.IFNA(VLOOKUP($B$21&amp;ROWS($A$23:A23),Rosters!$B$2:$C$163,2,0),"?")</f>
        <v>Andre</v>
      </c>
      <c r="B23" s="7" t="str">
        <f>_xlfn.IFNA(VLOOKUP($B$21&amp;ROWS($B$23:B23),Rosters!$B$2:$D$163,3,0),"?")</f>
        <v>Mulibea</v>
      </c>
      <c r="C23" s="7">
        <f>_xlfn.IFNA(VLOOKUP($B$21&amp;ROWS($C$23:C23),Rosters!$B$2:$E$163,4,0),"")</f>
        <v>34</v>
      </c>
      <c r="D23" s="7"/>
      <c r="E23" s="8">
        <v>4</v>
      </c>
      <c r="F23" s="7"/>
      <c r="G23" s="7"/>
      <c r="H23" s="8">
        <v>4</v>
      </c>
      <c r="I23" s="7"/>
      <c r="J23" s="7"/>
      <c r="K23" s="8">
        <v>13</v>
      </c>
      <c r="L23" s="7"/>
      <c r="M23" s="7"/>
      <c r="N23" s="8">
        <v>3</v>
      </c>
      <c r="O23" s="7"/>
      <c r="P23" s="7"/>
      <c r="Q23" s="7">
        <v>0</v>
      </c>
      <c r="R23" s="7"/>
      <c r="S23" s="7"/>
      <c r="T23" s="7">
        <v>0</v>
      </c>
      <c r="U23" s="7"/>
      <c r="V23" s="7"/>
      <c r="W23" s="7">
        <v>0</v>
      </c>
      <c r="X23" s="7"/>
      <c r="Y23" s="9"/>
      <c r="Z23" s="9"/>
    </row>
    <row r="24" spans="1:26" ht="15.75" customHeight="1" x14ac:dyDescent="0.2">
      <c r="A24" s="2" t="str">
        <f>_xlfn.IFNA(VLOOKUP($B$21&amp;ROWS($A$23:A24),Rosters!$B$2:$C$163,2,0),"?")</f>
        <v>Jaxon</v>
      </c>
      <c r="B24" s="2" t="str">
        <f>_xlfn.IFNA(VLOOKUP($B$21&amp;ROWS($B$23:B24),Rosters!$B$2:$D$163,3,0),"?")</f>
        <v>Pollard</v>
      </c>
      <c r="C24" s="2">
        <f>_xlfn.IFNA(VLOOKUP($B$21&amp;ROWS($C$23:C24),Rosters!$B$2:$E$163,4,0),"")</f>
        <v>4</v>
      </c>
      <c r="D24" s="9"/>
      <c r="E24" s="10">
        <v>7</v>
      </c>
      <c r="F24" s="9"/>
      <c r="G24" s="9"/>
      <c r="H24" s="10">
        <v>3</v>
      </c>
      <c r="I24" s="9"/>
      <c r="J24" s="9"/>
      <c r="K24" s="10">
        <v>6</v>
      </c>
      <c r="L24" s="9"/>
      <c r="M24" s="9"/>
      <c r="N24" s="10">
        <v>2</v>
      </c>
      <c r="O24" s="9"/>
      <c r="P24" s="9"/>
      <c r="Q24" s="10">
        <v>2</v>
      </c>
      <c r="R24" s="9"/>
      <c r="S24" s="9"/>
      <c r="T24" s="10">
        <v>2</v>
      </c>
      <c r="U24" s="9"/>
      <c r="V24" s="9"/>
      <c r="W24" s="9">
        <v>0</v>
      </c>
      <c r="X24" s="9"/>
    </row>
    <row r="25" spans="1:26" ht="15.75" customHeight="1" x14ac:dyDescent="0.2">
      <c r="A25" s="7" t="str">
        <f>_xlfn.IFNA(VLOOKUP($B$21&amp;ROWS($A$23:A25),Rosters!$B$2:$C$163,2,0),"?")</f>
        <v>Tyson</v>
      </c>
      <c r="B25" s="7" t="str">
        <f>_xlfn.IFNA(VLOOKUP($B$21&amp;ROWS($B$23:B25),Rosters!$B$2:$D$163,3,0),"?")</f>
        <v>Garff</v>
      </c>
      <c r="C25" s="7">
        <f>_xlfn.IFNA(VLOOKUP($B$21&amp;ROWS($C$23:C25),Rosters!$B$2:$E$163,4,0),"")</f>
        <v>21</v>
      </c>
      <c r="D25" s="7"/>
      <c r="E25" s="8">
        <v>3</v>
      </c>
      <c r="F25" s="7"/>
      <c r="G25" s="7"/>
      <c r="H25" s="8">
        <v>1</v>
      </c>
      <c r="I25" s="7"/>
      <c r="J25" s="7"/>
      <c r="K25" s="8">
        <v>7</v>
      </c>
      <c r="L25" s="7"/>
      <c r="M25" s="7"/>
      <c r="N25" s="8">
        <v>3</v>
      </c>
      <c r="O25" s="7"/>
      <c r="P25" s="7"/>
      <c r="Q25" s="8">
        <v>6</v>
      </c>
      <c r="R25" s="7"/>
      <c r="S25" s="7"/>
      <c r="T25" s="8">
        <v>3</v>
      </c>
      <c r="U25" s="7"/>
      <c r="V25" s="7"/>
      <c r="W25" s="7">
        <v>0</v>
      </c>
      <c r="X25" s="7"/>
      <c r="Y25" s="9"/>
      <c r="Z25" s="9"/>
    </row>
    <row r="26" spans="1:26" ht="15.75" customHeight="1" x14ac:dyDescent="0.2">
      <c r="A26" s="2" t="str">
        <f>_xlfn.IFNA(VLOOKUP($B$21&amp;ROWS($A$23:A26),Rosters!$B$2:$C$163,2,0),"?")</f>
        <v>Tanner</v>
      </c>
      <c r="B26" s="2" t="str">
        <f>_xlfn.IFNA(VLOOKUP($B$21&amp;ROWS($B$23:B26),Rosters!$B$2:$D$163,3,0),"?")</f>
        <v>Cuff</v>
      </c>
      <c r="C26" s="2">
        <f>_xlfn.IFNA(VLOOKUP($B$21&amp;ROWS($C$23:C26),Rosters!$B$2:$E$163,4,0),"")</f>
        <v>87</v>
      </c>
      <c r="D26" s="9"/>
      <c r="E26" s="9">
        <v>0</v>
      </c>
      <c r="F26" s="9"/>
      <c r="G26" s="9"/>
      <c r="H26" s="9">
        <v>0</v>
      </c>
      <c r="I26" s="9"/>
      <c r="J26" s="9"/>
      <c r="K26" s="9">
        <v>0</v>
      </c>
      <c r="L26" s="9"/>
      <c r="M26" s="9"/>
      <c r="N26" s="9">
        <v>0</v>
      </c>
      <c r="O26" s="9"/>
      <c r="P26" s="9"/>
      <c r="Q26" s="9">
        <v>0</v>
      </c>
      <c r="R26" s="9"/>
      <c r="S26" s="9"/>
      <c r="T26" s="9">
        <v>0</v>
      </c>
      <c r="U26" s="9"/>
      <c r="V26" s="9"/>
      <c r="W26" s="9">
        <v>0</v>
      </c>
      <c r="X26" s="9"/>
    </row>
    <row r="27" spans="1:26" ht="15.75" customHeight="1" x14ac:dyDescent="0.2">
      <c r="A27" s="7" t="str">
        <f>_xlfn.IFNA(VLOOKUP($B$21&amp;ROWS($A$23:A27),Rosters!$B$2:$C$163,2,0),"?")</f>
        <v>Brady</v>
      </c>
      <c r="B27" s="7" t="str">
        <f>_xlfn.IFNA(VLOOKUP($B$21&amp;ROWS($B$23:B27),Rosters!$B$2:$D$163,3,0),"?")</f>
        <v>Smith</v>
      </c>
      <c r="C27" s="7">
        <f>_xlfn.IFNA(VLOOKUP($B$21&amp;ROWS($C$23:C27),Rosters!$B$2:$E$163,4,0),"")</f>
        <v>23</v>
      </c>
      <c r="D27" s="7"/>
      <c r="E27" s="8">
        <v>4</v>
      </c>
      <c r="F27" s="7"/>
      <c r="G27" s="7"/>
      <c r="H27" s="8">
        <v>2</v>
      </c>
      <c r="I27" s="7"/>
      <c r="J27" s="7"/>
      <c r="K27" s="8">
        <v>2</v>
      </c>
      <c r="L27" s="7"/>
      <c r="M27" s="7"/>
      <c r="N27" s="7">
        <v>0</v>
      </c>
      <c r="O27" s="7"/>
      <c r="P27" s="7"/>
      <c r="Q27" s="8">
        <v>2</v>
      </c>
      <c r="R27" s="7"/>
      <c r="S27" s="7"/>
      <c r="T27" s="8">
        <v>2</v>
      </c>
      <c r="U27" s="7"/>
      <c r="V27" s="7"/>
      <c r="W27" s="7">
        <v>0</v>
      </c>
      <c r="X27" s="7"/>
      <c r="Y27" s="9"/>
      <c r="Z27" s="9"/>
    </row>
    <row r="28" spans="1:26" ht="15.75" customHeight="1" x14ac:dyDescent="0.2">
      <c r="A28" s="2" t="str">
        <f>_xlfn.IFNA(VLOOKUP($B$21&amp;ROWS($A$23:A28),Rosters!$B$2:$C$163,2,0),"?")</f>
        <v>Nick</v>
      </c>
      <c r="B28" s="2" t="str">
        <f>_xlfn.IFNA(VLOOKUP($B$21&amp;ROWS($B$23:B28),Rosters!$B$2:$D$163,3,0),"?")</f>
        <v>Covington</v>
      </c>
      <c r="C28" s="2">
        <f>_xlfn.IFNA(VLOOKUP($B$21&amp;ROWS($C$23:C28),Rosters!$B$2:$E$163,4,0),"")</f>
        <v>2</v>
      </c>
      <c r="D28" s="9"/>
      <c r="E28" s="10">
        <v>4</v>
      </c>
      <c r="F28" s="9"/>
      <c r="G28" s="9"/>
      <c r="H28" s="10">
        <v>1</v>
      </c>
      <c r="I28" s="9"/>
      <c r="J28" s="9"/>
      <c r="K28" s="10">
        <v>4</v>
      </c>
      <c r="L28" s="9"/>
      <c r="M28" s="9"/>
      <c r="N28" s="10">
        <v>1</v>
      </c>
      <c r="O28" s="9"/>
      <c r="P28" s="9"/>
      <c r="Q28" s="10">
        <v>0</v>
      </c>
      <c r="R28" s="9"/>
      <c r="S28" s="9"/>
      <c r="T28" s="9">
        <v>0</v>
      </c>
      <c r="U28" s="9"/>
      <c r="V28" s="9"/>
      <c r="W28" s="9">
        <v>0</v>
      </c>
      <c r="X28" s="9"/>
    </row>
    <row r="29" spans="1:26" ht="15.75" customHeight="1" x14ac:dyDescent="0.2">
      <c r="A29" s="7" t="str">
        <f>_xlfn.IFNA(VLOOKUP($B$21&amp;ROWS($A$23:A29),Rosters!$B$2:$C$163,2,0),"?")</f>
        <v>Alejandro</v>
      </c>
      <c r="B29" s="7" t="str">
        <f>_xlfn.IFNA(VLOOKUP($B$21&amp;ROWS($B$23:B29),Rosters!$B$2:$D$163,3,0),"?")</f>
        <v>Vasquez</v>
      </c>
      <c r="C29" s="7">
        <f>_xlfn.IFNA(VLOOKUP($B$21&amp;ROWS($C$23:C29),Rosters!$B$2:$E$163,4,0),"")</f>
        <v>10</v>
      </c>
      <c r="D29" s="7"/>
      <c r="E29" s="8">
        <v>9</v>
      </c>
      <c r="F29" s="7"/>
      <c r="G29" s="7"/>
      <c r="H29" s="8">
        <v>5</v>
      </c>
      <c r="I29" s="7"/>
      <c r="J29" s="7"/>
      <c r="K29" s="8">
        <v>7</v>
      </c>
      <c r="L29" s="7"/>
      <c r="M29" s="7"/>
      <c r="N29" s="8">
        <v>2</v>
      </c>
      <c r="O29" s="7"/>
      <c r="P29" s="7"/>
      <c r="Q29" s="8">
        <v>2</v>
      </c>
      <c r="R29" s="7"/>
      <c r="S29" s="7"/>
      <c r="T29" s="7">
        <v>0</v>
      </c>
      <c r="U29" s="7"/>
      <c r="V29" s="7"/>
      <c r="W29" s="7">
        <v>0</v>
      </c>
      <c r="X29" s="7"/>
      <c r="Y29" s="9"/>
      <c r="Z29" s="9"/>
    </row>
    <row r="30" spans="1:26" ht="15.75" customHeight="1" x14ac:dyDescent="0.2">
      <c r="A30" s="2" t="str">
        <f>_xlfn.IFNA(VLOOKUP($B$21&amp;ROWS($A$23:A30),Rosters!$B$2:$C$163,2,0),"?")</f>
        <v>Jared</v>
      </c>
      <c r="B30" s="2" t="str">
        <f>_xlfn.IFNA(VLOOKUP($B$21&amp;ROWS($B$23:B30),Rosters!$B$2:$D$163,3,0),"?")</f>
        <v>Garcia</v>
      </c>
      <c r="C30" s="2">
        <f>_xlfn.IFNA(VLOOKUP($B$21&amp;ROWS($C$23:C30),Rosters!$B$2:$E$163,4,0),"")</f>
        <v>25</v>
      </c>
      <c r="D30" s="9"/>
      <c r="E30" s="10">
        <v>9</v>
      </c>
      <c r="F30" s="9"/>
      <c r="G30" s="9"/>
      <c r="H30" s="10">
        <v>3</v>
      </c>
      <c r="I30" s="9"/>
      <c r="J30" s="9"/>
      <c r="K30" s="10">
        <v>2</v>
      </c>
      <c r="L30" s="9"/>
      <c r="M30" s="9"/>
      <c r="N30" s="9">
        <v>0</v>
      </c>
      <c r="O30" s="9"/>
      <c r="P30" s="9"/>
      <c r="Q30" s="10">
        <v>5</v>
      </c>
      <c r="R30" s="9"/>
      <c r="S30" s="9"/>
      <c r="T30" s="10">
        <v>3</v>
      </c>
      <c r="U30" s="9"/>
      <c r="V30" s="9"/>
      <c r="W30" s="9">
        <v>0</v>
      </c>
      <c r="X30" s="9"/>
    </row>
    <row r="31" spans="1:26" ht="15.75" customHeight="1" x14ac:dyDescent="0.2">
      <c r="A31" s="7" t="str">
        <f>_xlfn.IFNA(VLOOKUP($B$21&amp;ROWS($A$23:A31),Rosters!$B$2:$C$163,2,0),"?")</f>
        <v>Macea</v>
      </c>
      <c r="B31" s="7" t="str">
        <f>_xlfn.IFNA(VLOOKUP($B$21&amp;ROWS($B$23:B31),Rosters!$B$2:$D$163,3,0),"?")</f>
        <v>Austin</v>
      </c>
      <c r="C31" s="7">
        <f>_xlfn.IFNA(VLOOKUP($B$21&amp;ROWS($C$23:C31),Rosters!$B$2:$E$163,4,0),"")</f>
        <v>3</v>
      </c>
      <c r="D31" s="7"/>
      <c r="E31" s="8">
        <v>2</v>
      </c>
      <c r="F31" s="7"/>
      <c r="G31" s="7"/>
      <c r="H31" s="7">
        <v>0</v>
      </c>
      <c r="I31" s="7"/>
      <c r="J31" s="7"/>
      <c r="K31" s="8">
        <v>4</v>
      </c>
      <c r="L31" s="7"/>
      <c r="M31" s="7"/>
      <c r="N31" s="8">
        <v>1</v>
      </c>
      <c r="O31" s="7"/>
      <c r="P31" s="7"/>
      <c r="Q31" s="8">
        <v>2</v>
      </c>
      <c r="R31" s="7"/>
      <c r="S31" s="7"/>
      <c r="T31" s="8">
        <v>2</v>
      </c>
      <c r="U31" s="7"/>
      <c r="V31" s="7"/>
      <c r="W31" s="7">
        <v>0</v>
      </c>
      <c r="X31" s="7"/>
      <c r="Y31" s="9"/>
      <c r="Z31" s="9"/>
    </row>
    <row r="32" spans="1:26" ht="15.75" customHeight="1" x14ac:dyDescent="0.2">
      <c r="A32" s="2" t="str">
        <f>_xlfn.IFNA(VLOOKUP($B$21&amp;ROWS($A$23:A32),Rosters!$B$2:$C$163,2,0),"?")</f>
        <v>Austin</v>
      </c>
      <c r="B32" s="2" t="str">
        <f>_xlfn.IFNA(VLOOKUP($B$21&amp;ROWS($B$23:B32),Rosters!$B$2:$D$163,3,0),"?")</f>
        <v>Hayhurst</v>
      </c>
      <c r="C32" s="2">
        <f>_xlfn.IFNA(VLOOKUP($B$21&amp;ROWS($C$23:C32),Rosters!$B$2:$E$163,4,0),"")</f>
        <v>33</v>
      </c>
      <c r="D32" s="9"/>
      <c r="E32" s="9">
        <v>0</v>
      </c>
      <c r="F32" s="9"/>
      <c r="G32" s="9"/>
      <c r="H32" s="9">
        <v>0</v>
      </c>
      <c r="I32" s="9"/>
      <c r="J32" s="9"/>
      <c r="K32" s="9">
        <v>0</v>
      </c>
      <c r="L32" s="9"/>
      <c r="M32" s="9"/>
      <c r="N32" s="9">
        <v>0</v>
      </c>
      <c r="O32" s="9"/>
      <c r="P32" s="9"/>
      <c r="Q32" s="9">
        <v>0</v>
      </c>
      <c r="R32" s="9"/>
      <c r="S32" s="9"/>
      <c r="T32" s="9">
        <v>0</v>
      </c>
      <c r="U32" s="9"/>
      <c r="V32" s="9"/>
      <c r="W32" s="9">
        <v>0</v>
      </c>
      <c r="X32" s="9"/>
    </row>
    <row r="33" spans="1:26" ht="15.75" customHeight="1" x14ac:dyDescent="0.2">
      <c r="A33" s="7" t="str">
        <f>_xlfn.IFNA(VLOOKUP($B$21&amp;ROWS($A$23:A33),Rosters!$B$2:$C$163,2,0),"?")</f>
        <v>Dwayne</v>
      </c>
      <c r="B33" s="7" t="str">
        <f>_xlfn.IFNA(VLOOKUP($B$21&amp;ROWS($B$23:B33),Rosters!$B$2:$D$163,3,0),"?")</f>
        <v>Koroma</v>
      </c>
      <c r="C33" s="7">
        <f>_xlfn.IFNA(VLOOKUP($B$21&amp;ROWS($C$23:C33),Rosters!$B$2:$E$163,4,0),"")</f>
        <v>16</v>
      </c>
      <c r="D33" s="7"/>
      <c r="E33" s="8">
        <v>5</v>
      </c>
      <c r="F33" s="7"/>
      <c r="G33" s="7"/>
      <c r="H33" s="8">
        <v>4</v>
      </c>
      <c r="I33" s="7"/>
      <c r="J33" s="7"/>
      <c r="K33" s="7">
        <v>0</v>
      </c>
      <c r="L33" s="7"/>
      <c r="M33" s="7"/>
      <c r="N33" s="7">
        <v>0</v>
      </c>
      <c r="O33" s="7"/>
      <c r="P33" s="7"/>
      <c r="Q33" s="8">
        <v>2</v>
      </c>
      <c r="R33" s="7"/>
      <c r="S33" s="7"/>
      <c r="T33" s="8">
        <v>1</v>
      </c>
      <c r="U33" s="7"/>
      <c r="V33" s="7"/>
      <c r="W33" s="7">
        <v>0</v>
      </c>
      <c r="X33" s="7"/>
      <c r="Y33" s="9"/>
      <c r="Z33" s="9"/>
    </row>
    <row r="34" spans="1:26" ht="15.75" customHeight="1" x14ac:dyDescent="0.2">
      <c r="A34" s="2" t="str">
        <f>_xlfn.IFNA(VLOOKUP($B$21&amp;ROWS($A$23:A34),Rosters!$B$2:$C$163,2,0),"?")</f>
        <v>Jaxon</v>
      </c>
      <c r="B34" s="2" t="str">
        <f>_xlfn.IFNA(VLOOKUP($B$21&amp;ROWS($B$23:B34),Rosters!$B$2:$D$163,3,0),"?")</f>
        <v>Heiden</v>
      </c>
      <c r="C34" s="2">
        <f>_xlfn.IFNA(VLOOKUP($B$21&amp;ROWS($C$23:C34),Rosters!$B$2:$E$163,4,0),"")</f>
        <v>14</v>
      </c>
      <c r="D34" s="9"/>
      <c r="E34" s="10">
        <v>2</v>
      </c>
      <c r="F34" s="9"/>
      <c r="G34" s="9"/>
      <c r="H34" s="10">
        <v>1</v>
      </c>
      <c r="I34" s="9"/>
      <c r="J34" s="9"/>
      <c r="K34" s="9">
        <v>0</v>
      </c>
      <c r="L34" s="9"/>
      <c r="M34" s="9"/>
      <c r="N34" s="9">
        <v>0</v>
      </c>
      <c r="O34" s="9"/>
      <c r="P34" s="9"/>
      <c r="Q34" s="10">
        <v>2</v>
      </c>
      <c r="R34" s="9"/>
      <c r="S34" s="9"/>
      <c r="T34" s="10">
        <v>2</v>
      </c>
      <c r="U34" s="9"/>
      <c r="V34" s="9"/>
      <c r="W34" s="9">
        <v>0</v>
      </c>
      <c r="X34" s="9"/>
    </row>
    <row r="35" spans="1:26" ht="15.75" customHeight="1" x14ac:dyDescent="0.2">
      <c r="A35" s="7" t="str">
        <f>_xlfn.IFNA(VLOOKUP($B$21&amp;ROWS($A$23:A35),Rosters!$B$2:$C$163,2,0),"?")</f>
        <v>?</v>
      </c>
      <c r="B35" s="7" t="str">
        <f>_xlfn.IFNA(VLOOKUP($B$21&amp;ROWS($B$23:B35),Rosters!$B$2:$D$163,3,0),"?")</f>
        <v>?</v>
      </c>
      <c r="C35" s="7" t="str">
        <f>_xlfn.IFNA(VLOOKUP($B$21&amp;ROWS($C$23:C35),Rosters!$B$2:$E$163,4,0),"")</f>
        <v/>
      </c>
      <c r="D35" s="7"/>
      <c r="E35" s="7">
        <v>0</v>
      </c>
      <c r="F35" s="7"/>
      <c r="G35" s="7"/>
      <c r="H35" s="7">
        <v>0</v>
      </c>
      <c r="I35" s="7"/>
      <c r="J35" s="7"/>
      <c r="K35" s="7">
        <v>0</v>
      </c>
      <c r="L35" s="7"/>
      <c r="M35" s="7"/>
      <c r="N35" s="7">
        <v>0</v>
      </c>
      <c r="O35" s="7"/>
      <c r="P35" s="7"/>
      <c r="Q35" s="7">
        <v>0</v>
      </c>
      <c r="R35" s="7"/>
      <c r="S35" s="7"/>
      <c r="T35" s="7">
        <v>0</v>
      </c>
      <c r="U35" s="7"/>
      <c r="V35" s="7"/>
      <c r="W35" s="7">
        <v>0</v>
      </c>
      <c r="X35" s="7"/>
      <c r="Y35" s="9"/>
      <c r="Z35" s="9"/>
    </row>
    <row r="36" spans="1:26" ht="15.75" customHeight="1" x14ac:dyDescent="0.2">
      <c r="A36" s="2" t="str">
        <f>_xlfn.IFNA(VLOOKUP($B$21&amp;ROWS($A$23:A36),Rosters!$B$2:$C$163,2,0),"?")</f>
        <v>?</v>
      </c>
      <c r="B36" s="2" t="str">
        <f>_xlfn.IFNA(VLOOKUP($B$21&amp;ROWS($B$23:B36),Rosters!$B$2:$D$163,3,0),"?")</f>
        <v>?</v>
      </c>
      <c r="C36" s="2" t="str">
        <f>_xlfn.IFNA(VLOOKUP($B$21&amp;ROWS($C$23:C36),Rosters!$B$2:$E$163,4,0),"")</f>
        <v/>
      </c>
      <c r="D36" s="9"/>
      <c r="E36" s="9">
        <v>0</v>
      </c>
      <c r="F36" s="9"/>
      <c r="G36" s="9"/>
      <c r="H36" s="9">
        <v>0</v>
      </c>
      <c r="I36" s="9"/>
      <c r="J36" s="9"/>
      <c r="K36" s="9">
        <v>0</v>
      </c>
      <c r="L36" s="9"/>
      <c r="M36" s="9"/>
      <c r="N36" s="9">
        <v>0</v>
      </c>
      <c r="O36" s="9"/>
      <c r="P36" s="9"/>
      <c r="Q36" s="9">
        <v>0</v>
      </c>
      <c r="R36" s="9"/>
      <c r="S36" s="9"/>
      <c r="T36" s="9">
        <v>0</v>
      </c>
      <c r="U36" s="9"/>
      <c r="V36" s="9"/>
      <c r="W36" s="9">
        <v>0</v>
      </c>
      <c r="X36" s="9"/>
    </row>
    <row r="37" spans="1:26" ht="15.75" customHeight="1" x14ac:dyDescent="0.2">
      <c r="A37" s="7" t="str">
        <f>_xlfn.IFNA(VLOOKUP($B$21&amp;ROWS($A$23:A37),Rosters!$B$2:$C$163,2,0),"?")</f>
        <v>?</v>
      </c>
      <c r="B37" s="7" t="str">
        <f>_xlfn.IFNA(VLOOKUP($B$21&amp;ROWS($B$23:B37),Rosters!$B$2:$D$163,3,0),"?")</f>
        <v>?</v>
      </c>
      <c r="C37" s="7" t="str">
        <f>_xlfn.IFNA(VLOOKUP($B$21&amp;ROWS($C$23:C37),Rosters!$B$2:$E$163,4,0),"")</f>
        <v/>
      </c>
      <c r="D37" s="7"/>
      <c r="E37" s="7">
        <v>0</v>
      </c>
      <c r="F37" s="7"/>
      <c r="G37" s="7"/>
      <c r="H37" s="7">
        <v>0</v>
      </c>
      <c r="I37" s="7"/>
      <c r="J37" s="7"/>
      <c r="K37" s="7">
        <v>0</v>
      </c>
      <c r="L37" s="7"/>
      <c r="M37" s="7"/>
      <c r="N37" s="7">
        <v>0</v>
      </c>
      <c r="O37" s="7"/>
      <c r="P37" s="7"/>
      <c r="Q37" s="7">
        <v>0</v>
      </c>
      <c r="R37" s="7"/>
      <c r="S37" s="7"/>
      <c r="T37" s="7">
        <v>0</v>
      </c>
      <c r="U37" s="7"/>
      <c r="V37" s="7"/>
      <c r="W37" s="7">
        <v>0</v>
      </c>
      <c r="X37" s="7"/>
      <c r="Y37" s="9"/>
      <c r="Z37" s="9"/>
    </row>
    <row r="38" spans="1:26" ht="15.75" customHeight="1" x14ac:dyDescent="0.2">
      <c r="E38" s="2">
        <f>SUM(E23:E37)</f>
        <v>49</v>
      </c>
      <c r="H38" s="2">
        <f>SUM(H23:H37)</f>
        <v>24</v>
      </c>
      <c r="K38" s="2">
        <f>SUM(K23:K37)</f>
        <v>45</v>
      </c>
      <c r="N38" s="2">
        <f>SUM(N23:N37)</f>
        <v>12</v>
      </c>
      <c r="Q38" s="2">
        <f>SUM(Q23:Q37)</f>
        <v>23</v>
      </c>
      <c r="T38" s="2">
        <f>SUM(T23:T37)</f>
        <v>15</v>
      </c>
      <c r="W38" s="2">
        <f>SUM(W23:W37)</f>
        <v>0</v>
      </c>
    </row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B3 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topLeftCell="A22"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26</v>
      </c>
      <c r="B1" s="11" t="s">
        <v>27</v>
      </c>
      <c r="C1" s="2" t="s">
        <v>2</v>
      </c>
      <c r="D1" s="2" t="s">
        <v>3</v>
      </c>
      <c r="E1" s="2" t="s">
        <v>28</v>
      </c>
      <c r="G1" s="11" t="s">
        <v>29</v>
      </c>
    </row>
    <row r="2" spans="1:7" ht="15.75" customHeight="1" x14ac:dyDescent="0.2">
      <c r="A2" s="2" t="s">
        <v>17</v>
      </c>
      <c r="B2" s="11" t="str">
        <f t="shared" ref="B2:B256" si="0">A2&amp;COUNTIF($A$2:$A2,A2)</f>
        <v>Team Egan1</v>
      </c>
      <c r="C2" s="2" t="s">
        <v>30</v>
      </c>
      <c r="D2" s="2" t="s">
        <v>31</v>
      </c>
      <c r="E2" s="2">
        <v>22</v>
      </c>
      <c r="G2" s="11" t="str">
        <f ca="1">IFERROR(__xludf.DUMMYFUNCTION("ARRAY_CONSTRAIN(ARRAYFORMULA(UNIQUE(A2:A100)), 5, 1)"),"Team Egan")</f>
        <v>Team Egan</v>
      </c>
    </row>
    <row r="3" spans="1:7" ht="15.75" customHeight="1" x14ac:dyDescent="0.2">
      <c r="A3" s="2" t="s">
        <v>17</v>
      </c>
      <c r="B3" s="11" t="str">
        <f t="shared" si="0"/>
        <v>Team Egan2</v>
      </c>
      <c r="C3" s="2" t="s">
        <v>32</v>
      </c>
      <c r="D3" s="2" t="s">
        <v>33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17</v>
      </c>
      <c r="B4" s="11" t="str">
        <f t="shared" si="0"/>
        <v>Team Egan3</v>
      </c>
      <c r="C4" s="2" t="s">
        <v>34</v>
      </c>
      <c r="D4" s="2" t="s">
        <v>35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17</v>
      </c>
      <c r="B5" s="11" t="str">
        <f t="shared" si="0"/>
        <v>Team Egan4</v>
      </c>
      <c r="C5" s="2" t="s">
        <v>36</v>
      </c>
      <c r="D5" s="2" t="s">
        <v>37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17</v>
      </c>
      <c r="B6" s="11" t="str">
        <f t="shared" si="0"/>
        <v>Team Egan5</v>
      </c>
      <c r="C6" s="2" t="s">
        <v>38</v>
      </c>
      <c r="D6" s="2" t="s">
        <v>39</v>
      </c>
      <c r="E6" s="2">
        <v>15</v>
      </c>
      <c r="G6" s="11"/>
    </row>
    <row r="7" spans="1:7" ht="15.75" customHeight="1" x14ac:dyDescent="0.2">
      <c r="A7" s="2" t="s">
        <v>17</v>
      </c>
      <c r="B7" s="11" t="str">
        <f t="shared" si="0"/>
        <v>Team Egan6</v>
      </c>
      <c r="C7" s="2" t="s">
        <v>40</v>
      </c>
      <c r="D7" s="2" t="s">
        <v>41</v>
      </c>
      <c r="E7" s="2">
        <v>7</v>
      </c>
      <c r="G7" s="11"/>
    </row>
    <row r="8" spans="1:7" ht="15.75" customHeight="1" x14ac:dyDescent="0.2">
      <c r="A8" s="2" t="s">
        <v>17</v>
      </c>
      <c r="B8" s="11" t="str">
        <f t="shared" si="0"/>
        <v>Team Egan7</v>
      </c>
      <c r="C8" s="2" t="s">
        <v>42</v>
      </c>
      <c r="D8" s="2" t="s">
        <v>43</v>
      </c>
      <c r="E8" s="2">
        <v>4</v>
      </c>
      <c r="G8" s="11"/>
    </row>
    <row r="9" spans="1:7" ht="15.75" customHeight="1" x14ac:dyDescent="0.2">
      <c r="A9" s="2" t="s">
        <v>17</v>
      </c>
      <c r="B9" s="11" t="str">
        <f t="shared" si="0"/>
        <v>Team Egan8</v>
      </c>
      <c r="C9" s="2" t="s">
        <v>44</v>
      </c>
      <c r="D9" s="2" t="s">
        <v>45</v>
      </c>
      <c r="E9" s="2">
        <v>13</v>
      </c>
      <c r="G9" s="11"/>
    </row>
    <row r="10" spans="1:7" ht="15.75" customHeight="1" x14ac:dyDescent="0.2">
      <c r="A10" s="2" t="s">
        <v>17</v>
      </c>
      <c r="B10" s="11" t="str">
        <f t="shared" si="0"/>
        <v>Team Egan9</v>
      </c>
      <c r="C10" s="2" t="s">
        <v>46</v>
      </c>
      <c r="D10" s="2" t="s">
        <v>47</v>
      </c>
      <c r="E10" s="2">
        <v>21</v>
      </c>
      <c r="G10" s="11"/>
    </row>
    <row r="11" spans="1:7" ht="15.75" customHeight="1" x14ac:dyDescent="0.2">
      <c r="A11" s="2" t="s">
        <v>25</v>
      </c>
      <c r="B11" s="11" t="str">
        <f t="shared" si="0"/>
        <v>Team Covington1</v>
      </c>
      <c r="C11" s="2" t="s">
        <v>48</v>
      </c>
      <c r="D11" s="2" t="s">
        <v>49</v>
      </c>
      <c r="E11" s="2">
        <v>34</v>
      </c>
      <c r="G11" s="11"/>
    </row>
    <row r="12" spans="1:7" ht="15.75" customHeight="1" x14ac:dyDescent="0.2">
      <c r="A12" s="2" t="s">
        <v>25</v>
      </c>
      <c r="B12" s="11" t="str">
        <f t="shared" si="0"/>
        <v>Team Covington2</v>
      </c>
      <c r="C12" s="2" t="s">
        <v>50</v>
      </c>
      <c r="D12" s="2" t="s">
        <v>51</v>
      </c>
      <c r="E12" s="2">
        <v>4</v>
      </c>
      <c r="G12" s="11"/>
    </row>
    <row r="13" spans="1:7" ht="15.75" customHeight="1" x14ac:dyDescent="0.2">
      <c r="A13" s="2" t="s">
        <v>25</v>
      </c>
      <c r="B13" s="11" t="str">
        <f t="shared" si="0"/>
        <v>Team Covington3</v>
      </c>
      <c r="C13" s="2" t="s">
        <v>52</v>
      </c>
      <c r="D13" s="2" t="s">
        <v>53</v>
      </c>
      <c r="E13" s="2">
        <v>21</v>
      </c>
      <c r="G13" s="11"/>
    </row>
    <row r="14" spans="1:7" ht="15.75" customHeight="1" x14ac:dyDescent="0.2">
      <c r="A14" s="2" t="s">
        <v>25</v>
      </c>
      <c r="B14" s="11" t="str">
        <f t="shared" si="0"/>
        <v>Team Covington4</v>
      </c>
      <c r="C14" s="2" t="s">
        <v>54</v>
      </c>
      <c r="D14" s="2" t="s">
        <v>55</v>
      </c>
      <c r="E14" s="2">
        <v>87</v>
      </c>
      <c r="G14" s="11"/>
    </row>
    <row r="15" spans="1:7" ht="15.75" customHeight="1" x14ac:dyDescent="0.2">
      <c r="A15" s="2" t="s">
        <v>25</v>
      </c>
      <c r="B15" s="11" t="str">
        <f t="shared" si="0"/>
        <v>Team Covington5</v>
      </c>
      <c r="C15" s="2" t="s">
        <v>56</v>
      </c>
      <c r="D15" s="2" t="s">
        <v>57</v>
      </c>
      <c r="E15" s="2">
        <v>23</v>
      </c>
      <c r="G15" s="11"/>
    </row>
    <row r="16" spans="1:7" ht="15.75" customHeight="1" x14ac:dyDescent="0.2">
      <c r="A16" s="2" t="s">
        <v>25</v>
      </c>
      <c r="B16" s="11" t="str">
        <f t="shared" si="0"/>
        <v>Team Covington6</v>
      </c>
      <c r="C16" s="2" t="s">
        <v>58</v>
      </c>
      <c r="D16" s="2" t="s">
        <v>59</v>
      </c>
      <c r="E16" s="2">
        <v>2</v>
      </c>
      <c r="G16" s="11"/>
    </row>
    <row r="17" spans="1:7" ht="15.75" customHeight="1" x14ac:dyDescent="0.2">
      <c r="A17" s="2" t="s">
        <v>25</v>
      </c>
      <c r="B17" s="11" t="str">
        <f t="shared" si="0"/>
        <v>Team Covington7</v>
      </c>
      <c r="C17" s="2" t="s">
        <v>60</v>
      </c>
      <c r="D17" s="2" t="s">
        <v>61</v>
      </c>
      <c r="E17" s="2">
        <v>10</v>
      </c>
      <c r="G17" s="11"/>
    </row>
    <row r="18" spans="1:7" ht="15.75" customHeight="1" x14ac:dyDescent="0.2">
      <c r="A18" s="2" t="s">
        <v>25</v>
      </c>
      <c r="B18" s="11" t="str">
        <f t="shared" si="0"/>
        <v>Team Covington8</v>
      </c>
      <c r="C18" s="2" t="s">
        <v>62</v>
      </c>
      <c r="D18" s="2" t="s">
        <v>63</v>
      </c>
      <c r="E18" s="2">
        <v>25</v>
      </c>
      <c r="G18" s="11"/>
    </row>
    <row r="19" spans="1:7" ht="15.75" customHeight="1" x14ac:dyDescent="0.2">
      <c r="A19" s="2" t="s">
        <v>25</v>
      </c>
      <c r="B19" s="11" t="str">
        <f t="shared" si="0"/>
        <v>Team Covington9</v>
      </c>
      <c r="C19" s="2" t="s">
        <v>64</v>
      </c>
      <c r="D19" s="2" t="s">
        <v>65</v>
      </c>
      <c r="E19" s="2">
        <v>3</v>
      </c>
      <c r="G19" s="11"/>
    </row>
    <row r="20" spans="1:7" ht="15.75" customHeight="1" x14ac:dyDescent="0.2">
      <c r="A20" s="2" t="s">
        <v>25</v>
      </c>
      <c r="B20" s="11" t="str">
        <f t="shared" si="0"/>
        <v>Team Covington10</v>
      </c>
      <c r="C20" s="2" t="s">
        <v>65</v>
      </c>
      <c r="D20" s="2" t="s">
        <v>66</v>
      </c>
      <c r="E20" s="2">
        <v>33</v>
      </c>
      <c r="G20" s="11"/>
    </row>
    <row r="21" spans="1:7" ht="15.75" customHeight="1" x14ac:dyDescent="0.2">
      <c r="A21" s="2" t="s">
        <v>25</v>
      </c>
      <c r="B21" s="11" t="str">
        <f t="shared" si="0"/>
        <v>Team Covington11</v>
      </c>
      <c r="C21" s="2" t="s">
        <v>67</v>
      </c>
      <c r="D21" s="2" t="s">
        <v>68</v>
      </c>
      <c r="E21" s="2">
        <v>16</v>
      </c>
      <c r="G21" s="11"/>
    </row>
    <row r="22" spans="1:7" ht="15.75" customHeight="1" x14ac:dyDescent="0.2">
      <c r="A22" s="2" t="s">
        <v>25</v>
      </c>
      <c r="B22" s="11" t="str">
        <f t="shared" si="0"/>
        <v>Team Covington12</v>
      </c>
      <c r="C22" s="2" t="s">
        <v>50</v>
      </c>
      <c r="D22" s="2" t="s">
        <v>69</v>
      </c>
      <c r="E22" s="2">
        <v>14</v>
      </c>
      <c r="G22" s="11"/>
    </row>
    <row r="23" spans="1:7" ht="15.75" customHeight="1" x14ac:dyDescent="0.2">
      <c r="A23" s="2" t="s">
        <v>70</v>
      </c>
      <c r="B23" s="11" t="str">
        <f t="shared" si="0"/>
        <v>Team Drisdom1</v>
      </c>
      <c r="C23" s="2" t="s">
        <v>71</v>
      </c>
      <c r="D23" s="2" t="s">
        <v>72</v>
      </c>
      <c r="E23" s="2">
        <v>7</v>
      </c>
      <c r="G23" s="11"/>
    </row>
    <row r="24" spans="1:7" ht="15.75" customHeight="1" x14ac:dyDescent="0.2">
      <c r="A24" s="2" t="s">
        <v>70</v>
      </c>
      <c r="B24" s="11" t="str">
        <f t="shared" si="0"/>
        <v>Team Drisdom2</v>
      </c>
      <c r="C24" s="2" t="s">
        <v>73</v>
      </c>
      <c r="D24" s="2" t="s">
        <v>74</v>
      </c>
      <c r="E24" s="2">
        <v>5</v>
      </c>
      <c r="G24" s="11"/>
    </row>
    <row r="25" spans="1:7" ht="15.75" customHeight="1" x14ac:dyDescent="0.2">
      <c r="A25" s="2" t="s">
        <v>70</v>
      </c>
      <c r="B25" s="11" t="str">
        <f t="shared" si="0"/>
        <v>Team Drisdom3</v>
      </c>
      <c r="C25" s="2" t="s">
        <v>75</v>
      </c>
      <c r="D25" s="2" t="s">
        <v>57</v>
      </c>
      <c r="E25" s="2">
        <v>10</v>
      </c>
      <c r="G25" s="11"/>
    </row>
    <row r="26" spans="1:7" ht="15.75" customHeight="1" x14ac:dyDescent="0.2">
      <c r="A26" s="2" t="s">
        <v>70</v>
      </c>
      <c r="B26" s="11" t="str">
        <f t="shared" si="0"/>
        <v>Team Drisdom4</v>
      </c>
      <c r="C26" s="2" t="s">
        <v>76</v>
      </c>
      <c r="D26" s="2" t="s">
        <v>77</v>
      </c>
      <c r="E26" s="2">
        <v>11</v>
      </c>
      <c r="G26" s="11"/>
    </row>
    <row r="27" spans="1:7" ht="15.75" customHeight="1" x14ac:dyDescent="0.2">
      <c r="A27" s="2" t="s">
        <v>70</v>
      </c>
      <c r="B27" s="11" t="str">
        <f t="shared" si="0"/>
        <v>Team Drisdom5</v>
      </c>
      <c r="C27" s="2" t="s">
        <v>78</v>
      </c>
      <c r="D27" s="2" t="s">
        <v>77</v>
      </c>
      <c r="E27" s="2">
        <v>2</v>
      </c>
      <c r="G27" s="11"/>
    </row>
    <row r="28" spans="1:7" ht="15.75" customHeight="1" x14ac:dyDescent="0.2">
      <c r="A28" s="2" t="s">
        <v>70</v>
      </c>
      <c r="B28" s="11" t="str">
        <f t="shared" si="0"/>
        <v>Team Drisdom6</v>
      </c>
      <c r="C28" s="2" t="s">
        <v>62</v>
      </c>
      <c r="D28" s="2" t="s">
        <v>79</v>
      </c>
      <c r="E28" s="2">
        <v>0</v>
      </c>
      <c r="G28" s="11"/>
    </row>
    <row r="29" spans="1:7" ht="15.75" customHeight="1" x14ac:dyDescent="0.2">
      <c r="A29" s="2" t="s">
        <v>70</v>
      </c>
      <c r="B29" s="11" t="str">
        <f t="shared" si="0"/>
        <v>Team Drisdom7</v>
      </c>
      <c r="C29" s="2" t="s">
        <v>80</v>
      </c>
      <c r="D29" s="2" t="s">
        <v>72</v>
      </c>
      <c r="E29" s="2">
        <v>13</v>
      </c>
      <c r="G29" s="11"/>
    </row>
    <row r="30" spans="1:7" ht="15.75" customHeight="1" x14ac:dyDescent="0.2">
      <c r="A30" s="2" t="s">
        <v>70</v>
      </c>
      <c r="B30" s="11" t="str">
        <f t="shared" si="0"/>
        <v>Team Drisdom8</v>
      </c>
      <c r="C30" s="2" t="s">
        <v>81</v>
      </c>
      <c r="D30" s="2" t="s">
        <v>82</v>
      </c>
      <c r="E30" s="2">
        <v>1</v>
      </c>
      <c r="G30" s="11"/>
    </row>
    <row r="31" spans="1:7" ht="15.75" customHeight="1" x14ac:dyDescent="0.2">
      <c r="A31" s="2" t="s">
        <v>70</v>
      </c>
      <c r="B31" s="11" t="str">
        <f t="shared" si="0"/>
        <v>Team Drisdom9</v>
      </c>
      <c r="C31" s="2" t="s">
        <v>83</v>
      </c>
      <c r="D31" s="2" t="s">
        <v>84</v>
      </c>
      <c r="E31" s="2">
        <v>4</v>
      </c>
      <c r="G31" s="11"/>
    </row>
    <row r="32" spans="1:7" ht="15.75" customHeight="1" x14ac:dyDescent="0.2">
      <c r="A32" s="2" t="s">
        <v>70</v>
      </c>
      <c r="B32" s="11" t="str">
        <f t="shared" si="0"/>
        <v>Team Drisdom10</v>
      </c>
      <c r="C32" s="2" t="s">
        <v>85</v>
      </c>
      <c r="D32" s="2" t="s">
        <v>86</v>
      </c>
      <c r="E32" s="2">
        <v>6</v>
      </c>
      <c r="G32" s="11"/>
    </row>
    <row r="33" spans="1:7" ht="15.75" customHeight="1" x14ac:dyDescent="0.2">
      <c r="A33" s="2" t="s">
        <v>70</v>
      </c>
      <c r="B33" s="11" t="str">
        <f t="shared" si="0"/>
        <v>Team Drisdom11</v>
      </c>
      <c r="C33" s="2" t="s">
        <v>87</v>
      </c>
      <c r="D33" s="2" t="s">
        <v>88</v>
      </c>
      <c r="E33" s="2">
        <v>20</v>
      </c>
      <c r="G33" s="11"/>
    </row>
    <row r="34" spans="1:7" ht="15.75" customHeight="1" x14ac:dyDescent="0.2">
      <c r="A34" s="2" t="s">
        <v>89</v>
      </c>
      <c r="B34" s="11" t="str">
        <f t="shared" si="0"/>
        <v>Team Bullock1</v>
      </c>
      <c r="C34" s="2" t="s">
        <v>90</v>
      </c>
      <c r="D34" s="2" t="s">
        <v>91</v>
      </c>
      <c r="E34" s="2">
        <v>3</v>
      </c>
      <c r="G34" s="11"/>
    </row>
    <row r="35" spans="1:7" ht="15.75" customHeight="1" x14ac:dyDescent="0.2">
      <c r="A35" s="2" t="s">
        <v>89</v>
      </c>
      <c r="B35" s="11" t="str">
        <f t="shared" si="0"/>
        <v>Team Bullock2</v>
      </c>
      <c r="C35" s="2" t="s">
        <v>92</v>
      </c>
      <c r="D35" s="2" t="s">
        <v>93</v>
      </c>
      <c r="E35" s="2">
        <v>21</v>
      </c>
      <c r="G35" s="11"/>
    </row>
    <row r="36" spans="1:7" ht="15.75" customHeight="1" x14ac:dyDescent="0.2">
      <c r="A36" s="2" t="s">
        <v>89</v>
      </c>
      <c r="B36" s="11" t="str">
        <f t="shared" si="0"/>
        <v>Team Bullock3</v>
      </c>
      <c r="C36" s="2" t="s">
        <v>94</v>
      </c>
      <c r="D36" s="2" t="s">
        <v>95</v>
      </c>
      <c r="E36" s="2">
        <v>15</v>
      </c>
      <c r="G36" s="11"/>
    </row>
    <row r="37" spans="1:7" ht="15.75" customHeight="1" x14ac:dyDescent="0.2">
      <c r="A37" s="2" t="s">
        <v>89</v>
      </c>
      <c r="B37" s="11" t="str">
        <f t="shared" si="0"/>
        <v>Team Bullock4</v>
      </c>
      <c r="C37" s="2" t="s">
        <v>96</v>
      </c>
      <c r="D37" s="2" t="s">
        <v>97</v>
      </c>
      <c r="E37" s="2">
        <v>5</v>
      </c>
      <c r="G37" s="11"/>
    </row>
    <row r="38" spans="1:7" ht="15.75" customHeight="1" x14ac:dyDescent="0.2">
      <c r="A38" s="2" t="s">
        <v>89</v>
      </c>
      <c r="B38" s="11" t="str">
        <f t="shared" si="0"/>
        <v>Team Bullock5</v>
      </c>
      <c r="C38" s="2" t="s">
        <v>98</v>
      </c>
      <c r="D38" s="2" t="s">
        <v>99</v>
      </c>
      <c r="E38" s="2">
        <v>7</v>
      </c>
      <c r="G38" s="11"/>
    </row>
    <row r="39" spans="1:7" ht="15.75" customHeight="1" x14ac:dyDescent="0.2">
      <c r="A39" s="2" t="s">
        <v>89</v>
      </c>
      <c r="B39" s="11" t="str">
        <f t="shared" si="0"/>
        <v>Team Bullock6</v>
      </c>
      <c r="C39" s="2" t="s">
        <v>100</v>
      </c>
      <c r="D39" s="2" t="s">
        <v>101</v>
      </c>
      <c r="E39" s="2">
        <v>24</v>
      </c>
      <c r="G39" s="11"/>
    </row>
    <row r="40" spans="1:7" ht="15.75" customHeight="1" x14ac:dyDescent="0.2">
      <c r="A40" s="2" t="s">
        <v>89</v>
      </c>
      <c r="B40" s="11" t="str">
        <f t="shared" si="0"/>
        <v>Team Bullock7</v>
      </c>
      <c r="C40" s="2" t="s">
        <v>102</v>
      </c>
      <c r="D40" s="2" t="s">
        <v>103</v>
      </c>
      <c r="E40" s="2">
        <v>8</v>
      </c>
      <c r="G40" s="11"/>
    </row>
    <row r="41" spans="1:7" ht="15.75" customHeight="1" x14ac:dyDescent="0.2">
      <c r="A41" s="2" t="s">
        <v>89</v>
      </c>
      <c r="B41" s="11" t="str">
        <f t="shared" si="0"/>
        <v>Team Bullock8</v>
      </c>
      <c r="C41" s="2" t="s">
        <v>104</v>
      </c>
      <c r="D41" s="2" t="s">
        <v>105</v>
      </c>
      <c r="E41" s="2">
        <v>20</v>
      </c>
      <c r="G41" s="11"/>
    </row>
    <row r="42" spans="1:7" ht="15.75" customHeight="1" x14ac:dyDescent="0.2">
      <c r="A42" s="2" t="s">
        <v>89</v>
      </c>
      <c r="B42" s="11" t="str">
        <f t="shared" si="0"/>
        <v>Team Bullock9</v>
      </c>
      <c r="C42" s="2" t="s">
        <v>106</v>
      </c>
      <c r="D42" s="2" t="s">
        <v>107</v>
      </c>
      <c r="E42" s="2">
        <v>22</v>
      </c>
      <c r="G42" s="11"/>
    </row>
    <row r="43" spans="1:7" ht="15.75" customHeight="1" x14ac:dyDescent="0.2">
      <c r="A43" s="2" t="s">
        <v>89</v>
      </c>
      <c r="B43" s="11" t="str">
        <f t="shared" si="0"/>
        <v>Team Bullock10</v>
      </c>
      <c r="C43" s="2" t="s">
        <v>108</v>
      </c>
      <c r="D43" s="2" t="s">
        <v>109</v>
      </c>
      <c r="E43" s="2">
        <v>23</v>
      </c>
      <c r="G43" s="11"/>
    </row>
    <row r="44" spans="1:7" ht="15.75" customHeight="1" x14ac:dyDescent="0.2">
      <c r="A44" s="2" t="s">
        <v>89</v>
      </c>
      <c r="B44" s="11" t="str">
        <f t="shared" si="0"/>
        <v>Team Bullock11</v>
      </c>
      <c r="C44" s="2" t="s">
        <v>110</v>
      </c>
      <c r="D44" s="2" t="s">
        <v>111</v>
      </c>
      <c r="E44" s="2">
        <v>12</v>
      </c>
      <c r="G44" s="11"/>
    </row>
    <row r="45" spans="1:7" ht="15.75" customHeight="1" x14ac:dyDescent="0.2">
      <c r="A45" s="2" t="s">
        <v>89</v>
      </c>
      <c r="B45" s="11" t="str">
        <f t="shared" si="0"/>
        <v>Team Bullock12</v>
      </c>
      <c r="C45" s="2" t="s">
        <v>112</v>
      </c>
      <c r="D45" s="2" t="s">
        <v>113</v>
      </c>
      <c r="E45" s="2">
        <v>23</v>
      </c>
      <c r="G45" s="11"/>
    </row>
    <row r="46" spans="1:7" ht="15.75" customHeight="1" x14ac:dyDescent="0.2">
      <c r="B46" s="11" t="str">
        <f t="shared" si="0"/>
        <v>0</v>
      </c>
      <c r="G46" s="11"/>
    </row>
    <row r="47" spans="1:7" ht="15.75" customHeight="1" x14ac:dyDescent="0.2">
      <c r="B47" s="11" t="str">
        <f t="shared" si="0"/>
        <v>0</v>
      </c>
      <c r="G47" s="11"/>
    </row>
    <row r="48" spans="1:7" ht="15.75" customHeight="1" x14ac:dyDescent="0.2">
      <c r="B48" s="11" t="str">
        <f t="shared" si="0"/>
        <v>0</v>
      </c>
      <c r="G48" s="11"/>
    </row>
    <row r="49" spans="2:7" ht="15.75" customHeight="1" x14ac:dyDescent="0.2">
      <c r="B49" s="11" t="str">
        <f t="shared" si="0"/>
        <v>0</v>
      </c>
      <c r="G49" s="11"/>
    </row>
    <row r="50" spans="2:7" ht="15.75" customHeight="1" x14ac:dyDescent="0.2">
      <c r="B50" s="11" t="str">
        <f t="shared" si="0"/>
        <v>0</v>
      </c>
      <c r="G50" s="11"/>
    </row>
    <row r="51" spans="2:7" ht="15.75" customHeight="1" x14ac:dyDescent="0.2">
      <c r="B51" s="11" t="str">
        <f t="shared" si="0"/>
        <v>0</v>
      </c>
      <c r="G51" s="11"/>
    </row>
    <row r="52" spans="2:7" ht="15.75" customHeight="1" x14ac:dyDescent="0.2">
      <c r="B52" s="11" t="str">
        <f t="shared" si="0"/>
        <v>0</v>
      </c>
      <c r="G52" s="11"/>
    </row>
    <row r="53" spans="2:7" ht="15.75" customHeight="1" x14ac:dyDescent="0.2">
      <c r="B53" s="11" t="str">
        <f t="shared" si="0"/>
        <v>0</v>
      </c>
      <c r="G53" s="11"/>
    </row>
    <row r="54" spans="2:7" ht="15.75" customHeight="1" x14ac:dyDescent="0.2">
      <c r="B54" s="11" t="str">
        <f t="shared" si="0"/>
        <v>0</v>
      </c>
      <c r="G54" s="11"/>
    </row>
    <row r="55" spans="2:7" ht="15.75" customHeight="1" x14ac:dyDescent="0.2">
      <c r="B55" s="11" t="str">
        <f t="shared" si="0"/>
        <v>0</v>
      </c>
      <c r="G55" s="11"/>
    </row>
    <row r="56" spans="2:7" ht="15.75" customHeight="1" x14ac:dyDescent="0.2">
      <c r="B56" s="11" t="str">
        <f t="shared" si="0"/>
        <v>0</v>
      </c>
      <c r="G56" s="11"/>
    </row>
    <row r="57" spans="2:7" ht="15.75" customHeight="1" x14ac:dyDescent="0.2">
      <c r="B57" s="11" t="str">
        <f t="shared" si="0"/>
        <v>0</v>
      </c>
      <c r="G57" s="11"/>
    </row>
    <row r="58" spans="2:7" ht="15.75" customHeight="1" x14ac:dyDescent="0.2">
      <c r="B58" s="11" t="str">
        <f t="shared" si="0"/>
        <v>0</v>
      </c>
      <c r="G58" s="11"/>
    </row>
    <row r="59" spans="2:7" ht="15.75" customHeight="1" x14ac:dyDescent="0.2">
      <c r="B59" s="11" t="str">
        <f t="shared" si="0"/>
        <v>0</v>
      </c>
      <c r="G59" s="11"/>
    </row>
    <row r="60" spans="2:7" ht="15.75" customHeight="1" x14ac:dyDescent="0.2">
      <c r="B60" s="11" t="str">
        <f t="shared" si="0"/>
        <v>0</v>
      </c>
      <c r="G60" s="11"/>
    </row>
    <row r="61" spans="2:7" ht="15.75" customHeight="1" x14ac:dyDescent="0.2">
      <c r="B61" s="11" t="str">
        <f t="shared" si="0"/>
        <v>0</v>
      </c>
      <c r="G61" s="11"/>
    </row>
    <row r="62" spans="2:7" ht="15.75" customHeight="1" x14ac:dyDescent="0.2">
      <c r="B62" s="11" t="str">
        <f t="shared" si="0"/>
        <v>0</v>
      </c>
      <c r="G62" s="11"/>
    </row>
    <row r="63" spans="2:7" ht="15.75" customHeight="1" x14ac:dyDescent="0.2">
      <c r="B63" s="11" t="str">
        <f t="shared" si="0"/>
        <v>0</v>
      </c>
      <c r="G63" s="11"/>
    </row>
    <row r="64" spans="2:7" ht="15.75" customHeight="1" x14ac:dyDescent="0.2">
      <c r="B64" s="11" t="str">
        <f t="shared" si="0"/>
        <v>0</v>
      </c>
      <c r="G64" s="11"/>
    </row>
    <row r="65" spans="2:7" ht="15.75" customHeight="1" x14ac:dyDescent="0.2">
      <c r="B65" s="11" t="str">
        <f t="shared" si="0"/>
        <v>0</v>
      </c>
      <c r="G65" s="11"/>
    </row>
    <row r="66" spans="2:7" ht="15.75" customHeight="1" x14ac:dyDescent="0.2">
      <c r="B66" s="11" t="str">
        <f t="shared" si="0"/>
        <v>0</v>
      </c>
      <c r="E66" s="12"/>
      <c r="G66" s="11"/>
    </row>
    <row r="67" spans="2:7" ht="15.75" customHeight="1" x14ac:dyDescent="0.2">
      <c r="B67" s="11" t="str">
        <f t="shared" si="0"/>
        <v>0</v>
      </c>
      <c r="G67" s="11"/>
    </row>
    <row r="68" spans="2:7" ht="15.75" customHeight="1" x14ac:dyDescent="0.2">
      <c r="B68" s="11" t="str">
        <f t="shared" si="0"/>
        <v>0</v>
      </c>
      <c r="G68" s="11"/>
    </row>
    <row r="69" spans="2:7" ht="15.75" customHeight="1" x14ac:dyDescent="0.2">
      <c r="B69" s="11" t="str">
        <f t="shared" si="0"/>
        <v>0</v>
      </c>
      <c r="G69" s="11"/>
    </row>
    <row r="70" spans="2:7" ht="15.75" customHeight="1" x14ac:dyDescent="0.2">
      <c r="B70" s="11" t="str">
        <f t="shared" si="0"/>
        <v>0</v>
      </c>
      <c r="G70" s="11"/>
    </row>
    <row r="71" spans="2:7" ht="15.75" customHeight="1" x14ac:dyDescent="0.2">
      <c r="B71" s="11" t="str">
        <f t="shared" si="0"/>
        <v>0</v>
      </c>
      <c r="G71" s="11"/>
    </row>
    <row r="72" spans="2:7" ht="15.75" customHeight="1" x14ac:dyDescent="0.2">
      <c r="B72" s="11" t="str">
        <f t="shared" si="0"/>
        <v>0</v>
      </c>
      <c r="G72" s="11"/>
    </row>
    <row r="73" spans="2:7" ht="15.75" customHeight="1" x14ac:dyDescent="0.2">
      <c r="B73" s="11" t="str">
        <f t="shared" si="0"/>
        <v>0</v>
      </c>
      <c r="G73" s="11"/>
    </row>
    <row r="74" spans="2:7" ht="15.75" customHeight="1" x14ac:dyDescent="0.2">
      <c r="B74" s="11" t="str">
        <f t="shared" si="0"/>
        <v>0</v>
      </c>
      <c r="G74" s="11"/>
    </row>
    <row r="75" spans="2:7" ht="15.75" customHeight="1" x14ac:dyDescent="0.2">
      <c r="B75" s="11" t="str">
        <f t="shared" si="0"/>
        <v>0</v>
      </c>
      <c r="G75" s="11"/>
    </row>
    <row r="76" spans="2:7" ht="15.75" customHeight="1" x14ac:dyDescent="0.2">
      <c r="B76" s="11" t="str">
        <f t="shared" si="0"/>
        <v>0</v>
      </c>
      <c r="G76" s="11"/>
    </row>
    <row r="77" spans="2:7" ht="15.75" customHeight="1" x14ac:dyDescent="0.2">
      <c r="B77" s="11" t="str">
        <f t="shared" si="0"/>
        <v>0</v>
      </c>
      <c r="G77" s="11"/>
    </row>
    <row r="78" spans="2:7" ht="15.75" customHeight="1" x14ac:dyDescent="0.2">
      <c r="B78" s="11" t="str">
        <f t="shared" si="0"/>
        <v>0</v>
      </c>
      <c r="G78" s="11"/>
    </row>
    <row r="79" spans="2:7" ht="15.75" customHeight="1" x14ac:dyDescent="0.2">
      <c r="B79" s="11" t="str">
        <f t="shared" si="0"/>
        <v>0</v>
      </c>
      <c r="G79" s="11"/>
    </row>
    <row r="80" spans="2:7" ht="15.75" customHeight="1" x14ac:dyDescent="0.2">
      <c r="B80" s="11" t="str">
        <f t="shared" si="0"/>
        <v>0</v>
      </c>
      <c r="G80" s="11"/>
    </row>
    <row r="81" spans="2:7" ht="15.75" customHeight="1" x14ac:dyDescent="0.2">
      <c r="B81" s="11" t="str">
        <f t="shared" si="0"/>
        <v>0</v>
      </c>
      <c r="G81" s="11"/>
    </row>
    <row r="82" spans="2:7" ht="15.75" customHeight="1" x14ac:dyDescent="0.2">
      <c r="B82" s="11" t="str">
        <f t="shared" si="0"/>
        <v>0</v>
      </c>
      <c r="G82" s="11"/>
    </row>
    <row r="83" spans="2:7" ht="15.75" customHeight="1" x14ac:dyDescent="0.2">
      <c r="B83" s="11" t="str">
        <f t="shared" si="0"/>
        <v>0</v>
      </c>
      <c r="G83" s="11"/>
    </row>
    <row r="84" spans="2:7" ht="15.75" customHeight="1" x14ac:dyDescent="0.2">
      <c r="B84" s="11" t="str">
        <f t="shared" si="0"/>
        <v>0</v>
      </c>
      <c r="G84" s="11"/>
    </row>
    <row r="85" spans="2:7" ht="15.75" customHeight="1" x14ac:dyDescent="0.2">
      <c r="B85" s="11" t="str">
        <f t="shared" si="0"/>
        <v>0</v>
      </c>
      <c r="G85" s="11"/>
    </row>
    <row r="86" spans="2:7" ht="15.75" customHeight="1" x14ac:dyDescent="0.2">
      <c r="B86" s="11" t="str">
        <f t="shared" si="0"/>
        <v>0</v>
      </c>
      <c r="G86" s="11"/>
    </row>
    <row r="87" spans="2:7" ht="15.75" customHeight="1" x14ac:dyDescent="0.2">
      <c r="B87" s="11" t="str">
        <f t="shared" si="0"/>
        <v>0</v>
      </c>
      <c r="G87" s="11"/>
    </row>
    <row r="88" spans="2:7" ht="15.75" customHeight="1" x14ac:dyDescent="0.2">
      <c r="B88" s="11" t="str">
        <f t="shared" si="0"/>
        <v>0</v>
      </c>
      <c r="G88" s="11"/>
    </row>
    <row r="89" spans="2:7" ht="15.75" customHeight="1" x14ac:dyDescent="0.2">
      <c r="B89" s="11" t="str">
        <f t="shared" si="0"/>
        <v>0</v>
      </c>
      <c r="G89" s="11"/>
    </row>
    <row r="90" spans="2:7" ht="15.75" customHeight="1" x14ac:dyDescent="0.2">
      <c r="B90" s="11" t="str">
        <f t="shared" si="0"/>
        <v>0</v>
      </c>
      <c r="G90" s="11"/>
    </row>
    <row r="91" spans="2:7" ht="15.75" customHeight="1" x14ac:dyDescent="0.2">
      <c r="B91" s="11" t="str">
        <f t="shared" si="0"/>
        <v>0</v>
      </c>
      <c r="G91" s="11"/>
    </row>
    <row r="92" spans="2:7" ht="15.75" customHeight="1" x14ac:dyDescent="0.2">
      <c r="B92" s="11" t="str">
        <f t="shared" si="0"/>
        <v>0</v>
      </c>
      <c r="G92" s="11"/>
    </row>
    <row r="93" spans="2:7" ht="15.75" customHeight="1" x14ac:dyDescent="0.2">
      <c r="B93" s="11" t="str">
        <f t="shared" si="0"/>
        <v>0</v>
      </c>
      <c r="G93" s="11"/>
    </row>
    <row r="94" spans="2:7" ht="15.75" customHeight="1" x14ac:dyDescent="0.2">
      <c r="B94" s="11" t="str">
        <f t="shared" si="0"/>
        <v>0</v>
      </c>
      <c r="G94" s="11"/>
    </row>
    <row r="95" spans="2:7" ht="15.75" customHeight="1" x14ac:dyDescent="0.2">
      <c r="B95" s="11" t="str">
        <f t="shared" si="0"/>
        <v>0</v>
      </c>
      <c r="G95" s="11"/>
    </row>
    <row r="96" spans="2:7" ht="15.75" customHeight="1" x14ac:dyDescent="0.2">
      <c r="B96" s="11" t="str">
        <f t="shared" si="0"/>
        <v>0</v>
      </c>
      <c r="G96" s="11"/>
    </row>
    <row r="97" spans="2:7" ht="15.75" customHeight="1" x14ac:dyDescent="0.2">
      <c r="B97" s="11" t="str">
        <f t="shared" si="0"/>
        <v>0</v>
      </c>
      <c r="G97" s="11"/>
    </row>
    <row r="98" spans="2:7" ht="15.75" customHeight="1" x14ac:dyDescent="0.2">
      <c r="B98" s="11" t="str">
        <f t="shared" si="0"/>
        <v>0</v>
      </c>
      <c r="G98" s="11"/>
    </row>
    <row r="99" spans="2:7" ht="15.75" customHeight="1" x14ac:dyDescent="0.2">
      <c r="B99" s="11" t="str">
        <f t="shared" si="0"/>
        <v>0</v>
      </c>
      <c r="G99" s="11"/>
    </row>
    <row r="100" spans="2:7" ht="15.75" customHeight="1" x14ac:dyDescent="0.2">
      <c r="B100" s="11" t="str">
        <f t="shared" si="0"/>
        <v>0</v>
      </c>
      <c r="G100" s="11"/>
    </row>
    <row r="101" spans="2:7" ht="15.75" customHeight="1" x14ac:dyDescent="0.2">
      <c r="B101" s="11" t="str">
        <f t="shared" si="0"/>
        <v>0</v>
      </c>
      <c r="G101" s="11"/>
    </row>
    <row r="102" spans="2:7" ht="15.75" customHeight="1" x14ac:dyDescent="0.2">
      <c r="B102" s="11" t="str">
        <f t="shared" si="0"/>
        <v>0</v>
      </c>
      <c r="G102" s="11"/>
    </row>
    <row r="103" spans="2:7" ht="15.75" customHeight="1" x14ac:dyDescent="0.2">
      <c r="B103" s="11" t="str">
        <f t="shared" si="0"/>
        <v>0</v>
      </c>
      <c r="G103" s="11"/>
    </row>
    <row r="104" spans="2:7" ht="15.75" customHeight="1" x14ac:dyDescent="0.2">
      <c r="B104" s="11" t="str">
        <f t="shared" si="0"/>
        <v>0</v>
      </c>
      <c r="G104" s="11"/>
    </row>
    <row r="105" spans="2:7" ht="15.75" customHeight="1" x14ac:dyDescent="0.2">
      <c r="B105" s="11" t="str">
        <f t="shared" si="0"/>
        <v>0</v>
      </c>
      <c r="G105" s="11"/>
    </row>
    <row r="106" spans="2:7" ht="15.75" customHeight="1" x14ac:dyDescent="0.2">
      <c r="B106" s="11" t="str">
        <f t="shared" si="0"/>
        <v>0</v>
      </c>
      <c r="G106" s="11"/>
    </row>
    <row r="107" spans="2:7" ht="15.75" customHeight="1" x14ac:dyDescent="0.2">
      <c r="B107" s="11" t="str">
        <f t="shared" si="0"/>
        <v>0</v>
      </c>
      <c r="G107" s="11"/>
    </row>
    <row r="108" spans="2:7" ht="15.75" customHeight="1" x14ac:dyDescent="0.2">
      <c r="B108" s="11" t="str">
        <f t="shared" si="0"/>
        <v>0</v>
      </c>
      <c r="G108" s="11"/>
    </row>
    <row r="109" spans="2:7" ht="15.75" customHeight="1" x14ac:dyDescent="0.2">
      <c r="B109" s="11" t="str">
        <f t="shared" si="0"/>
        <v>0</v>
      </c>
      <c r="G109" s="11"/>
    </row>
    <row r="110" spans="2:7" ht="15.75" customHeight="1" x14ac:dyDescent="0.2">
      <c r="B110" s="11" t="str">
        <f t="shared" si="0"/>
        <v>0</v>
      </c>
      <c r="G110" s="11"/>
    </row>
    <row r="111" spans="2:7" ht="15.75" customHeight="1" x14ac:dyDescent="0.2">
      <c r="B111" s="11" t="str">
        <f t="shared" si="0"/>
        <v>0</v>
      </c>
      <c r="G111" s="11"/>
    </row>
    <row r="112" spans="2:7" ht="15.75" customHeight="1" x14ac:dyDescent="0.2">
      <c r="B112" s="11" t="str">
        <f t="shared" si="0"/>
        <v>0</v>
      </c>
      <c r="G112" s="11"/>
    </row>
    <row r="113" spans="2:7" ht="15.75" customHeight="1" x14ac:dyDescent="0.2">
      <c r="B113" s="11" t="str">
        <f t="shared" si="0"/>
        <v>0</v>
      </c>
      <c r="G113" s="11"/>
    </row>
    <row r="114" spans="2:7" ht="15.75" customHeight="1" x14ac:dyDescent="0.2">
      <c r="B114" s="11" t="str">
        <f t="shared" si="0"/>
        <v>0</v>
      </c>
      <c r="G114" s="11"/>
    </row>
    <row r="115" spans="2:7" ht="15.75" customHeight="1" x14ac:dyDescent="0.2">
      <c r="B115" s="11" t="str">
        <f t="shared" si="0"/>
        <v>0</v>
      </c>
      <c r="G115" s="11"/>
    </row>
    <row r="116" spans="2:7" ht="15.75" customHeight="1" x14ac:dyDescent="0.2">
      <c r="B116" s="11" t="str">
        <f t="shared" si="0"/>
        <v>0</v>
      </c>
      <c r="G116" s="11"/>
    </row>
    <row r="117" spans="2:7" ht="15.75" customHeight="1" x14ac:dyDescent="0.2">
      <c r="B117" s="11" t="str">
        <f t="shared" si="0"/>
        <v>0</v>
      </c>
      <c r="G117" s="11"/>
    </row>
    <row r="118" spans="2:7" ht="15.75" customHeight="1" x14ac:dyDescent="0.2">
      <c r="B118" s="11" t="str">
        <f t="shared" si="0"/>
        <v>0</v>
      </c>
      <c r="G118" s="11"/>
    </row>
    <row r="119" spans="2:7" ht="15.75" customHeight="1" x14ac:dyDescent="0.2">
      <c r="B119" s="11" t="str">
        <f t="shared" si="0"/>
        <v>0</v>
      </c>
      <c r="G119" s="11"/>
    </row>
    <row r="120" spans="2:7" ht="15.75" customHeight="1" x14ac:dyDescent="0.2">
      <c r="B120" s="11" t="str">
        <f t="shared" si="0"/>
        <v>0</v>
      </c>
      <c r="G120" s="11"/>
    </row>
    <row r="121" spans="2:7" ht="15.75" customHeight="1" x14ac:dyDescent="0.2">
      <c r="B121" s="11" t="str">
        <f t="shared" si="0"/>
        <v>0</v>
      </c>
      <c r="G121" s="11"/>
    </row>
    <row r="122" spans="2:7" ht="15.75" customHeight="1" x14ac:dyDescent="0.2">
      <c r="B122" s="11" t="str">
        <f t="shared" si="0"/>
        <v>0</v>
      </c>
      <c r="G122" s="11"/>
    </row>
    <row r="123" spans="2:7" ht="15.75" customHeight="1" x14ac:dyDescent="0.2">
      <c r="B123" s="11" t="str">
        <f t="shared" si="0"/>
        <v>0</v>
      </c>
      <c r="G123" s="11"/>
    </row>
    <row r="124" spans="2:7" ht="15.75" customHeight="1" x14ac:dyDescent="0.2">
      <c r="B124" s="11" t="str">
        <f t="shared" si="0"/>
        <v>0</v>
      </c>
      <c r="G124" s="11"/>
    </row>
    <row r="125" spans="2:7" ht="15.75" customHeight="1" x14ac:dyDescent="0.2">
      <c r="B125" s="11" t="str">
        <f t="shared" si="0"/>
        <v>0</v>
      </c>
      <c r="G125" s="11"/>
    </row>
    <row r="126" spans="2:7" ht="15.75" customHeight="1" x14ac:dyDescent="0.2">
      <c r="B126" s="11" t="str">
        <f t="shared" si="0"/>
        <v>0</v>
      </c>
      <c r="G126" s="11"/>
    </row>
    <row r="127" spans="2:7" ht="15.75" customHeight="1" x14ac:dyDescent="0.2">
      <c r="B127" s="11" t="str">
        <f t="shared" si="0"/>
        <v>0</v>
      </c>
      <c r="G127" s="11"/>
    </row>
    <row r="128" spans="2:7" ht="15.75" customHeight="1" x14ac:dyDescent="0.2">
      <c r="B128" s="11" t="str">
        <f t="shared" si="0"/>
        <v>0</v>
      </c>
      <c r="G128" s="11"/>
    </row>
    <row r="129" spans="2:7" ht="15.75" customHeight="1" x14ac:dyDescent="0.2">
      <c r="B129" s="11" t="str">
        <f t="shared" si="0"/>
        <v>0</v>
      </c>
      <c r="G129" s="11"/>
    </row>
    <row r="130" spans="2:7" ht="15.75" customHeight="1" x14ac:dyDescent="0.2">
      <c r="B130" s="11" t="str">
        <f t="shared" si="0"/>
        <v>0</v>
      </c>
      <c r="G130" s="11"/>
    </row>
    <row r="131" spans="2:7" ht="15.75" customHeight="1" x14ac:dyDescent="0.2">
      <c r="B131" s="11" t="str">
        <f t="shared" si="0"/>
        <v>0</v>
      </c>
      <c r="G131" s="11"/>
    </row>
    <row r="132" spans="2:7" ht="15.75" customHeight="1" x14ac:dyDescent="0.2">
      <c r="B132" s="11" t="str">
        <f t="shared" si="0"/>
        <v>0</v>
      </c>
      <c r="G132" s="11"/>
    </row>
    <row r="133" spans="2:7" ht="15.75" customHeight="1" x14ac:dyDescent="0.2">
      <c r="B133" s="11" t="str">
        <f t="shared" si="0"/>
        <v>0</v>
      </c>
      <c r="G133" s="11"/>
    </row>
    <row r="134" spans="2:7" ht="15.75" customHeight="1" x14ac:dyDescent="0.2">
      <c r="B134" s="11" t="str">
        <f t="shared" si="0"/>
        <v>0</v>
      </c>
      <c r="G134" s="11"/>
    </row>
    <row r="135" spans="2:7" ht="15.75" customHeight="1" x14ac:dyDescent="0.2">
      <c r="B135" s="11" t="str">
        <f t="shared" si="0"/>
        <v>0</v>
      </c>
      <c r="G135" s="11"/>
    </row>
    <row r="136" spans="2:7" ht="15.75" customHeight="1" x14ac:dyDescent="0.2">
      <c r="B136" s="11" t="str">
        <f t="shared" si="0"/>
        <v>0</v>
      </c>
      <c r="G136" s="11"/>
    </row>
    <row r="137" spans="2:7" ht="15.75" customHeight="1" x14ac:dyDescent="0.2">
      <c r="B137" s="11" t="str">
        <f t="shared" si="0"/>
        <v>0</v>
      </c>
      <c r="G137" s="11"/>
    </row>
    <row r="138" spans="2:7" ht="15.75" customHeight="1" x14ac:dyDescent="0.2">
      <c r="B138" s="11" t="str">
        <f t="shared" si="0"/>
        <v>0</v>
      </c>
      <c r="G138" s="11"/>
    </row>
    <row r="139" spans="2:7" ht="15.75" customHeight="1" x14ac:dyDescent="0.2">
      <c r="B139" s="11" t="str">
        <f t="shared" si="0"/>
        <v>0</v>
      </c>
      <c r="G139" s="11"/>
    </row>
    <row r="140" spans="2:7" ht="15.75" customHeight="1" x14ac:dyDescent="0.2">
      <c r="B140" s="11" t="str">
        <f t="shared" si="0"/>
        <v>0</v>
      </c>
      <c r="G140" s="11"/>
    </row>
    <row r="141" spans="2:7" ht="15.75" customHeight="1" x14ac:dyDescent="0.2">
      <c r="B141" s="11" t="str">
        <f t="shared" si="0"/>
        <v>0</v>
      </c>
      <c r="G141" s="11"/>
    </row>
    <row r="142" spans="2:7" ht="15.75" customHeight="1" x14ac:dyDescent="0.2">
      <c r="B142" s="11" t="str">
        <f t="shared" si="0"/>
        <v>0</v>
      </c>
      <c r="G142" s="11"/>
    </row>
    <row r="143" spans="2:7" ht="15.75" customHeight="1" x14ac:dyDescent="0.2">
      <c r="B143" s="11" t="str">
        <f t="shared" si="0"/>
        <v>0</v>
      </c>
      <c r="G143" s="11"/>
    </row>
    <row r="144" spans="2:7" ht="15.75" customHeight="1" x14ac:dyDescent="0.2">
      <c r="B144" s="11" t="str">
        <f t="shared" si="0"/>
        <v>0</v>
      </c>
      <c r="G144" s="11"/>
    </row>
    <row r="145" spans="2:7" ht="15.75" customHeight="1" x14ac:dyDescent="0.2">
      <c r="B145" s="11" t="str">
        <f t="shared" si="0"/>
        <v>0</v>
      </c>
      <c r="G145" s="11"/>
    </row>
    <row r="146" spans="2:7" ht="15.75" customHeight="1" x14ac:dyDescent="0.2">
      <c r="B146" s="11" t="str">
        <f t="shared" si="0"/>
        <v>0</v>
      </c>
      <c r="G146" s="11"/>
    </row>
    <row r="147" spans="2:7" ht="15.75" customHeight="1" x14ac:dyDescent="0.2">
      <c r="B147" s="11" t="str">
        <f t="shared" si="0"/>
        <v>0</v>
      </c>
      <c r="G147" s="11"/>
    </row>
    <row r="148" spans="2:7" ht="15.75" customHeight="1" x14ac:dyDescent="0.2">
      <c r="B148" s="11" t="str">
        <f t="shared" si="0"/>
        <v>0</v>
      </c>
      <c r="G148" s="11"/>
    </row>
    <row r="149" spans="2:7" ht="15.75" customHeight="1" x14ac:dyDescent="0.2">
      <c r="B149" s="11" t="str">
        <f t="shared" si="0"/>
        <v>0</v>
      </c>
      <c r="G149" s="11"/>
    </row>
    <row r="150" spans="2:7" ht="15.75" customHeight="1" x14ac:dyDescent="0.2">
      <c r="B150" s="11" t="str">
        <f t="shared" si="0"/>
        <v>0</v>
      </c>
      <c r="G150" s="11"/>
    </row>
    <row r="151" spans="2:7" ht="15.75" customHeight="1" x14ac:dyDescent="0.2">
      <c r="B151" s="11" t="str">
        <f t="shared" si="0"/>
        <v>0</v>
      </c>
      <c r="G151" s="11"/>
    </row>
    <row r="152" spans="2:7" ht="15.75" customHeight="1" x14ac:dyDescent="0.2">
      <c r="B152" s="11" t="str">
        <f t="shared" si="0"/>
        <v>0</v>
      </c>
      <c r="G152" s="11"/>
    </row>
    <row r="153" spans="2:7" ht="15.75" customHeight="1" x14ac:dyDescent="0.2">
      <c r="B153" s="11" t="str">
        <f t="shared" si="0"/>
        <v>0</v>
      </c>
      <c r="G153" s="11"/>
    </row>
    <row r="154" spans="2:7" ht="15.75" customHeight="1" x14ac:dyDescent="0.2">
      <c r="B154" s="11" t="str">
        <f t="shared" si="0"/>
        <v>0</v>
      </c>
      <c r="G154" s="11"/>
    </row>
    <row r="155" spans="2:7" ht="15.75" customHeight="1" x14ac:dyDescent="0.2">
      <c r="B155" s="11" t="str">
        <f t="shared" si="0"/>
        <v>0</v>
      </c>
      <c r="G155" s="11"/>
    </row>
    <row r="156" spans="2:7" ht="15.75" customHeight="1" x14ac:dyDescent="0.2">
      <c r="B156" s="11" t="str">
        <f t="shared" si="0"/>
        <v>0</v>
      </c>
      <c r="G156" s="11"/>
    </row>
    <row r="157" spans="2:7" ht="15.75" customHeight="1" x14ac:dyDescent="0.2">
      <c r="B157" s="11" t="str">
        <f t="shared" si="0"/>
        <v>0</v>
      </c>
      <c r="G157" s="11"/>
    </row>
    <row r="158" spans="2:7" ht="15.75" customHeight="1" x14ac:dyDescent="0.2">
      <c r="B158" s="11" t="str">
        <f t="shared" si="0"/>
        <v>0</v>
      </c>
      <c r="G158" s="11"/>
    </row>
    <row r="159" spans="2:7" ht="15.75" customHeight="1" x14ac:dyDescent="0.2">
      <c r="B159" s="11" t="str">
        <f t="shared" si="0"/>
        <v>0</v>
      </c>
      <c r="G159" s="11"/>
    </row>
    <row r="160" spans="2:7" ht="15.75" customHeight="1" x14ac:dyDescent="0.2">
      <c r="B160" s="11" t="str">
        <f t="shared" si="0"/>
        <v>0</v>
      </c>
      <c r="G160" s="11"/>
    </row>
    <row r="161" spans="2:7" ht="15.75" customHeight="1" x14ac:dyDescent="0.2">
      <c r="B161" s="11" t="str">
        <f t="shared" si="0"/>
        <v>0</v>
      </c>
      <c r="G161" s="11"/>
    </row>
    <row r="162" spans="2:7" ht="15.75" customHeight="1" x14ac:dyDescent="0.2">
      <c r="B162" s="11" t="str">
        <f t="shared" si="0"/>
        <v>0</v>
      </c>
      <c r="G162" s="11"/>
    </row>
    <row r="163" spans="2:7" ht="15.75" customHeight="1" x14ac:dyDescent="0.2">
      <c r="B163" s="11" t="str">
        <f t="shared" si="0"/>
        <v>0</v>
      </c>
      <c r="G163" s="11"/>
    </row>
    <row r="164" spans="2:7" ht="15.75" customHeight="1" x14ac:dyDescent="0.2">
      <c r="B164" s="11" t="str">
        <f t="shared" si="0"/>
        <v>0</v>
      </c>
      <c r="G164" s="11"/>
    </row>
    <row r="165" spans="2:7" ht="15.75" customHeight="1" x14ac:dyDescent="0.2">
      <c r="B165" s="11" t="str">
        <f t="shared" si="0"/>
        <v>0</v>
      </c>
      <c r="G165" s="11"/>
    </row>
    <row r="166" spans="2:7" ht="15.75" customHeight="1" x14ac:dyDescent="0.2">
      <c r="B166" s="11" t="str">
        <f t="shared" si="0"/>
        <v>0</v>
      </c>
      <c r="G166" s="11"/>
    </row>
    <row r="167" spans="2:7" ht="15.75" customHeight="1" x14ac:dyDescent="0.2">
      <c r="B167" s="11" t="str">
        <f t="shared" si="0"/>
        <v>0</v>
      </c>
      <c r="G167" s="11"/>
    </row>
    <row r="168" spans="2:7" ht="15.75" customHeight="1" x14ac:dyDescent="0.2">
      <c r="B168" s="11" t="str">
        <f t="shared" si="0"/>
        <v>0</v>
      </c>
      <c r="G168" s="11"/>
    </row>
    <row r="169" spans="2:7" ht="15.75" customHeight="1" x14ac:dyDescent="0.2">
      <c r="B169" s="11" t="str">
        <f t="shared" si="0"/>
        <v>0</v>
      </c>
      <c r="G169" s="11"/>
    </row>
    <row r="170" spans="2:7" ht="15.75" customHeight="1" x14ac:dyDescent="0.2">
      <c r="B170" s="11" t="str">
        <f t="shared" si="0"/>
        <v>0</v>
      </c>
      <c r="G170" s="11"/>
    </row>
    <row r="171" spans="2:7" ht="15.75" customHeight="1" x14ac:dyDescent="0.2">
      <c r="B171" s="11" t="str">
        <f t="shared" si="0"/>
        <v>0</v>
      </c>
      <c r="G171" s="11"/>
    </row>
    <row r="172" spans="2:7" ht="15.75" customHeight="1" x14ac:dyDescent="0.2">
      <c r="B172" s="11" t="str">
        <f t="shared" si="0"/>
        <v>0</v>
      </c>
      <c r="G172" s="11"/>
    </row>
    <row r="173" spans="2:7" ht="15.75" customHeight="1" x14ac:dyDescent="0.2">
      <c r="B173" s="11" t="str">
        <f t="shared" si="0"/>
        <v>0</v>
      </c>
      <c r="G173" s="11"/>
    </row>
    <row r="174" spans="2:7" ht="15.75" customHeight="1" x14ac:dyDescent="0.2">
      <c r="B174" s="11" t="str">
        <f t="shared" si="0"/>
        <v>0</v>
      </c>
      <c r="G174" s="11"/>
    </row>
    <row r="175" spans="2:7" ht="15.75" customHeight="1" x14ac:dyDescent="0.2">
      <c r="B175" s="11" t="str">
        <f t="shared" si="0"/>
        <v>0</v>
      </c>
      <c r="G175" s="11"/>
    </row>
    <row r="176" spans="2:7" ht="15.75" customHeight="1" x14ac:dyDescent="0.2">
      <c r="B176" s="11" t="str">
        <f t="shared" si="0"/>
        <v>0</v>
      </c>
      <c r="G176" s="11"/>
    </row>
    <row r="177" spans="2:7" ht="15.75" customHeight="1" x14ac:dyDescent="0.2">
      <c r="B177" s="11" t="str">
        <f t="shared" si="0"/>
        <v>0</v>
      </c>
      <c r="G177" s="11"/>
    </row>
    <row r="178" spans="2:7" ht="15.75" customHeight="1" x14ac:dyDescent="0.2">
      <c r="B178" s="11" t="str">
        <f t="shared" si="0"/>
        <v>0</v>
      </c>
      <c r="G178" s="11"/>
    </row>
    <row r="179" spans="2:7" ht="15.75" customHeight="1" x14ac:dyDescent="0.2">
      <c r="B179" s="11" t="str">
        <f t="shared" si="0"/>
        <v>0</v>
      </c>
      <c r="G179" s="11"/>
    </row>
    <row r="180" spans="2:7" ht="15.75" customHeight="1" x14ac:dyDescent="0.2">
      <c r="B180" s="11" t="str">
        <f t="shared" si="0"/>
        <v>0</v>
      </c>
      <c r="G180" s="11"/>
    </row>
    <row r="181" spans="2:7" ht="15.75" customHeight="1" x14ac:dyDescent="0.2">
      <c r="B181" s="11" t="str">
        <f t="shared" si="0"/>
        <v>0</v>
      </c>
      <c r="G181" s="11"/>
    </row>
    <row r="182" spans="2:7" ht="15.75" customHeight="1" x14ac:dyDescent="0.2">
      <c r="B182" s="11" t="str">
        <f t="shared" si="0"/>
        <v>0</v>
      </c>
      <c r="G182" s="11"/>
    </row>
    <row r="183" spans="2:7" ht="15.75" customHeight="1" x14ac:dyDescent="0.2">
      <c r="B183" s="11" t="str">
        <f t="shared" si="0"/>
        <v>0</v>
      </c>
      <c r="G183" s="11"/>
    </row>
    <row r="184" spans="2:7" ht="15.75" customHeight="1" x14ac:dyDescent="0.2">
      <c r="B184" s="11" t="str">
        <f t="shared" si="0"/>
        <v>0</v>
      </c>
      <c r="G184" s="11"/>
    </row>
    <row r="185" spans="2:7" ht="15.75" customHeight="1" x14ac:dyDescent="0.2">
      <c r="B185" s="11" t="str">
        <f t="shared" si="0"/>
        <v>0</v>
      </c>
      <c r="G185" s="11"/>
    </row>
    <row r="186" spans="2:7" ht="15.75" customHeight="1" x14ac:dyDescent="0.2">
      <c r="B186" s="11" t="str">
        <f t="shared" si="0"/>
        <v>0</v>
      </c>
      <c r="G186" s="11"/>
    </row>
    <row r="187" spans="2:7" ht="15.75" customHeight="1" x14ac:dyDescent="0.2">
      <c r="B187" s="11" t="str">
        <f t="shared" si="0"/>
        <v>0</v>
      </c>
      <c r="G187" s="11"/>
    </row>
    <row r="188" spans="2:7" ht="15.75" customHeight="1" x14ac:dyDescent="0.2">
      <c r="B188" s="11" t="str">
        <f t="shared" si="0"/>
        <v>0</v>
      </c>
      <c r="G188" s="11"/>
    </row>
    <row r="189" spans="2:7" ht="15.75" customHeight="1" x14ac:dyDescent="0.2">
      <c r="B189" s="11" t="str">
        <f t="shared" si="0"/>
        <v>0</v>
      </c>
      <c r="G189" s="11"/>
    </row>
    <row r="190" spans="2:7" ht="15.75" customHeight="1" x14ac:dyDescent="0.2">
      <c r="B190" s="11" t="str">
        <f t="shared" si="0"/>
        <v>0</v>
      </c>
      <c r="G190" s="11"/>
    </row>
    <row r="191" spans="2:7" ht="15.75" customHeight="1" x14ac:dyDescent="0.2">
      <c r="B191" s="11" t="str">
        <f t="shared" si="0"/>
        <v>0</v>
      </c>
      <c r="G191" s="11"/>
    </row>
    <row r="192" spans="2:7" ht="15.75" customHeight="1" x14ac:dyDescent="0.2">
      <c r="B192" s="11" t="str">
        <f t="shared" si="0"/>
        <v>0</v>
      </c>
      <c r="G192" s="11"/>
    </row>
    <row r="193" spans="2:7" ht="15.75" customHeight="1" x14ac:dyDescent="0.2">
      <c r="B193" s="11" t="str">
        <f t="shared" si="0"/>
        <v>0</v>
      </c>
      <c r="G193" s="11"/>
    </row>
    <row r="194" spans="2:7" ht="15.75" customHeight="1" x14ac:dyDescent="0.2">
      <c r="B194" s="11" t="str">
        <f t="shared" si="0"/>
        <v>0</v>
      </c>
      <c r="G194" s="11"/>
    </row>
    <row r="195" spans="2:7" ht="15.75" customHeight="1" x14ac:dyDescent="0.2">
      <c r="B195" s="11" t="str">
        <f t="shared" si="0"/>
        <v>0</v>
      </c>
      <c r="G195" s="11"/>
    </row>
    <row r="196" spans="2:7" ht="15.75" customHeight="1" x14ac:dyDescent="0.2">
      <c r="B196" s="11" t="str">
        <f t="shared" si="0"/>
        <v>0</v>
      </c>
      <c r="G196" s="11"/>
    </row>
    <row r="197" spans="2:7" ht="15.75" customHeight="1" x14ac:dyDescent="0.2">
      <c r="B197" s="11" t="str">
        <f t="shared" si="0"/>
        <v>0</v>
      </c>
      <c r="G197" s="11"/>
    </row>
    <row r="198" spans="2:7" ht="15.75" customHeight="1" x14ac:dyDescent="0.2">
      <c r="B198" s="11" t="str">
        <f t="shared" si="0"/>
        <v>0</v>
      </c>
      <c r="G198" s="11"/>
    </row>
    <row r="199" spans="2:7" ht="15.75" customHeight="1" x14ac:dyDescent="0.2">
      <c r="B199" s="11" t="str">
        <f t="shared" si="0"/>
        <v>0</v>
      </c>
      <c r="G199" s="11"/>
    </row>
    <row r="200" spans="2:7" ht="15.75" customHeight="1" x14ac:dyDescent="0.2">
      <c r="B200" s="11" t="str">
        <f t="shared" si="0"/>
        <v>0</v>
      </c>
      <c r="G200" s="11"/>
    </row>
    <row r="201" spans="2:7" ht="15.75" customHeight="1" x14ac:dyDescent="0.2">
      <c r="B201" s="11" t="str">
        <f t="shared" si="0"/>
        <v>0</v>
      </c>
      <c r="G201" s="11"/>
    </row>
    <row r="202" spans="2:7" ht="15.75" customHeight="1" x14ac:dyDescent="0.2">
      <c r="B202" s="11" t="str">
        <f t="shared" si="0"/>
        <v>0</v>
      </c>
      <c r="G202" s="11"/>
    </row>
    <row r="203" spans="2:7" ht="15.75" customHeight="1" x14ac:dyDescent="0.2">
      <c r="B203" s="11" t="str">
        <f t="shared" si="0"/>
        <v>0</v>
      </c>
      <c r="G203" s="11"/>
    </row>
    <row r="204" spans="2:7" ht="15.75" customHeight="1" x14ac:dyDescent="0.2">
      <c r="B204" s="11" t="str">
        <f t="shared" si="0"/>
        <v>0</v>
      </c>
      <c r="G204" s="11"/>
    </row>
    <row r="205" spans="2:7" ht="15.75" customHeight="1" x14ac:dyDescent="0.2">
      <c r="B205" s="11" t="str">
        <f t="shared" si="0"/>
        <v>0</v>
      </c>
      <c r="G205" s="11"/>
    </row>
    <row r="206" spans="2:7" ht="15.75" customHeight="1" x14ac:dyDescent="0.2">
      <c r="B206" s="11" t="str">
        <f t="shared" si="0"/>
        <v>0</v>
      </c>
      <c r="G206" s="11"/>
    </row>
    <row r="207" spans="2:7" ht="15.75" customHeight="1" x14ac:dyDescent="0.2">
      <c r="B207" s="11" t="str">
        <f t="shared" si="0"/>
        <v>0</v>
      </c>
      <c r="G207" s="11"/>
    </row>
    <row r="208" spans="2:7" ht="15.75" customHeight="1" x14ac:dyDescent="0.2">
      <c r="B208" s="11" t="str">
        <f t="shared" si="0"/>
        <v>0</v>
      </c>
      <c r="G208" s="11"/>
    </row>
    <row r="209" spans="2:7" ht="15.75" customHeight="1" x14ac:dyDescent="0.2">
      <c r="B209" s="11" t="str">
        <f t="shared" si="0"/>
        <v>0</v>
      </c>
      <c r="G209" s="11"/>
    </row>
    <row r="210" spans="2:7" ht="15.75" customHeight="1" x14ac:dyDescent="0.2">
      <c r="B210" s="11" t="str">
        <f t="shared" si="0"/>
        <v>0</v>
      </c>
      <c r="G210" s="11"/>
    </row>
    <row r="211" spans="2:7" ht="15.75" customHeight="1" x14ac:dyDescent="0.2">
      <c r="B211" s="11" t="str">
        <f t="shared" si="0"/>
        <v>0</v>
      </c>
      <c r="G211" s="11"/>
    </row>
    <row r="212" spans="2:7" ht="15.75" customHeight="1" x14ac:dyDescent="0.2">
      <c r="B212" s="11" t="str">
        <f t="shared" si="0"/>
        <v>0</v>
      </c>
      <c r="G212" s="11"/>
    </row>
    <row r="213" spans="2:7" ht="15.75" customHeight="1" x14ac:dyDescent="0.2">
      <c r="B213" s="11" t="str">
        <f t="shared" si="0"/>
        <v>0</v>
      </c>
      <c r="G213" s="11"/>
    </row>
    <row r="214" spans="2:7" ht="15.75" customHeight="1" x14ac:dyDescent="0.2">
      <c r="B214" s="11" t="str">
        <f t="shared" si="0"/>
        <v>0</v>
      </c>
      <c r="G214" s="11"/>
    </row>
    <row r="215" spans="2:7" ht="15.75" customHeight="1" x14ac:dyDescent="0.2">
      <c r="B215" s="11" t="str">
        <f t="shared" si="0"/>
        <v>0</v>
      </c>
      <c r="G215" s="11"/>
    </row>
    <row r="216" spans="2:7" ht="15.75" customHeight="1" x14ac:dyDescent="0.2">
      <c r="B216" s="11" t="str">
        <f t="shared" si="0"/>
        <v>0</v>
      </c>
      <c r="G216" s="11"/>
    </row>
    <row r="217" spans="2:7" ht="15.75" customHeight="1" x14ac:dyDescent="0.2">
      <c r="B217" s="11" t="str">
        <f t="shared" si="0"/>
        <v>0</v>
      </c>
      <c r="G217" s="11"/>
    </row>
    <row r="218" spans="2:7" ht="15.75" customHeight="1" x14ac:dyDescent="0.2">
      <c r="B218" s="11" t="str">
        <f t="shared" si="0"/>
        <v>0</v>
      </c>
      <c r="G218" s="11"/>
    </row>
    <row r="219" spans="2:7" ht="15.75" customHeight="1" x14ac:dyDescent="0.2">
      <c r="B219" s="11" t="str">
        <f t="shared" si="0"/>
        <v>0</v>
      </c>
      <c r="G219" s="11"/>
    </row>
    <row r="220" spans="2:7" ht="15.75" customHeight="1" x14ac:dyDescent="0.2">
      <c r="B220" s="11" t="str">
        <f t="shared" si="0"/>
        <v>0</v>
      </c>
      <c r="G220" s="11"/>
    </row>
    <row r="221" spans="2:7" ht="15.75" customHeight="1" x14ac:dyDescent="0.2">
      <c r="B221" s="11" t="str">
        <f t="shared" si="0"/>
        <v>0</v>
      </c>
      <c r="G221" s="11"/>
    </row>
    <row r="222" spans="2:7" ht="15.75" customHeight="1" x14ac:dyDescent="0.2">
      <c r="B222" s="11" t="str">
        <f t="shared" si="0"/>
        <v>0</v>
      </c>
      <c r="G222" s="11"/>
    </row>
    <row r="223" spans="2:7" ht="15.75" customHeight="1" x14ac:dyDescent="0.2">
      <c r="B223" s="11" t="str">
        <f t="shared" si="0"/>
        <v>0</v>
      </c>
      <c r="G223" s="11"/>
    </row>
    <row r="224" spans="2:7" ht="15.75" customHeight="1" x14ac:dyDescent="0.2">
      <c r="B224" s="11" t="str">
        <f t="shared" si="0"/>
        <v>0</v>
      </c>
      <c r="G224" s="11"/>
    </row>
    <row r="225" spans="2:7" ht="15.75" customHeight="1" x14ac:dyDescent="0.2">
      <c r="B225" s="11" t="str">
        <f t="shared" si="0"/>
        <v>0</v>
      </c>
      <c r="G225" s="11"/>
    </row>
    <row r="226" spans="2:7" ht="15.75" customHeight="1" x14ac:dyDescent="0.2">
      <c r="B226" s="11" t="str">
        <f t="shared" si="0"/>
        <v>0</v>
      </c>
      <c r="G226" s="11"/>
    </row>
    <row r="227" spans="2:7" ht="15.75" customHeight="1" x14ac:dyDescent="0.2">
      <c r="B227" s="11" t="str">
        <f t="shared" si="0"/>
        <v>0</v>
      </c>
      <c r="G227" s="11"/>
    </row>
    <row r="228" spans="2:7" ht="15.75" customHeight="1" x14ac:dyDescent="0.2">
      <c r="B228" s="11" t="str">
        <f t="shared" si="0"/>
        <v>0</v>
      </c>
      <c r="G228" s="11"/>
    </row>
    <row r="229" spans="2:7" ht="15.75" customHeight="1" x14ac:dyDescent="0.2">
      <c r="B229" s="11" t="str">
        <f t="shared" si="0"/>
        <v>0</v>
      </c>
      <c r="G229" s="11"/>
    </row>
    <row r="230" spans="2:7" ht="15.75" customHeight="1" x14ac:dyDescent="0.2">
      <c r="B230" s="11" t="str">
        <f t="shared" si="0"/>
        <v>0</v>
      </c>
      <c r="G230" s="11"/>
    </row>
    <row r="231" spans="2:7" ht="15.75" customHeight="1" x14ac:dyDescent="0.2">
      <c r="B231" s="11" t="str">
        <f t="shared" si="0"/>
        <v>0</v>
      </c>
      <c r="G231" s="11"/>
    </row>
    <row r="232" spans="2:7" ht="15.75" customHeight="1" x14ac:dyDescent="0.2">
      <c r="B232" s="11" t="str">
        <f t="shared" si="0"/>
        <v>0</v>
      </c>
      <c r="G232" s="11"/>
    </row>
    <row r="233" spans="2:7" ht="15.75" customHeight="1" x14ac:dyDescent="0.2">
      <c r="B233" s="11" t="str">
        <f t="shared" si="0"/>
        <v>0</v>
      </c>
      <c r="G233" s="11"/>
    </row>
    <row r="234" spans="2:7" ht="15.75" customHeight="1" x14ac:dyDescent="0.2">
      <c r="B234" s="11" t="str">
        <f t="shared" si="0"/>
        <v>0</v>
      </c>
      <c r="G234" s="11"/>
    </row>
    <row r="235" spans="2:7" ht="15.75" customHeight="1" x14ac:dyDescent="0.2">
      <c r="B235" s="11" t="str">
        <f t="shared" si="0"/>
        <v>0</v>
      </c>
      <c r="G235" s="11"/>
    </row>
    <row r="236" spans="2:7" ht="15.75" customHeight="1" x14ac:dyDescent="0.2">
      <c r="B236" s="11" t="str">
        <f t="shared" si="0"/>
        <v>0</v>
      </c>
      <c r="G236" s="11"/>
    </row>
    <row r="237" spans="2:7" ht="15.75" customHeight="1" x14ac:dyDescent="0.2">
      <c r="B237" s="11" t="str">
        <f t="shared" si="0"/>
        <v>0</v>
      </c>
      <c r="G237" s="11"/>
    </row>
    <row r="238" spans="2:7" ht="15.75" customHeight="1" x14ac:dyDescent="0.2">
      <c r="B238" s="11" t="str">
        <f t="shared" si="0"/>
        <v>0</v>
      </c>
      <c r="G238" s="11"/>
    </row>
    <row r="239" spans="2:7" ht="15.75" customHeight="1" x14ac:dyDescent="0.2">
      <c r="B239" s="11" t="str">
        <f t="shared" si="0"/>
        <v>0</v>
      </c>
      <c r="G239" s="11"/>
    </row>
    <row r="240" spans="2:7" ht="15.75" customHeight="1" x14ac:dyDescent="0.2">
      <c r="B240" s="11" t="str">
        <f t="shared" si="0"/>
        <v>0</v>
      </c>
      <c r="G240" s="11"/>
    </row>
    <row r="241" spans="2:7" ht="15.75" customHeight="1" x14ac:dyDescent="0.2">
      <c r="B241" s="11" t="str">
        <f t="shared" si="0"/>
        <v>0</v>
      </c>
      <c r="G241" s="11"/>
    </row>
    <row r="242" spans="2:7" ht="15.75" customHeight="1" x14ac:dyDescent="0.2">
      <c r="B242" s="11" t="str">
        <f t="shared" si="0"/>
        <v>0</v>
      </c>
      <c r="G242" s="11"/>
    </row>
    <row r="243" spans="2:7" ht="15.75" customHeight="1" x14ac:dyDescent="0.2">
      <c r="B243" s="11" t="str">
        <f t="shared" si="0"/>
        <v>0</v>
      </c>
      <c r="G243" s="11"/>
    </row>
    <row r="244" spans="2:7" ht="15.75" customHeight="1" x14ac:dyDescent="0.2">
      <c r="B244" s="11" t="str">
        <f t="shared" si="0"/>
        <v>0</v>
      </c>
      <c r="G244" s="11"/>
    </row>
    <row r="245" spans="2:7" ht="15.75" customHeight="1" x14ac:dyDescent="0.2">
      <c r="B245" s="11" t="str">
        <f t="shared" si="0"/>
        <v>0</v>
      </c>
      <c r="G245" s="11"/>
    </row>
    <row r="246" spans="2:7" ht="15.75" customHeight="1" x14ac:dyDescent="0.2">
      <c r="B246" s="11" t="str">
        <f t="shared" si="0"/>
        <v>0</v>
      </c>
      <c r="G246" s="11"/>
    </row>
    <row r="247" spans="2:7" ht="15.75" customHeight="1" x14ac:dyDescent="0.2">
      <c r="B247" s="11" t="str">
        <f t="shared" si="0"/>
        <v>0</v>
      </c>
      <c r="G247" s="11"/>
    </row>
    <row r="248" spans="2:7" ht="15.75" customHeight="1" x14ac:dyDescent="0.2">
      <c r="B248" s="11" t="str">
        <f t="shared" si="0"/>
        <v>0</v>
      </c>
      <c r="G248" s="11"/>
    </row>
    <row r="249" spans="2:7" ht="15.75" customHeight="1" x14ac:dyDescent="0.2">
      <c r="B249" s="11" t="str">
        <f t="shared" si="0"/>
        <v>0</v>
      </c>
      <c r="G249" s="11"/>
    </row>
    <row r="250" spans="2:7" ht="15.75" customHeight="1" x14ac:dyDescent="0.2">
      <c r="B250" s="11" t="str">
        <f t="shared" si="0"/>
        <v>0</v>
      </c>
      <c r="G250" s="11"/>
    </row>
    <row r="251" spans="2:7" ht="15.75" customHeight="1" x14ac:dyDescent="0.2">
      <c r="B251" s="11" t="str">
        <f t="shared" si="0"/>
        <v>0</v>
      </c>
      <c r="G251" s="11"/>
    </row>
    <row r="252" spans="2:7" ht="15.75" customHeight="1" x14ac:dyDescent="0.2">
      <c r="B252" s="11" t="str">
        <f t="shared" si="0"/>
        <v>0</v>
      </c>
      <c r="G252" s="11"/>
    </row>
    <row r="253" spans="2:7" ht="15.75" customHeight="1" x14ac:dyDescent="0.2">
      <c r="B253" s="11" t="str">
        <f t="shared" si="0"/>
        <v>0</v>
      </c>
      <c r="G253" s="11"/>
    </row>
    <row r="254" spans="2:7" ht="15.75" customHeight="1" x14ac:dyDescent="0.2">
      <c r="B254" s="11" t="str">
        <f t="shared" si="0"/>
        <v>0</v>
      </c>
      <c r="G254" s="11"/>
    </row>
    <row r="255" spans="2:7" ht="15.75" customHeight="1" x14ac:dyDescent="0.2">
      <c r="B255" s="11" t="str">
        <f t="shared" si="0"/>
        <v>0</v>
      </c>
      <c r="G255" s="11"/>
    </row>
    <row r="256" spans="2:7" ht="15.75" customHeight="1" x14ac:dyDescent="0.2">
      <c r="B256" s="11" t="str">
        <f t="shared" si="0"/>
        <v>0</v>
      </c>
      <c r="G256" s="11"/>
    </row>
    <row r="257" spans="2:7" ht="15.75" customHeight="1" x14ac:dyDescent="0.2">
      <c r="B257" s="11" t="str">
        <f t="shared" ref="B257:B321" si="1">A257&amp;COUNTIF($A$2:$A257,A257)</f>
        <v>0</v>
      </c>
      <c r="G257" s="11"/>
    </row>
    <row r="258" spans="2:7" ht="15.75" customHeight="1" x14ac:dyDescent="0.2">
      <c r="B258" s="11" t="str">
        <f t="shared" si="1"/>
        <v>0</v>
      </c>
      <c r="G258" s="11"/>
    </row>
    <row r="259" spans="2:7" ht="15.75" customHeight="1" x14ac:dyDescent="0.2">
      <c r="B259" s="11" t="str">
        <f t="shared" si="1"/>
        <v>0</v>
      </c>
      <c r="G259" s="11"/>
    </row>
    <row r="260" spans="2:7" ht="15.75" customHeight="1" x14ac:dyDescent="0.2">
      <c r="B260" s="11" t="str">
        <f t="shared" si="1"/>
        <v>0</v>
      </c>
      <c r="G260" s="11"/>
    </row>
    <row r="261" spans="2:7" ht="15.75" customHeight="1" x14ac:dyDescent="0.2">
      <c r="B261" s="11" t="str">
        <f t="shared" si="1"/>
        <v>0</v>
      </c>
      <c r="G261" s="11"/>
    </row>
    <row r="262" spans="2:7" ht="15.75" customHeight="1" x14ac:dyDescent="0.2">
      <c r="B262" s="11" t="str">
        <f t="shared" si="1"/>
        <v>0</v>
      </c>
      <c r="G262" s="11"/>
    </row>
    <row r="263" spans="2:7" ht="15.75" customHeight="1" x14ac:dyDescent="0.2">
      <c r="B263" s="11" t="str">
        <f t="shared" si="1"/>
        <v>0</v>
      </c>
      <c r="G263" s="11"/>
    </row>
    <row r="264" spans="2:7" ht="15.75" customHeight="1" x14ac:dyDescent="0.2">
      <c r="B264" s="11" t="str">
        <f t="shared" si="1"/>
        <v>0</v>
      </c>
      <c r="G264" s="11"/>
    </row>
    <row r="265" spans="2:7" ht="15.75" customHeight="1" x14ac:dyDescent="0.2">
      <c r="B265" s="11" t="str">
        <f t="shared" si="1"/>
        <v>0</v>
      </c>
      <c r="G265" s="11"/>
    </row>
    <row r="266" spans="2:7" ht="15.75" customHeight="1" x14ac:dyDescent="0.2">
      <c r="B266" s="11" t="str">
        <f t="shared" si="1"/>
        <v>0</v>
      </c>
      <c r="G266" s="11"/>
    </row>
    <row r="267" spans="2:7" ht="15.75" customHeight="1" x14ac:dyDescent="0.2">
      <c r="B267" s="11" t="str">
        <f t="shared" si="1"/>
        <v>0</v>
      </c>
      <c r="G267" s="11"/>
    </row>
    <row r="268" spans="2:7" ht="15.75" customHeight="1" x14ac:dyDescent="0.2">
      <c r="B268" s="11" t="str">
        <f t="shared" si="1"/>
        <v>0</v>
      </c>
      <c r="G268" s="11"/>
    </row>
    <row r="269" spans="2:7" ht="15.75" customHeight="1" x14ac:dyDescent="0.2">
      <c r="B269" s="11" t="str">
        <f t="shared" si="1"/>
        <v>0</v>
      </c>
      <c r="G269" s="11"/>
    </row>
    <row r="270" spans="2:7" ht="15.75" customHeight="1" x14ac:dyDescent="0.2">
      <c r="B270" s="11" t="str">
        <f t="shared" si="1"/>
        <v>0</v>
      </c>
      <c r="G270" s="11"/>
    </row>
    <row r="271" spans="2:7" ht="15.75" customHeight="1" x14ac:dyDescent="0.2">
      <c r="B271" s="11" t="str">
        <f t="shared" si="1"/>
        <v>0</v>
      </c>
      <c r="G271" s="11"/>
    </row>
    <row r="272" spans="2:7" ht="15.75" customHeight="1" x14ac:dyDescent="0.2">
      <c r="B272" s="11" t="str">
        <f t="shared" si="1"/>
        <v>0</v>
      </c>
      <c r="G272" s="11"/>
    </row>
    <row r="273" spans="2:7" ht="15.75" customHeight="1" x14ac:dyDescent="0.2">
      <c r="B273" s="11" t="str">
        <f t="shared" si="1"/>
        <v>0</v>
      </c>
      <c r="G273" s="11"/>
    </row>
    <row r="274" spans="2:7" ht="15.75" customHeight="1" x14ac:dyDescent="0.2">
      <c r="B274" s="11" t="str">
        <f t="shared" si="1"/>
        <v>0</v>
      </c>
      <c r="G274" s="11"/>
    </row>
    <row r="275" spans="2:7" ht="15.75" customHeight="1" x14ac:dyDescent="0.2">
      <c r="B275" s="11" t="str">
        <f t="shared" si="1"/>
        <v>0</v>
      </c>
      <c r="G275" s="11"/>
    </row>
    <row r="276" spans="2:7" ht="15.75" customHeight="1" x14ac:dyDescent="0.2">
      <c r="B276" s="11" t="str">
        <f t="shared" si="1"/>
        <v>0</v>
      </c>
      <c r="G276" s="11"/>
    </row>
    <row r="277" spans="2:7" ht="15.75" customHeight="1" x14ac:dyDescent="0.2">
      <c r="B277" s="11" t="str">
        <f t="shared" si="1"/>
        <v>0</v>
      </c>
      <c r="G277" s="11"/>
    </row>
    <row r="278" spans="2:7" ht="15.75" customHeight="1" x14ac:dyDescent="0.2">
      <c r="B278" s="11" t="str">
        <f t="shared" si="1"/>
        <v>0</v>
      </c>
      <c r="G278" s="11"/>
    </row>
    <row r="279" spans="2:7" ht="15.75" customHeight="1" x14ac:dyDescent="0.2">
      <c r="B279" s="11" t="str">
        <f t="shared" si="1"/>
        <v>0</v>
      </c>
      <c r="G279" s="11"/>
    </row>
    <row r="280" spans="2:7" ht="15.75" customHeight="1" x14ac:dyDescent="0.2">
      <c r="B280" s="11" t="str">
        <f t="shared" si="1"/>
        <v>0</v>
      </c>
      <c r="G280" s="11"/>
    </row>
    <row r="281" spans="2:7" ht="15.75" customHeight="1" x14ac:dyDescent="0.2">
      <c r="B281" s="11" t="str">
        <f t="shared" si="1"/>
        <v>0</v>
      </c>
      <c r="G281" s="11"/>
    </row>
    <row r="282" spans="2:7" ht="15.75" customHeight="1" x14ac:dyDescent="0.2">
      <c r="B282" s="11" t="str">
        <f t="shared" si="1"/>
        <v>0</v>
      </c>
      <c r="G282" s="11"/>
    </row>
    <row r="283" spans="2:7" ht="15.75" customHeight="1" x14ac:dyDescent="0.2">
      <c r="B283" s="11" t="str">
        <f t="shared" si="1"/>
        <v>0</v>
      </c>
      <c r="G283" s="11"/>
    </row>
    <row r="284" spans="2:7" ht="15.75" customHeight="1" x14ac:dyDescent="0.2">
      <c r="B284" s="11" t="str">
        <f t="shared" si="1"/>
        <v>0</v>
      </c>
      <c r="G284" s="11"/>
    </row>
    <row r="285" spans="2:7" ht="15.75" customHeight="1" x14ac:dyDescent="0.2">
      <c r="B285" s="11" t="str">
        <f t="shared" si="1"/>
        <v>0</v>
      </c>
      <c r="G285" s="11"/>
    </row>
    <row r="286" spans="2:7" ht="15.75" customHeight="1" x14ac:dyDescent="0.2">
      <c r="B286" s="11" t="str">
        <f t="shared" si="1"/>
        <v>0</v>
      </c>
      <c r="G286" s="11"/>
    </row>
    <row r="287" spans="2:7" ht="15.75" customHeight="1" x14ac:dyDescent="0.2">
      <c r="B287" s="11" t="str">
        <f t="shared" si="1"/>
        <v>0</v>
      </c>
      <c r="G287" s="11"/>
    </row>
    <row r="288" spans="2:7" ht="15.75" customHeight="1" x14ac:dyDescent="0.2">
      <c r="B288" s="11" t="str">
        <f t="shared" si="1"/>
        <v>0</v>
      </c>
      <c r="G288" s="11"/>
    </row>
    <row r="289" spans="2:7" ht="15.75" customHeight="1" x14ac:dyDescent="0.2">
      <c r="B289" s="11" t="str">
        <f t="shared" si="1"/>
        <v>0</v>
      </c>
      <c r="G289" s="11"/>
    </row>
    <row r="290" spans="2:7" ht="15.75" customHeight="1" x14ac:dyDescent="0.2">
      <c r="B290" s="11" t="str">
        <f t="shared" si="1"/>
        <v>0</v>
      </c>
      <c r="G290" s="11"/>
    </row>
    <row r="291" spans="2:7" ht="15.75" customHeight="1" x14ac:dyDescent="0.2">
      <c r="B291" s="11" t="str">
        <f t="shared" si="1"/>
        <v>0</v>
      </c>
      <c r="G291" s="11"/>
    </row>
    <row r="292" spans="2:7" ht="15.75" customHeight="1" x14ac:dyDescent="0.2">
      <c r="B292" s="11" t="str">
        <f t="shared" si="1"/>
        <v>0</v>
      </c>
      <c r="G292" s="11"/>
    </row>
    <row r="293" spans="2:7" ht="15.75" customHeight="1" x14ac:dyDescent="0.2">
      <c r="B293" s="11" t="str">
        <f t="shared" si="1"/>
        <v>0</v>
      </c>
      <c r="G293" s="11"/>
    </row>
    <row r="294" spans="2:7" ht="15.75" customHeight="1" x14ac:dyDescent="0.2">
      <c r="B294" s="11" t="str">
        <f t="shared" si="1"/>
        <v>0</v>
      </c>
      <c r="G294" s="11"/>
    </row>
    <row r="295" spans="2:7" ht="15.75" customHeight="1" x14ac:dyDescent="0.2">
      <c r="B295" s="11" t="str">
        <f t="shared" si="1"/>
        <v>0</v>
      </c>
      <c r="G295" s="11"/>
    </row>
    <row r="296" spans="2:7" ht="15.75" customHeight="1" x14ac:dyDescent="0.2">
      <c r="B296" s="11" t="str">
        <f t="shared" si="1"/>
        <v>0</v>
      </c>
      <c r="G296" s="11"/>
    </row>
    <row r="297" spans="2:7" ht="15.75" customHeight="1" x14ac:dyDescent="0.2">
      <c r="B297" s="11" t="str">
        <f t="shared" si="1"/>
        <v>0</v>
      </c>
      <c r="G297" s="11"/>
    </row>
    <row r="298" spans="2:7" ht="15.75" customHeight="1" x14ac:dyDescent="0.2">
      <c r="B298" s="11" t="str">
        <f t="shared" si="1"/>
        <v>0</v>
      </c>
      <c r="G298" s="11"/>
    </row>
    <row r="299" spans="2:7" ht="15.75" customHeight="1" x14ac:dyDescent="0.2">
      <c r="B299" s="11" t="str">
        <f t="shared" si="1"/>
        <v>0</v>
      </c>
      <c r="G299" s="11"/>
    </row>
    <row r="300" spans="2:7" ht="15.75" customHeight="1" x14ac:dyDescent="0.2">
      <c r="B300" s="11" t="str">
        <f t="shared" si="1"/>
        <v>0</v>
      </c>
      <c r="G300" s="11"/>
    </row>
    <row r="301" spans="2:7" ht="15.75" customHeight="1" x14ac:dyDescent="0.2">
      <c r="B301" s="11" t="str">
        <f t="shared" si="1"/>
        <v>0</v>
      </c>
      <c r="G301" s="11"/>
    </row>
    <row r="302" spans="2:7" ht="15.75" customHeight="1" x14ac:dyDescent="0.2">
      <c r="B302" s="11" t="str">
        <f t="shared" si="1"/>
        <v>0</v>
      </c>
      <c r="G302" s="11"/>
    </row>
    <row r="303" spans="2:7" ht="15.75" customHeight="1" x14ac:dyDescent="0.2">
      <c r="B303" s="11" t="str">
        <f t="shared" si="1"/>
        <v>0</v>
      </c>
      <c r="G303" s="11"/>
    </row>
    <row r="304" spans="2:7" ht="15.75" customHeight="1" x14ac:dyDescent="0.2">
      <c r="B304" s="11" t="str">
        <f t="shared" si="1"/>
        <v>0</v>
      </c>
      <c r="G304" s="11"/>
    </row>
    <row r="305" spans="2:7" ht="15.75" customHeight="1" x14ac:dyDescent="0.2">
      <c r="B305" s="11" t="str">
        <f t="shared" si="1"/>
        <v>0</v>
      </c>
      <c r="G305" s="11"/>
    </row>
    <row r="306" spans="2:7" ht="15.75" customHeight="1" x14ac:dyDescent="0.2">
      <c r="B306" s="11" t="str">
        <f t="shared" si="1"/>
        <v>0</v>
      </c>
      <c r="G306" s="11"/>
    </row>
    <row r="307" spans="2:7" ht="15.75" customHeight="1" x14ac:dyDescent="0.2">
      <c r="B307" s="11" t="str">
        <f t="shared" si="1"/>
        <v>0</v>
      </c>
      <c r="G307" s="11"/>
    </row>
    <row r="308" spans="2:7" ht="15.75" customHeight="1" x14ac:dyDescent="0.2">
      <c r="B308" s="11" t="str">
        <f t="shared" si="1"/>
        <v>0</v>
      </c>
      <c r="G308" s="11"/>
    </row>
    <row r="309" spans="2:7" ht="15.75" customHeight="1" x14ac:dyDescent="0.2">
      <c r="B309" s="11" t="str">
        <f t="shared" si="1"/>
        <v>0</v>
      </c>
      <c r="G309" s="11"/>
    </row>
    <row r="310" spans="2:7" ht="15.75" customHeight="1" x14ac:dyDescent="0.2">
      <c r="B310" s="11" t="str">
        <f t="shared" si="1"/>
        <v>0</v>
      </c>
      <c r="G310" s="11"/>
    </row>
    <row r="311" spans="2:7" ht="15.75" customHeight="1" x14ac:dyDescent="0.2">
      <c r="B311" s="11" t="str">
        <f t="shared" si="1"/>
        <v>0</v>
      </c>
      <c r="G311" s="11"/>
    </row>
    <row r="312" spans="2:7" ht="15.75" customHeight="1" x14ac:dyDescent="0.2">
      <c r="B312" s="11" t="str">
        <f t="shared" si="1"/>
        <v>0</v>
      </c>
      <c r="G312" s="11"/>
    </row>
    <row r="313" spans="2:7" ht="15.75" customHeight="1" x14ac:dyDescent="0.2">
      <c r="B313" s="11" t="str">
        <f t="shared" si="1"/>
        <v>0</v>
      </c>
      <c r="G313" s="11"/>
    </row>
    <row r="314" spans="2:7" ht="15.75" customHeight="1" x14ac:dyDescent="0.2">
      <c r="B314" s="11" t="str">
        <f t="shared" si="1"/>
        <v>0</v>
      </c>
      <c r="G314" s="11"/>
    </row>
    <row r="315" spans="2:7" ht="15.75" customHeight="1" x14ac:dyDescent="0.2">
      <c r="B315" s="11" t="str">
        <f t="shared" si="1"/>
        <v>0</v>
      </c>
      <c r="G315" s="11"/>
    </row>
    <row r="316" spans="2:7" ht="15.75" customHeight="1" x14ac:dyDescent="0.2">
      <c r="B316" s="11" t="str">
        <f t="shared" si="1"/>
        <v>0</v>
      </c>
      <c r="G316" s="11"/>
    </row>
    <row r="317" spans="2:7" ht="15.75" customHeight="1" x14ac:dyDescent="0.2">
      <c r="B317" s="11" t="str">
        <f t="shared" si="1"/>
        <v>0</v>
      </c>
      <c r="G317" s="11"/>
    </row>
    <row r="318" spans="2:7" ht="15.75" customHeight="1" x14ac:dyDescent="0.2">
      <c r="B318" s="11" t="str">
        <f t="shared" si="1"/>
        <v>0</v>
      </c>
      <c r="G318" s="11"/>
    </row>
    <row r="319" spans="2:7" ht="15.75" customHeight="1" x14ac:dyDescent="0.2">
      <c r="B319" s="11" t="str">
        <f t="shared" si="1"/>
        <v>0</v>
      </c>
      <c r="G319" s="11"/>
    </row>
    <row r="320" spans="2:7" ht="15.75" customHeight="1" x14ac:dyDescent="0.2">
      <c r="B320" s="11" t="str">
        <f t="shared" si="1"/>
        <v>0</v>
      </c>
      <c r="G320" s="11"/>
    </row>
    <row r="321" spans="2:7" ht="15.75" customHeight="1" x14ac:dyDescent="0.2">
      <c r="B321" s="11" t="str">
        <f t="shared" si="1"/>
        <v>0</v>
      </c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2022-06-18T05:10:15Z</dcterms:modified>
</cp:coreProperties>
</file>