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Old/2022/Week1/"/>
    </mc:Choice>
  </mc:AlternateContent>
  <xr:revisionPtr revIDLastSave="0" documentId="13_ncr:1_{47A1222A-304D-6D4F-9B71-089334F22170}" xr6:coauthVersionLast="47" xr6:coauthVersionMax="47" xr10:uidLastSave="{00000000-0000-0000-0000-000000000000}"/>
  <bookViews>
    <workbookView xWindow="33540" yWindow="-2400" windowWidth="28800" windowHeight="1594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3" l="1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L37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L22" i="2"/>
  <c r="K22" i="2"/>
  <c r="J22" i="2"/>
  <c r="I22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18" i="2" l="1"/>
  <c r="K37" i="2"/>
  <c r="I37" i="2"/>
  <c r="J37" i="2"/>
  <c r="K18" i="2"/>
  <c r="J18" i="2"/>
  <c r="G2" i="3" a="1"/>
  <c r="G2" i="3" s="1"/>
  <c r="B46" i="3"/>
  <c r="A27" i="1" s="1"/>
  <c r="F26" i="2" s="1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8" i="1" l="1"/>
  <c r="G6" i="2" s="1"/>
  <c r="A11" i="1"/>
  <c r="F9" i="2" s="1"/>
  <c r="C13" i="1"/>
  <c r="H11" i="2" s="1"/>
  <c r="B34" i="1"/>
  <c r="G33" i="2" s="1"/>
  <c r="C32" i="1"/>
  <c r="H31" i="2" s="1"/>
  <c r="B19" i="1"/>
  <c r="G17" i="2" s="1"/>
  <c r="F15" i="2"/>
  <c r="F14" i="2"/>
  <c r="C34" i="1"/>
  <c r="H33" i="2" s="1"/>
  <c r="A25" i="1"/>
  <c r="F24" i="2" s="1"/>
  <c r="C8" i="1"/>
  <c r="H6" i="2" s="1"/>
  <c r="B11" i="1"/>
  <c r="G9" i="2" s="1"/>
  <c r="A14" i="1"/>
  <c r="F12" i="2" s="1"/>
  <c r="C31" i="1"/>
  <c r="H30" i="2" s="1"/>
  <c r="G15" i="2"/>
  <c r="B33" i="1"/>
  <c r="G32" i="2" s="1"/>
  <c r="B36" i="1"/>
  <c r="G35" i="2" s="1"/>
  <c r="B27" i="1"/>
  <c r="G26" i="2" s="1"/>
  <c r="A32" i="1"/>
  <c r="F31" i="2" s="1"/>
  <c r="C18" i="1"/>
  <c r="H16" i="2" s="1"/>
  <c r="A9" i="1"/>
  <c r="F7" i="2" s="1"/>
  <c r="C11" i="1"/>
  <c r="H9" i="2" s="1"/>
  <c r="B14" i="1"/>
  <c r="G12" i="2" s="1"/>
  <c r="A29" i="1"/>
  <c r="F28" i="2" s="1"/>
  <c r="C36" i="1"/>
  <c r="H35" i="2" s="1"/>
  <c r="B25" i="1"/>
  <c r="G24" i="2" s="1"/>
  <c r="C33" i="1"/>
  <c r="H32" i="2" s="1"/>
  <c r="C37" i="1"/>
  <c r="H36" i="2" s="1"/>
  <c r="B29" i="1"/>
  <c r="G28" i="2" s="1"/>
  <c r="A30" i="1"/>
  <c r="F29" i="2" s="1"/>
  <c r="B9" i="1"/>
  <c r="G7" i="2" s="1"/>
  <c r="A12" i="1"/>
  <c r="F10" i="2" s="1"/>
  <c r="C14" i="1"/>
  <c r="H12" i="2" s="1"/>
  <c r="B26" i="1"/>
  <c r="G25" i="2" s="1"/>
  <c r="A34" i="1"/>
  <c r="F33" i="2" s="1"/>
  <c r="A33" i="1"/>
  <c r="F32" i="2" s="1"/>
  <c r="A31" i="1"/>
  <c r="F30" i="2" s="1"/>
  <c r="A19" i="1"/>
  <c r="F17" i="2" s="1"/>
  <c r="C26" i="1"/>
  <c r="H25" i="2" s="1"/>
  <c r="A35" i="1"/>
  <c r="F34" i="2" s="1"/>
  <c r="F5" i="2"/>
  <c r="C9" i="1"/>
  <c r="H7" i="2" s="1"/>
  <c r="B12" i="1"/>
  <c r="G10" i="2" s="1"/>
  <c r="A15" i="1"/>
  <c r="F13" i="2" s="1"/>
  <c r="A24" i="1"/>
  <c r="F23" i="2" s="1"/>
  <c r="B31" i="1"/>
  <c r="G30" i="2" s="1"/>
  <c r="B35" i="1"/>
  <c r="G34" i="2" s="1"/>
  <c r="B28" i="1"/>
  <c r="G27" i="2" s="1"/>
  <c r="C29" i="1"/>
  <c r="H28" i="2" s="1"/>
  <c r="B24" i="1"/>
  <c r="G23" i="2" s="1"/>
  <c r="C23" i="1"/>
  <c r="G5" i="2"/>
  <c r="A10" i="1"/>
  <c r="F8" i="2" s="1"/>
  <c r="C12" i="1"/>
  <c r="H10" i="2" s="1"/>
  <c r="B15" i="1"/>
  <c r="G13" i="2" s="1"/>
  <c r="C30" i="1"/>
  <c r="H29" i="2" s="1"/>
  <c r="C28" i="1"/>
  <c r="H27" i="2" s="1"/>
  <c r="C24" i="1"/>
  <c r="H23" i="2" s="1"/>
  <c r="C25" i="1"/>
  <c r="H24" i="2" s="1"/>
  <c r="B32" i="1"/>
  <c r="G31" i="2" s="1"/>
  <c r="H14" i="2"/>
  <c r="H15" i="2"/>
  <c r="H5" i="2"/>
  <c r="B10" i="1"/>
  <c r="G8" i="2" s="1"/>
  <c r="A13" i="1"/>
  <c r="F11" i="2" s="1"/>
  <c r="C15" i="1"/>
  <c r="H13" i="2" s="1"/>
  <c r="C35" i="1"/>
  <c r="H34" i="2" s="1"/>
  <c r="A26" i="1"/>
  <c r="F25" i="2" s="1"/>
  <c r="B18" i="1"/>
  <c r="G16" i="2" s="1"/>
  <c r="A23" i="1"/>
  <c r="A18" i="1"/>
  <c r="F16" i="2" s="1"/>
  <c r="A28" i="1"/>
  <c r="F27" i="2" s="1"/>
  <c r="A36" i="1"/>
  <c r="F35" i="2" s="1"/>
  <c r="A8" i="1"/>
  <c r="F6" i="2" s="1"/>
  <c r="C10" i="1"/>
  <c r="H8" i="2" s="1"/>
  <c r="B13" i="1"/>
  <c r="G11" i="2" s="1"/>
  <c r="A37" i="1"/>
  <c r="F36" i="2" s="1"/>
  <c r="C27" i="1"/>
  <c r="H26" i="2" s="1"/>
  <c r="B23" i="1"/>
  <c r="C19" i="1"/>
  <c r="H17" i="2" s="1"/>
  <c r="B30" i="1"/>
  <c r="G29" i="2" s="1"/>
  <c r="B37" i="1"/>
  <c r="G36" i="2" s="1"/>
  <c r="G14" i="2"/>
  <c r="G20" i="2"/>
  <c r="D2" i="2" s="1"/>
  <c r="G1" i="2"/>
  <c r="B2" i="2" s="1"/>
  <c r="A5" i="1" l="1"/>
  <c r="F3" i="2" s="1"/>
  <c r="A6" i="1"/>
  <c r="F4" i="2" s="1"/>
  <c r="B5" i="1"/>
  <c r="G3" i="2" s="1"/>
  <c r="B6" i="1"/>
  <c r="G4" i="2" s="1"/>
  <c r="F22" i="2"/>
  <c r="C5" i="1"/>
  <c r="H3" i="2" s="1"/>
  <c r="C6" i="1"/>
  <c r="H4" i="2" s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<sst xmlns="http://schemas.openxmlformats.org/spreadsheetml/2006/main" count="191" uniqueCount="116">
  <si>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</si>
  <si>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</si>
  <si>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</si>
  <si>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</si>
  <si>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</si>
  <si>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</si>
  <si>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</si>
  <si>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</si>
  <si>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</si>
  <si>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</si>
  <si>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</si>
  <si>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</si>
  <si>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</si>
  <si>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</si>
  <si>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</si>
  <si>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</si>
  <si>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</si>
  <si>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</si>
  <si>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</si>
  <si>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</si>
  <si>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</si>
  <si>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</si>
  <si>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</si>
  <si>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</si>
  <si>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</si>
  <si>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</si>
  <si>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</si>
  <si>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</si>
  <si>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</si>
  <si>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</si>
  <si>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</si>
  <si>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</si>
  <si>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</si>
  <si>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</si>
  <si>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</si>
  <si>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</si>
  <si>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</si>
  <si>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</si>
  <si>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</si>
  <si>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</si>
  <si>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</si>
  <si>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</si>
  <si>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</si>
  <si>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</si>
  <si>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</si>
  <si>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</si>
  <si>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</si>
  <si>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</si>
  <si>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</si>
  <si>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</si>
  <si>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</si>
  <si>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</si>
  <si>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</si>
  <si>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</si>
  <si>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</si>
  <si>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</si>
  <si>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</si>
  <si>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</si>
  <si>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</si>
  <si>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</si>
  <si>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</si>
  <si>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</si>
  <si>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</si>
  <si>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</si>
  <si>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</si>
  <si>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</si>
  <si>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</si>
  <si>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</si>
  <si>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</si>
  <si>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</si>
  <si>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</si>
  <si>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</si>
  <si>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</si>
  <si>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</si>
  <si>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</si>
  <si>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</si>
  <si>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</si>
  <si>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</si>
  <si>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</si>
  <si>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</si>
  <si>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</si>
  <si>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</si>
  <si>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</si>
  <si>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</si>
  <si>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</si>
  <si>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</si>
  <si>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</si>
  <si>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</si>
  <si>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</si>
  <si>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</si>
  <si>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</si>
  <si>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</si>
  <si>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</si>
  <si>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</si>
  <si>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</si>
  <si>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</si>
  <si>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</si>
  <si>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</si>
  <si>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</si>
  <si>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</si>
  <si>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</si>
  <si>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</si>
  <si>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</si>
  <si>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</si>
  <si>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</si>
  <si>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</si>
  <si>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</si>
  <si>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</si>
  <si>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</si>
  <si>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</si>
  <si>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</si>
  <si>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</si>
  <si>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</si>
  <si>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</si>
  <si>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Brown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</si>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</sst>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1</xdr:row>
      <xdr:rowOff>76200</xdr:rowOff>
    </xdr:from>
    <xdr:to>
      <xdr:col>14</xdr:col>
      <xdr:colOff>584200</xdr:colOff>
      <xdr:row>13</xdr:row>
      <xdr:rowOff>177800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23000" y="2794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K8" sqref="K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27</v>
      </c>
      <c r="F1" t="s">
        <v>7</v>
      </c>
      <c r="G1" t="str">
        <f>'Stats G2'!B3</f>
        <v>Team Drisdom</v>
      </c>
    </row>
    <row r="2" spans="2:12" x14ac:dyDescent="0.2">
      <c r="B2" t="str">
        <f>G1</f>
        <v>Team Drisdom</v>
      </c>
      <c r="D2" t="str">
        <f>G20</f>
        <v>Team Bullock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100</v>
      </c>
      <c r="C3" s="3" t="s">
        <v>13</v>
      </c>
      <c r="D3" s="4">
        <f>I37</f>
        <v>111</v>
      </c>
      <c r="F3" t="str">
        <f>'Stats G2'!A5</f>
        <v>Corbin</v>
      </c>
      <c r="G3" t="str">
        <f>'Stats G2'!B5</f>
        <v>Green</v>
      </c>
      <c r="H3">
        <f>'Stats G2'!C5</f>
        <v>7</v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">
      <c r="F4" t="str">
        <f>'Stats G2'!A6</f>
        <v>Aubrey</v>
      </c>
      <c r="G4" t="str">
        <f>'Stats G2'!B6</f>
        <v>Hodges</v>
      </c>
      <c r="H4">
        <f>'Stats G2'!C6</f>
        <v>5</v>
      </c>
      <c r="I4">
        <f>'Stats G2'!H6*2+'Stats G2'!N6*3+'Stats G2'!T6</f>
        <v>15</v>
      </c>
      <c r="J4" t="str">
        <f>SUM('Stats G2'!H6+'Stats G2'!N6)&amp;"-"&amp;SUM('Stats G2'!E6+'Stats G2'!K6)</f>
        <v>6-14</v>
      </c>
      <c r="K4" t="str">
        <f>SUM('Stats G2'!N6)&amp;"-"&amp;SUM('Stats G2'!K6)</f>
        <v>3-8</v>
      </c>
      <c r="L4" t="str">
        <f>SUM('Stats G2'!T6)&amp;"-"&amp;SUM('Stats G2'!Q6)</f>
        <v>0-0</v>
      </c>
    </row>
    <row r="5" spans="2:12" x14ac:dyDescent="0.2">
      <c r="F5" t="str">
        <f>'Stats G2'!A7</f>
        <v>?</v>
      </c>
      <c r="G5" t="str">
        <f>'Stats G2'!B7</f>
        <v>?</v>
      </c>
      <c r="H5">
        <f>'Stats G2'!C7</f>
        <v>0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Tim</v>
      </c>
      <c r="G6" t="str">
        <f>'Stats G2'!B8</f>
        <v>Drisdom</v>
      </c>
      <c r="H6">
        <f>'Stats G2'!C8</f>
        <v>11</v>
      </c>
      <c r="I6">
        <f>'Stats G2'!H8*2+'Stats G2'!N8*3+'Stats G2'!T8</f>
        <v>3</v>
      </c>
      <c r="J6" t="str">
        <f>SUM('Stats G2'!H8+'Stats G2'!N8)&amp;"-"&amp;SUM('Stats G2'!E8+'Stats G2'!K8)</f>
        <v>1-7</v>
      </c>
      <c r="K6" t="str">
        <f>SUM('Stats G2'!N8)&amp;"-"&amp;SUM('Stats G2'!K8)</f>
        <v>1-6</v>
      </c>
      <c r="L6" t="str">
        <f>SUM('Stats G2'!T8)&amp;"-"&amp;SUM('Stats G2'!Q8)</f>
        <v>0-0</v>
      </c>
    </row>
    <row r="7" spans="2:12" x14ac:dyDescent="0.2">
      <c r="F7" t="str">
        <f>'Stats G2'!A9</f>
        <v>Terrence</v>
      </c>
      <c r="G7" t="str">
        <f>'Stats G2'!B9</f>
        <v>Drisdom</v>
      </c>
      <c r="H7">
        <f>'Stats G2'!C9</f>
        <v>2</v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Jared</v>
      </c>
      <c r="G8" t="str">
        <f>'Stats G2'!B10</f>
        <v>Butler</v>
      </c>
      <c r="H8">
        <f>'Stats G2'!C10</f>
        <v>0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Shaun</v>
      </c>
      <c r="G9" t="str">
        <f>'Stats G2'!B11</f>
        <v>Green</v>
      </c>
      <c r="H9">
        <f>'Stats G2'!C11</f>
        <v>13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Zeus</v>
      </c>
      <c r="G10" t="str">
        <f>'Stats G2'!B12</f>
        <v>Martinez</v>
      </c>
      <c r="H10">
        <f>'Stats G2'!C12</f>
        <v>1</v>
      </c>
      <c r="I10">
        <f>'Stats G2'!H12*2+'Stats G2'!N12*3+'Stats G2'!T12</f>
        <v>10</v>
      </c>
      <c r="J10" t="str">
        <f>SUM('Stats G2'!H12+'Stats G2'!N12)&amp;"-"&amp;SUM('Stats G2'!E12+'Stats G2'!K12)</f>
        <v>4-10</v>
      </c>
      <c r="K10" t="str">
        <f>SUM('Stats G2'!N12)&amp;"-"&amp;SUM('Stats G2'!K12)</f>
        <v>2-7</v>
      </c>
      <c r="L10" t="str">
        <f>SUM('Stats G2'!T12)&amp;"-"&amp;SUM('Stats G2'!Q12)</f>
        <v>0-0</v>
      </c>
    </row>
    <row r="11" spans="2:12" x14ac:dyDescent="0.2">
      <c r="F11" t="str">
        <f>'Stats G2'!A13</f>
        <v>Vai</v>
      </c>
      <c r="G11" t="str">
        <f>'Stats G2'!B13</f>
        <v>Harris</v>
      </c>
      <c r="H11">
        <f>'Stats G2'!C13</f>
        <v>4</v>
      </c>
      <c r="I11">
        <f>'Stats G2'!H13*2+'Stats G2'!N13*3+'Stats G2'!T13</f>
        <v>6</v>
      </c>
      <c r="J11" t="str">
        <f>SUM('Stats G2'!H13+'Stats G2'!N13)&amp;"-"&amp;SUM('Stats G2'!E13+'Stats G2'!K13)</f>
        <v>2-6</v>
      </c>
      <c r="K11" t="str">
        <f>SUM('Stats G2'!N13)&amp;"-"&amp;SUM('Stats G2'!K13)</f>
        <v>0-2</v>
      </c>
      <c r="L11" t="str">
        <f>SUM('Stats G2'!T13)&amp;"-"&amp;SUM('Stats G2'!Q13)</f>
        <v>2-2</v>
      </c>
    </row>
    <row r="12" spans="2:12" x14ac:dyDescent="0.2">
      <c r="F12" t="str">
        <f>'Stats G2'!A14</f>
        <v>Brekott</v>
      </c>
      <c r="G12" t="str">
        <f>'Stats G2'!B14</f>
        <v>Chapman</v>
      </c>
      <c r="H12">
        <f>'Stats G2'!C14</f>
        <v>6</v>
      </c>
      <c r="I12">
        <f>'Stats G2'!H14*2+'Stats G2'!N14*3+'Stats G2'!T14</f>
        <v>24</v>
      </c>
      <c r="J12" t="str">
        <f>SUM('Stats G2'!H14+'Stats G2'!N14)&amp;"-"&amp;SUM('Stats G2'!E14+'Stats G2'!K14)</f>
        <v>6-15</v>
      </c>
      <c r="K12" t="str">
        <f>SUM('Stats G2'!N14)&amp;"-"&amp;SUM('Stats G2'!K14)</f>
        <v>3-7</v>
      </c>
      <c r="L12" t="str">
        <f>SUM('Stats G2'!T14)&amp;"-"&amp;SUM('Stats G2'!Q14)</f>
        <v>9-12</v>
      </c>
    </row>
    <row r="13" spans="2:12" x14ac:dyDescent="0.2">
      <c r="F13" t="str">
        <f>'Stats G2'!A15</f>
        <v>Bryant</v>
      </c>
      <c r="G13" t="str">
        <f>'Stats G2'!B15</f>
        <v>Markson</v>
      </c>
      <c r="H13">
        <f>'Stats G2'!C15</f>
        <v>20</v>
      </c>
      <c r="I13">
        <f>'Stats G2'!H15*2+'Stats G2'!N15*3+'Stats G2'!T15</f>
        <v>0</v>
      </c>
      <c r="J13" t="str">
        <f>SUM('Stats G2'!H15+'Stats G2'!N15)&amp;"-"&amp;SUM('Stats G2'!E15+'Stats G2'!K15)</f>
        <v>0-0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Dwayne</v>
      </c>
      <c r="G14" t="str">
        <f>'Stats G2'!B16</f>
        <v>Brown</v>
      </c>
      <c r="H14">
        <f>'Stats G2'!C16</f>
        <v>8</v>
      </c>
      <c r="I14">
        <f>'Stats G2'!H16*2+'Stats G2'!N16*3+'Stats G2'!T16</f>
        <v>30</v>
      </c>
      <c r="J14" t="str">
        <f>SUM('Stats G2'!H16+'Stats G2'!N16)&amp;"-"&amp;SUM('Stats G2'!E16+'Stats G2'!K16)</f>
        <v>10-20</v>
      </c>
      <c r="K14" t="str">
        <f>SUM('Stats G2'!N16)&amp;"-"&amp;SUM('Stats G2'!K16)</f>
        <v>4-10</v>
      </c>
      <c r="L14" t="str">
        <f>SUM('Stats G2'!T16)&amp;"-"&amp;SUM('Stats G2'!Q16)</f>
        <v>6-6</v>
      </c>
    </row>
    <row r="15" spans="2:12" x14ac:dyDescent="0.2">
      <c r="F15" t="str">
        <f>'Stats G2'!A17</f>
        <v>Tre</v>
      </c>
      <c r="G15" t="str">
        <f>'Stats G2'!B17</f>
        <v>Smith</v>
      </c>
      <c r="H15">
        <f>'Stats G2'!C17</f>
        <v>3</v>
      </c>
      <c r="I15">
        <f>'Stats G2'!H17*2+'Stats G2'!N17*3+'Stats G2'!T17</f>
        <v>12</v>
      </c>
      <c r="J15" t="str">
        <f>SUM('Stats G2'!H17+'Stats G2'!N17)&amp;"-"&amp;SUM('Stats G2'!E17+'Stats G2'!K17)</f>
        <v>4-10</v>
      </c>
      <c r="K15" t="str">
        <f>SUM('Stats G2'!N17)&amp;"-"&amp;SUM('Stats G2'!K17)</f>
        <v>4-8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100</v>
      </c>
      <c r="J18" t="str">
        <f>SUM('Stats G2'!H20+'Stats G2'!N20)&amp;"-"&amp;SUM('Stats G2'!E20+'Stats G2'!K20)</f>
        <v>33-82</v>
      </c>
      <c r="K18" t="str">
        <f>SUM('Stats G2'!N20)&amp;"-"&amp;SUM('Stats G2'!K20)</f>
        <v>17-48</v>
      </c>
      <c r="L18" t="str">
        <f>SUM('Stats G2'!T20)&amp;"-"&amp;SUM('Stats G2'!Q20)</f>
        <v>17-20</v>
      </c>
    </row>
    <row r="20" spans="6:12" x14ac:dyDescent="0.2">
      <c r="F20" t="s">
        <v>11</v>
      </c>
      <c r="G20" t="str">
        <f>'Stats G2'!B21</f>
        <v>Team Bullock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Tyus</v>
      </c>
      <c r="G22" t="str">
        <f>'Stats G2'!B23</f>
        <v>Jefferson</v>
      </c>
      <c r="H22">
        <f>'Stats G2'!C23</f>
        <v>3</v>
      </c>
      <c r="I22">
        <f>'Stats G2'!H23*2+'Stats G2'!N23*3+'Stats G2'!T23</f>
        <v>20</v>
      </c>
      <c r="J22" t="str">
        <f>SUM('Stats G2'!H23+'Stats G2'!N23)&amp;"-"&amp;SUM('Stats G2'!E23+'Stats G2'!K23)</f>
        <v>9-17</v>
      </c>
      <c r="K22" t="str">
        <f>SUM('Stats G2'!N23)&amp;"-"&amp;SUM('Stats G2'!K23)</f>
        <v>0-3</v>
      </c>
      <c r="L22" t="str">
        <f>SUM('Stats G2'!T23)&amp;"-"&amp;SUM('Stats G2'!Q23)</f>
        <v>2-4</v>
      </c>
    </row>
    <row r="23" spans="6:12" x14ac:dyDescent="0.2">
      <c r="F23" t="str">
        <f>'Stats G2'!A24</f>
        <v>Jordan</v>
      </c>
      <c r="G23" t="str">
        <f>'Stats G2'!B24</f>
        <v>Loveridge</v>
      </c>
      <c r="H23">
        <f>'Stats G2'!C24</f>
        <v>21</v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Kyndayl</v>
      </c>
      <c r="G24" t="str">
        <f>'Stats G2'!B25</f>
        <v>Hill</v>
      </c>
      <c r="H24">
        <f>'Stats G2'!C25</f>
        <v>15</v>
      </c>
      <c r="I24">
        <f>'Stats G2'!H25*2+'Stats G2'!N25*3+'Stats G2'!T25</f>
        <v>9</v>
      </c>
      <c r="J24" t="str">
        <f>SUM('Stats G2'!H25+'Stats G2'!N25)&amp;"-"&amp;SUM('Stats G2'!E25+'Stats G2'!K25)</f>
        <v>3-6</v>
      </c>
      <c r="K24" t="str">
        <f>SUM('Stats G2'!N25)&amp;"-"&amp;SUM('Stats G2'!K25)</f>
        <v>2-3</v>
      </c>
      <c r="L24" t="str">
        <f>SUM('Stats G2'!T25)&amp;"-"&amp;SUM('Stats G2'!Q25)</f>
        <v>1-2</v>
      </c>
    </row>
    <row r="25" spans="6:12" x14ac:dyDescent="0.2">
      <c r="F25" t="str">
        <f>'Stats G2'!A26</f>
        <v>Duce</v>
      </c>
      <c r="G25" t="str">
        <f>'Stats G2'!B26</f>
        <v>Zaid</v>
      </c>
      <c r="H25">
        <f>'Stats G2'!C26</f>
        <v>5</v>
      </c>
      <c r="I25">
        <f>'Stats G2'!H26*2+'Stats G2'!N26*3+'Stats G2'!T26</f>
        <v>2</v>
      </c>
      <c r="J25" t="str">
        <f>SUM('Stats G2'!H26+'Stats G2'!N26)&amp;"-"&amp;SUM('Stats G2'!E26+'Stats G2'!K26)</f>
        <v>1-3</v>
      </c>
      <c r="K25" t="str">
        <f>SUM('Stats G2'!N26)&amp;"-"&amp;SUM('Stats G2'!K26)</f>
        <v>0-1</v>
      </c>
      <c r="L25" t="str">
        <f>SUM('Stats G2'!T26)&amp;"-"&amp;SUM('Stats G2'!Q26)</f>
        <v>0-0</v>
      </c>
    </row>
    <row r="26" spans="6:12" x14ac:dyDescent="0.2">
      <c r="F26" t="str">
        <f>'Stats G2'!A27</f>
        <v>Charles</v>
      </c>
      <c r="G26" t="str">
        <f>'Stats G2'!B27</f>
        <v>Nann</v>
      </c>
      <c r="H26">
        <f>'Stats G2'!C27</f>
        <v>7</v>
      </c>
      <c r="I26">
        <f>'Stats G2'!H27*2+'Stats G2'!N27*3+'Stats G2'!T27</f>
        <v>6</v>
      </c>
      <c r="J26" t="str">
        <f>SUM('Stats G2'!H27+'Stats G2'!N27)&amp;"-"&amp;SUM('Stats G2'!E27+'Stats G2'!K27)</f>
        <v>1-3</v>
      </c>
      <c r="K26" t="str">
        <f>SUM('Stats G2'!N27)&amp;"-"&amp;SUM('Stats G2'!K27)</f>
        <v>0-1</v>
      </c>
      <c r="L26" t="str">
        <f>SUM('Stats G2'!T27)&amp;"-"&amp;SUM('Stats G2'!Q27)</f>
        <v>4-4</v>
      </c>
    </row>
    <row r="27" spans="6:12" x14ac:dyDescent="0.2">
      <c r="F27" t="str">
        <f>'Stats G2'!A28</f>
        <v>Marqus</v>
      </c>
      <c r="G27" t="str">
        <f>'Stats G2'!B28</f>
        <v>Gilson</v>
      </c>
      <c r="H27">
        <f>'Stats G2'!C28</f>
        <v>24</v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Ray</v>
      </c>
      <c r="G28" t="str">
        <f>'Stats G2'!B29</f>
        <v>Gallegos</v>
      </c>
      <c r="H28">
        <f>'Stats G2'!C29</f>
        <v>8</v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">
      <c r="F29" t="str">
        <f>'Stats G2'!A30</f>
        <v>Colton</v>
      </c>
      <c r="G29" t="str">
        <f>'Stats G2'!B30</f>
        <v>Burgon</v>
      </c>
      <c r="H29">
        <f>'Stats G2'!C30</f>
        <v>20</v>
      </c>
      <c r="I29">
        <f>'Stats G2'!H30*2+'Stats G2'!N30*3+'Stats G2'!T30</f>
        <v>2</v>
      </c>
      <c r="J29" t="str">
        <f>SUM('Stats G2'!H30+'Stats G2'!N30)&amp;"-"&amp;SUM('Stats G2'!E30+'Stats G2'!K30)</f>
        <v>1-4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Thomas</v>
      </c>
      <c r="G30" t="str">
        <f>'Stats G2'!B31</f>
        <v>Bullock</v>
      </c>
      <c r="H30">
        <f>'Stats G2'!C31</f>
        <v>22</v>
      </c>
      <c r="I30">
        <f>'Stats G2'!H31*2+'Stats G2'!N31*3+'Stats G2'!T31</f>
        <v>14</v>
      </c>
      <c r="J30" t="str">
        <f>SUM('Stats G2'!H31+'Stats G2'!N31)&amp;"-"&amp;SUM('Stats G2'!E31+'Stats G2'!K31)</f>
        <v>6-12</v>
      </c>
      <c r="K30" t="str">
        <f>SUM('Stats G2'!N31)&amp;"-"&amp;SUM('Stats G2'!K31)</f>
        <v>2-4</v>
      </c>
      <c r="L30" t="str">
        <f>SUM('Stats G2'!T31)&amp;"-"&amp;SUM('Stats G2'!Q31)</f>
        <v>0-0</v>
      </c>
    </row>
    <row r="31" spans="6:12" x14ac:dyDescent="0.2">
      <c r="F31" t="str">
        <f>'Stats G2'!A32</f>
        <v>Tyler</v>
      </c>
      <c r="G31" t="str">
        <f>'Stats G2'!B32</f>
        <v>Burgess</v>
      </c>
      <c r="H31">
        <f>'Stats G2'!C32</f>
        <v>23</v>
      </c>
      <c r="I31">
        <f>'Stats G2'!H32*2+'Stats G2'!N32*3+'Stats G2'!T32</f>
        <v>6</v>
      </c>
      <c r="J31" t="str">
        <f>SUM('Stats G2'!H32+'Stats G2'!N32)&amp;"-"&amp;SUM('Stats G2'!E32+'Stats G2'!K32)</f>
        <v>2-4</v>
      </c>
      <c r="K31" t="str">
        <f>SUM('Stats G2'!N32)&amp;"-"&amp;SUM('Stats G2'!K32)</f>
        <v>1-2</v>
      </c>
      <c r="L31" t="str">
        <f>SUM('Stats G2'!T32)&amp;"-"&amp;SUM('Stats G2'!Q32)</f>
        <v>1-2</v>
      </c>
    </row>
    <row r="32" spans="6:12" x14ac:dyDescent="0.2">
      <c r="F32" t="str">
        <f>'Stats G2'!A33</f>
        <v>Kentrell</v>
      </c>
      <c r="G32" t="str">
        <f>'Stats G2'!B33</f>
        <v>Barkley</v>
      </c>
      <c r="H32">
        <f>'Stats G2'!C33</f>
        <v>12</v>
      </c>
      <c r="I32">
        <f>'Stats G2'!H33*2+'Stats G2'!N33*3+'Stats G2'!T33</f>
        <v>35</v>
      </c>
      <c r="J32" t="str">
        <f>SUM('Stats G2'!H33+'Stats G2'!N33)&amp;"-"&amp;SUM('Stats G2'!E33+'Stats G2'!K33)</f>
        <v>14-25</v>
      </c>
      <c r="K32" t="str">
        <f>SUM('Stats G2'!N33)&amp;"-"&amp;SUM('Stats G2'!K33)</f>
        <v>2-7</v>
      </c>
      <c r="L32" t="str">
        <f>SUM('Stats G2'!T33)&amp;"-"&amp;SUM('Stats G2'!Q33)</f>
        <v>5-6</v>
      </c>
    </row>
    <row r="33" spans="6:12" x14ac:dyDescent="0.2">
      <c r="F33" t="str">
        <f>'Stats G2'!A34</f>
        <v>Brenden</v>
      </c>
      <c r="G33" t="str">
        <f>'Stats G2'!B34</f>
        <v>Morris</v>
      </c>
      <c r="H33">
        <f>'Stats G2'!C34</f>
        <v>23</v>
      </c>
      <c r="I33">
        <f>'Stats G2'!H34*2+'Stats G2'!N34*3+'Stats G2'!T34</f>
        <v>17</v>
      </c>
      <c r="J33" t="str">
        <f>SUM('Stats G2'!H34+'Stats G2'!N34)&amp;"-"&amp;SUM('Stats G2'!E34+'Stats G2'!K34)</f>
        <v>6-12</v>
      </c>
      <c r="K33" t="str">
        <f>SUM('Stats G2'!N34)&amp;"-"&amp;SUM('Stats G2'!K34)</f>
        <v>1-3</v>
      </c>
      <c r="L33" t="str">
        <f>SUM('Stats G2'!T34)&amp;"-"&amp;SUM('Stats G2'!Q34)</f>
        <v>4-4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111</v>
      </c>
      <c r="J37" t="str">
        <f>SUM('Stats G2'!H38+'Stats G2'!N38)&amp;"-"&amp;SUM('Stats G2'!E38+'Stats G2'!K38)</f>
        <v>43-86</v>
      </c>
      <c r="K37" t="str">
        <f>SUM('Stats G2'!N38)&amp;"-"&amp;SUM('Stats G2'!K38)</f>
        <v>8-24</v>
      </c>
      <c r="L37" t="str">
        <f>SUM('Stats G2'!T38)&amp;"-"&amp;SUM('Stats G2'!Q38)</f>
        <v>17-22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90" zoomScaleNormal="90" workbookViewId="0">
      <selection activeCell="K12" sqref="K1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70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26</v>
      </c>
    </row>
    <row r="5" spans="1:24" s="6" customFormat="1" x14ac:dyDescent="0.2">
      <c r="A5" s="5" t="str">
        <f>_xlfn.IFNA(VLOOKUP($B$3&amp;ROWS($A$5:A5),Rosters!$B$2:$C$163,2,0),"?")</f>
        <v>Corbin</v>
      </c>
      <c r="B5" s="5" t="str">
        <f>_xlfn.IFNA(VLOOKUP($B$3&amp;ROWS($B$5:B5),Rosters!$B$2:$D$163,3,0),"?")</f>
        <v>Green</v>
      </c>
      <c r="C5" s="5">
        <f>_xlfn.IFNA(VLOOKUP($B$3&amp;ROWS($C$5:C5),Rosters!$B$2:$E$163,4,0),"")</f>
        <v>7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Aubrey</v>
      </c>
      <c r="B6" s="6" t="str">
        <f>_xlfn.IFNA(VLOOKUP($B$3&amp;ROWS($B$5:B6),Rosters!$B$2:$D$163,3,0),"?")</f>
        <v>Hodges</v>
      </c>
      <c r="C6" s="6">
        <f>_xlfn.IFNA(VLOOKUP($B$3&amp;ROWS($C$5:C6),Rosters!$B$2:$E$163,4,0),"")</f>
        <v>5</v>
      </c>
      <c r="E6" s="6">
        <v>6</v>
      </c>
      <c r="H6" s="6">
        <v>3</v>
      </c>
      <c r="K6" s="6">
        <v>8</v>
      </c>
      <c r="N6" s="6">
        <v>3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">
        <v>115</v>
      </c>
      <c r="B7" s="5" t="s">
        <v>115</v>
      </c>
      <c r="C7" s="5"/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Tim</v>
      </c>
      <c r="B8" s="6" t="str">
        <f>_xlfn.IFNA(VLOOKUP($B$3&amp;ROWS($B$5:B8),Rosters!$B$2:$D$163,3,0),"?")</f>
        <v>Drisdom</v>
      </c>
      <c r="C8" s="6">
        <f>_xlfn.IFNA(VLOOKUP($B$3&amp;ROWS($C$5:C8),Rosters!$B$2:$E$163,4,0),"")</f>
        <v>11</v>
      </c>
      <c r="E8" s="6">
        <v>1</v>
      </c>
      <c r="H8" s="6">
        <v>0</v>
      </c>
      <c r="K8" s="6">
        <v>6</v>
      </c>
      <c r="N8" s="6">
        <v>1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Terrence</v>
      </c>
      <c r="B9" s="5" t="str">
        <f>_xlfn.IFNA(VLOOKUP($B$3&amp;ROWS($B$5:B9),Rosters!$B$2:$D$163,3,0),"?")</f>
        <v>Drisdom</v>
      </c>
      <c r="C9" s="5">
        <f>_xlfn.IFNA(VLOOKUP($B$3&amp;ROWS($C$5:C9),Rosters!$B$2:$E$163,4,0),"")</f>
        <v>2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Jared</v>
      </c>
      <c r="B10" s="6" t="str">
        <f>_xlfn.IFNA(VLOOKUP($B$3&amp;ROWS($B$5:B10),Rosters!$B$2:$D$163,3,0),"?")</f>
        <v>Butler</v>
      </c>
      <c r="C10" s="6">
        <f>_xlfn.IFNA(VLOOKUP($B$3&amp;ROWS($C$5:C10),Rosters!$B$2:$E$163,4,0),"")</f>
        <v>0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Shaun</v>
      </c>
      <c r="B11" s="5" t="str">
        <f>_xlfn.IFNA(VLOOKUP($B$3&amp;ROWS($B$5:B11),Rosters!$B$2:$D$163,3,0),"?")</f>
        <v>Green</v>
      </c>
      <c r="C11" s="5">
        <f>_xlfn.IFNA(VLOOKUP($B$3&amp;ROWS($C$5:C11),Rosters!$B$2:$E$163,4,0),"")</f>
        <v>13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Zeus</v>
      </c>
      <c r="B12" s="6" t="str">
        <f>_xlfn.IFNA(VLOOKUP($B$3&amp;ROWS($B$5:B12),Rosters!$B$2:$D$163,3,0),"?")</f>
        <v>Martinez</v>
      </c>
      <c r="C12" s="6">
        <f>_xlfn.IFNA(VLOOKUP($B$3&amp;ROWS($C$5:C12),Rosters!$B$2:$E$163,4,0),"")</f>
        <v>1</v>
      </c>
      <c r="E12" s="6">
        <v>3</v>
      </c>
      <c r="H12" s="6">
        <v>2</v>
      </c>
      <c r="K12" s="6">
        <v>7</v>
      </c>
      <c r="N12" s="6">
        <v>2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Vai</v>
      </c>
      <c r="B13" s="5" t="str">
        <f>_xlfn.IFNA(VLOOKUP($B$3&amp;ROWS($B$5:B13),Rosters!$B$2:$D$163,3,0),"?")</f>
        <v>Harris</v>
      </c>
      <c r="C13" s="5">
        <f>_xlfn.IFNA(VLOOKUP($B$3&amp;ROWS($C$5:C13),Rosters!$B$2:$E$163,4,0),"")</f>
        <v>4</v>
      </c>
      <c r="D13" s="5"/>
      <c r="E13" s="5">
        <v>4</v>
      </c>
      <c r="F13" s="5"/>
      <c r="G13" s="5"/>
      <c r="H13" s="5">
        <v>2</v>
      </c>
      <c r="I13" s="5"/>
      <c r="J13" s="5"/>
      <c r="K13" s="5">
        <v>2</v>
      </c>
      <c r="L13" s="5"/>
      <c r="M13" s="5"/>
      <c r="N13" s="5">
        <v>0</v>
      </c>
      <c r="O13" s="5"/>
      <c r="P13" s="5"/>
      <c r="Q13" s="5">
        <v>2</v>
      </c>
      <c r="R13" s="5"/>
      <c r="S13" s="5"/>
      <c r="T13" s="5">
        <v>2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Brekott</v>
      </c>
      <c r="B14" s="6" t="str">
        <f>_xlfn.IFNA(VLOOKUP($B$3&amp;ROWS($B$5:B14),Rosters!$B$2:$D$163,3,0),"?")</f>
        <v>Chapman</v>
      </c>
      <c r="C14" s="6">
        <f>_xlfn.IFNA(VLOOKUP($B$3&amp;ROWS($C$5:C14),Rosters!$B$2:$E$163,4,0),"")</f>
        <v>6</v>
      </c>
      <c r="E14" s="6">
        <v>8</v>
      </c>
      <c r="H14" s="6">
        <v>3</v>
      </c>
      <c r="K14" s="6">
        <v>7</v>
      </c>
      <c r="N14" s="6">
        <v>3</v>
      </c>
      <c r="Q14" s="6">
        <v>12</v>
      </c>
      <c r="T14" s="6">
        <v>9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Bryant</v>
      </c>
      <c r="B15" s="5" t="str">
        <f>_xlfn.IFNA(VLOOKUP($B$3&amp;ROWS($B$5:B15),Rosters!$B$2:$D$163,3,0),"?")</f>
        <v>Markson</v>
      </c>
      <c r="C15" s="5">
        <f>_xlfn.IFNA(VLOOKUP($B$3&amp;ROWS($C$5:C15),Rosters!$B$2:$E$163,4,0),"")</f>
        <v>20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">
        <v>67</v>
      </c>
      <c r="B16" s="6" t="s">
        <v>114</v>
      </c>
      <c r="C16" s="6">
        <v>8</v>
      </c>
      <c r="E16" s="6">
        <v>10</v>
      </c>
      <c r="H16" s="6">
        <v>6</v>
      </c>
      <c r="K16" s="6">
        <v>10</v>
      </c>
      <c r="N16" s="6">
        <v>4</v>
      </c>
      <c r="Q16" s="6">
        <v>6</v>
      </c>
      <c r="T16" s="6">
        <v>6</v>
      </c>
      <c r="W16" s="6">
        <v>0</v>
      </c>
    </row>
    <row r="17" spans="1:24" s="6" customFormat="1" x14ac:dyDescent="0.2">
      <c r="A17" s="5" t="s">
        <v>75</v>
      </c>
      <c r="B17" s="5" t="s">
        <v>57</v>
      </c>
      <c r="C17" s="5">
        <v>3</v>
      </c>
      <c r="D17" s="5"/>
      <c r="E17" s="5">
        <v>2</v>
      </c>
      <c r="F17" s="5"/>
      <c r="G17" s="5"/>
      <c r="H17" s="5">
        <v>0</v>
      </c>
      <c r="I17" s="5"/>
      <c r="J17" s="5"/>
      <c r="K17" s="5">
        <v>8</v>
      </c>
      <c r="L17" s="5"/>
      <c r="M17" s="5"/>
      <c r="N17" s="5">
        <v>4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34</v>
      </c>
      <c r="H20" s="6">
        <f>SUM(H5:H19)</f>
        <v>16</v>
      </c>
      <c r="K20" s="6">
        <f>SUM(K5:K19)</f>
        <v>48</v>
      </c>
      <c r="N20" s="6">
        <f>SUM(N5:N19)</f>
        <v>17</v>
      </c>
      <c r="Q20" s="6">
        <f>SUM(Q5:Q19)</f>
        <v>20</v>
      </c>
      <c r="T20" s="6">
        <f>SUM(T5:T19)</f>
        <v>17</v>
      </c>
      <c r="W20" s="6">
        <f>SUM(W5:W19)</f>
        <v>0</v>
      </c>
    </row>
    <row r="21" spans="1:24" x14ac:dyDescent="0.2">
      <c r="A21" s="2" t="s">
        <v>15</v>
      </c>
      <c r="B21" s="1" t="s">
        <v>89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26</v>
      </c>
    </row>
    <row r="23" spans="1:24" s="6" customFormat="1" x14ac:dyDescent="0.2">
      <c r="A23" s="5" t="str">
        <f>_xlfn.IFNA(VLOOKUP($B$21&amp;ROWS($A$23:A23),Rosters!$B$2:$C$163,2,0),"?")</f>
        <v>Tyus</v>
      </c>
      <c r="B23" s="5" t="str">
        <f>_xlfn.IFNA(VLOOKUP($B$21&amp;ROWS($B$23:B23),Rosters!$B$2:$D$163,3,0),"?")</f>
        <v>Jefferson</v>
      </c>
      <c r="C23" s="5">
        <f>_xlfn.IFNA(VLOOKUP($B$21&amp;ROWS($C$23:C23),Rosters!$B$2:$E$163,4,0),"")</f>
        <v>3</v>
      </c>
      <c r="D23" s="5"/>
      <c r="E23" s="5">
        <v>14</v>
      </c>
      <c r="F23" s="5"/>
      <c r="G23" s="5"/>
      <c r="H23" s="5">
        <v>9</v>
      </c>
      <c r="I23" s="5"/>
      <c r="J23" s="5"/>
      <c r="K23" s="5">
        <v>3</v>
      </c>
      <c r="L23" s="5"/>
      <c r="M23" s="5"/>
      <c r="N23" s="5">
        <v>0</v>
      </c>
      <c r="O23" s="5"/>
      <c r="P23" s="5"/>
      <c r="Q23" s="5">
        <v>4</v>
      </c>
      <c r="R23" s="5"/>
      <c r="S23" s="5"/>
      <c r="T23" s="5">
        <v>2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Jordan</v>
      </c>
      <c r="B24" t="str">
        <f>_xlfn.IFNA(VLOOKUP($B$21&amp;ROWS($B$23:B24),Rosters!$B$2:$D$163,3,0),"?")</f>
        <v>Loveridge</v>
      </c>
      <c r="C24">
        <f>_xlfn.IFNA(VLOOKUP($B$21&amp;ROWS($C$23:C24),Rosters!$B$2:$E$163,4,0),"")</f>
        <v>21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Kyndayl</v>
      </c>
      <c r="B25" s="5" t="str">
        <f>_xlfn.IFNA(VLOOKUP($B$21&amp;ROWS($B$23:B25),Rosters!$B$2:$D$163,3,0),"?")</f>
        <v>Hill</v>
      </c>
      <c r="C25" s="5">
        <f>_xlfn.IFNA(VLOOKUP($B$21&amp;ROWS($C$23:C25),Rosters!$B$2:$E$163,4,0),"")</f>
        <v>15</v>
      </c>
      <c r="D25" s="5"/>
      <c r="E25" s="5">
        <v>3</v>
      </c>
      <c r="F25" s="5"/>
      <c r="G25" s="5"/>
      <c r="H25" s="5">
        <v>1</v>
      </c>
      <c r="I25" s="5"/>
      <c r="J25" s="5"/>
      <c r="K25" s="5">
        <v>3</v>
      </c>
      <c r="L25" s="5"/>
      <c r="M25" s="5"/>
      <c r="N25" s="5">
        <v>2</v>
      </c>
      <c r="O25" s="5"/>
      <c r="P25" s="5"/>
      <c r="Q25" s="5">
        <v>2</v>
      </c>
      <c r="R25" s="5"/>
      <c r="S25" s="5"/>
      <c r="T25" s="5">
        <v>1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Duce</v>
      </c>
      <c r="B26" t="str">
        <f>_xlfn.IFNA(VLOOKUP($B$21&amp;ROWS($B$23:B26),Rosters!$B$2:$D$163,3,0),"?")</f>
        <v>Zaid</v>
      </c>
      <c r="C26">
        <f>_xlfn.IFNA(VLOOKUP($B$21&amp;ROWS($C$23:C26),Rosters!$B$2:$E$163,4,0),"")</f>
        <v>5</v>
      </c>
      <c r="D26" s="6"/>
      <c r="E26" s="6">
        <v>2</v>
      </c>
      <c r="F26" s="6"/>
      <c r="G26" s="6"/>
      <c r="H26" s="6">
        <v>1</v>
      </c>
      <c r="I26" s="6"/>
      <c r="J26" s="6"/>
      <c r="K26" s="6">
        <v>1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Charles</v>
      </c>
      <c r="B27" s="5" t="str">
        <f>_xlfn.IFNA(VLOOKUP($B$21&amp;ROWS($B$23:B27),Rosters!$B$2:$D$163,3,0),"?")</f>
        <v>Nann</v>
      </c>
      <c r="C27" s="5">
        <f>_xlfn.IFNA(VLOOKUP($B$21&amp;ROWS($C$23:C27),Rosters!$B$2:$E$163,4,0),"")</f>
        <v>7</v>
      </c>
      <c r="D27" s="5"/>
      <c r="E27" s="5">
        <v>2</v>
      </c>
      <c r="F27" s="5"/>
      <c r="G27" s="5"/>
      <c r="H27" s="5">
        <v>1</v>
      </c>
      <c r="I27" s="5"/>
      <c r="J27" s="5"/>
      <c r="K27" s="5">
        <v>1</v>
      </c>
      <c r="L27" s="5"/>
      <c r="M27" s="5"/>
      <c r="N27" s="5">
        <v>0</v>
      </c>
      <c r="O27" s="5"/>
      <c r="P27" s="5"/>
      <c r="Q27" s="5">
        <v>4</v>
      </c>
      <c r="R27" s="5"/>
      <c r="S27" s="5"/>
      <c r="T27" s="5">
        <v>4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Marqus</v>
      </c>
      <c r="B28" t="str">
        <f>_xlfn.IFNA(VLOOKUP($B$21&amp;ROWS($B$23:B28),Rosters!$B$2:$D$163,3,0),"?")</f>
        <v>Gilson</v>
      </c>
      <c r="C28">
        <f>_xlfn.IFNA(VLOOKUP($B$21&amp;ROWS($C$23:C28),Rosters!$B$2:$E$163,4,0),"")</f>
        <v>24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Ray</v>
      </c>
      <c r="B29" s="5" t="str">
        <f>_xlfn.IFNA(VLOOKUP($B$21&amp;ROWS($B$23:B29),Rosters!$B$2:$D$163,3,0),"?")</f>
        <v>Gallegos</v>
      </c>
      <c r="C29" s="5">
        <f>_xlfn.IFNA(VLOOKUP($B$21&amp;ROWS($C$23:C29),Rosters!$B$2:$E$163,4,0),"")</f>
        <v>8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Colton</v>
      </c>
      <c r="B30" t="str">
        <f>_xlfn.IFNA(VLOOKUP($B$21&amp;ROWS($B$23:B30),Rosters!$B$2:$D$163,3,0),"?")</f>
        <v>Burgon</v>
      </c>
      <c r="C30">
        <f>_xlfn.IFNA(VLOOKUP($B$21&amp;ROWS($C$23:C30),Rosters!$B$2:$E$163,4,0),"")</f>
        <v>20</v>
      </c>
      <c r="D30" s="6"/>
      <c r="E30" s="6">
        <v>4</v>
      </c>
      <c r="F30" s="6"/>
      <c r="G30" s="6"/>
      <c r="H30" s="6">
        <v>1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Thomas</v>
      </c>
      <c r="B31" s="5" t="str">
        <f>_xlfn.IFNA(VLOOKUP($B$21&amp;ROWS($B$23:B31),Rosters!$B$2:$D$163,3,0),"?")</f>
        <v>Bullock</v>
      </c>
      <c r="C31" s="5">
        <f>_xlfn.IFNA(VLOOKUP($B$21&amp;ROWS($C$23:C31),Rosters!$B$2:$E$163,4,0),"")</f>
        <v>22</v>
      </c>
      <c r="D31" s="5"/>
      <c r="E31" s="5">
        <v>8</v>
      </c>
      <c r="F31" s="5"/>
      <c r="G31" s="5"/>
      <c r="H31" s="5">
        <v>4</v>
      </c>
      <c r="I31" s="5"/>
      <c r="J31" s="5"/>
      <c r="K31" s="5">
        <v>4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Tyler</v>
      </c>
      <c r="B32" t="str">
        <f>_xlfn.IFNA(VLOOKUP($B$21&amp;ROWS($B$23:B32),Rosters!$B$2:$D$163,3,0),"?")</f>
        <v>Burgess</v>
      </c>
      <c r="C32">
        <f>_xlfn.IFNA(VLOOKUP($B$21&amp;ROWS($C$23:C32),Rosters!$B$2:$E$163,4,0),"")</f>
        <v>23</v>
      </c>
      <c r="D32" s="6"/>
      <c r="E32" s="6">
        <v>2</v>
      </c>
      <c r="F32" s="6"/>
      <c r="G32" s="6"/>
      <c r="H32" s="6">
        <v>1</v>
      </c>
      <c r="I32" s="6"/>
      <c r="J32" s="6"/>
      <c r="K32" s="6">
        <v>2</v>
      </c>
      <c r="L32" s="6"/>
      <c r="M32" s="6"/>
      <c r="N32" s="6">
        <v>1</v>
      </c>
      <c r="O32" s="6"/>
      <c r="P32" s="6"/>
      <c r="Q32" s="6">
        <v>2</v>
      </c>
      <c r="R32" s="6"/>
      <c r="S32" s="6"/>
      <c r="T32" s="6">
        <v>1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Kentrell</v>
      </c>
      <c r="B33" s="5" t="str">
        <f>_xlfn.IFNA(VLOOKUP($B$21&amp;ROWS($B$23:B33),Rosters!$B$2:$D$163,3,0),"?")</f>
        <v>Barkley</v>
      </c>
      <c r="C33" s="5">
        <f>_xlfn.IFNA(VLOOKUP($B$21&amp;ROWS($C$23:C33),Rosters!$B$2:$E$163,4,0),"")</f>
        <v>12</v>
      </c>
      <c r="D33" s="5"/>
      <c r="E33" s="5">
        <v>18</v>
      </c>
      <c r="F33" s="5"/>
      <c r="G33" s="5"/>
      <c r="H33" s="5">
        <v>12</v>
      </c>
      <c r="I33" s="5"/>
      <c r="J33" s="5"/>
      <c r="K33" s="5">
        <v>7</v>
      </c>
      <c r="L33" s="5"/>
      <c r="M33" s="5"/>
      <c r="N33" s="5">
        <v>2</v>
      </c>
      <c r="O33" s="5"/>
      <c r="P33" s="5"/>
      <c r="Q33" s="5">
        <v>6</v>
      </c>
      <c r="R33" s="5"/>
      <c r="S33" s="5"/>
      <c r="T33" s="5">
        <v>5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Brenden</v>
      </c>
      <c r="B34" t="str">
        <f>_xlfn.IFNA(VLOOKUP($B$21&amp;ROWS($B$23:B34),Rosters!$B$2:$D$163,3,0),"?")</f>
        <v>Morris</v>
      </c>
      <c r="C34">
        <f>_xlfn.IFNA(VLOOKUP($B$21&amp;ROWS($C$23:C34),Rosters!$B$2:$E$163,4,0),"")</f>
        <v>23</v>
      </c>
      <c r="D34" s="6"/>
      <c r="E34" s="6">
        <v>9</v>
      </c>
      <c r="F34" s="6"/>
      <c r="G34" s="6"/>
      <c r="H34" s="6">
        <v>5</v>
      </c>
      <c r="I34" s="6"/>
      <c r="J34" s="6"/>
      <c r="K34" s="6">
        <v>3</v>
      </c>
      <c r="L34" s="6"/>
      <c r="M34" s="6"/>
      <c r="N34" s="6">
        <v>1</v>
      </c>
      <c r="O34" s="6"/>
      <c r="P34" s="6"/>
      <c r="Q34" s="6">
        <v>4</v>
      </c>
      <c r="R34" s="6"/>
      <c r="S34" s="6"/>
      <c r="T34" s="6">
        <v>4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62</v>
      </c>
      <c r="H38">
        <f>SUM(H23:H37)</f>
        <v>35</v>
      </c>
      <c r="K38">
        <f>SUM(K23:K37)</f>
        <v>24</v>
      </c>
      <c r="N38">
        <f>SUM(N23:N37)</f>
        <v>8</v>
      </c>
      <c r="Q38">
        <f>SUM(Q23:Q37)</f>
        <v>22</v>
      </c>
      <c r="T38">
        <f>SUM(T23:T37)</f>
        <v>17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F8" sqref="F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>
        <v>0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2022-07-16T16:34:45Z</dcterms:modified>
</cp:coreProperties>
</file>