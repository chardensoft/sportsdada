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4/"/>
    </mc:Choice>
  </mc:AlternateContent>
  <xr:revisionPtr revIDLastSave="0" documentId="13_ncr:1_{47C0E459-72DC-2249-9998-004C93088AD3}" xr6:coauthVersionLast="47" xr6:coauthVersionMax="47" xr10:uidLastSave="{00000000-0000-0000-0000-000000000000}"/>
  <bookViews>
    <workbookView xWindow="8940" yWindow="500" windowWidth="1986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A30" i="1" s="1"/>
  <c r="G2" i="3" a="1"/>
  <c r="G2" i="3" s="1"/>
  <c r="B2" i="3"/>
  <c r="C30" i="1" s="1"/>
  <c r="K37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29" i="1" l="1"/>
  <c r="B30" i="1"/>
  <c r="B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F16" i="2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C17" i="1"/>
  <c r="H17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H14" i="2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<sst xmlns="http://schemas.openxmlformats.org/spreadsheetml/2006/main" count="353" uniqueCount="218">
  <si>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</si>
  <si>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</si>
  <si>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</si>
  <si>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</si>
  <si>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</si>
  <si>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</si>
  <si>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</si>
  <si>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</si>
  <si>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</si>
  <si>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</si>
  <si>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</si>
  <si>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</si>
  <si>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</si>
  <si>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</si>
  <si>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</si>
  <si>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</si>
  <si>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</si>
  <si>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</si>
  <si>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</si>
  <si>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</si>
  <si>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</si>
  <si>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</si>
  <si>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</si>
  <si>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</si>
  <si>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</si>
  <si>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</si>
  <si>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</si>
  <si>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</si>
  <si>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</si>
  <si>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</si>
  <si>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</si>
  <si>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</si>
  <si>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</si>
  <si>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</si>
  <si>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</si>
  <si>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</si>
  <si>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</si>
  <si>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</si>
  <si>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</si>
  <si>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</si>
  <si>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</si>
  <si>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</si>
  <si>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</si>
  <si>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</si>
  <si>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</si>
  <si>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</si>
  <si>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</si>
  <si>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</si>
  <si>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</si>
  <si>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</si>
  <si>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</si>
  <si>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</si>
  <si>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</si>
  <si>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</si>
  <si>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</si>
  <si>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</si>
  <si>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</si>
  <si>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</si>
  <si>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</si>
  <si>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</si>
  <si>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</si>
  <si>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</si>
  <si>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</si>
  <si>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</si>
  <si>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</si>
  <si>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</si>
  <si>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</si>
  <si>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</si>
  <si>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</si>
  <si>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</si>
  <si>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</si>
  <si>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</si>
  <si>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</si>
  <si>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</si>
  <si>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</si>
  <si>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</si>
  <si>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</si>
  <si>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</si>
  <si>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</si>
  <si>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</si>
  <si>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</si>
  <si>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</si>
  <si>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</si>
  <si>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</si>
  <si>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</si>
  <si>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</si>
  <si>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</si>
  <si>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</si>
  <si>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</si>
  <si>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</si>
  <si>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</si>
  <si>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</si>
  <si>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</si>
  <si>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</si>
  <si>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</si>
  <si>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</si>
  <si>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</si>
  <si>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</si>
  <si>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</si>
  <si>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</si>
  <si>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</si>
  <si>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</si>
  <si>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</si>
  <si>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</si>
  <si>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</si>
  <si>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</si>
  <si>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</si>
  <si>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</si>
  <si>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</si>
  <si>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</si>
  <si>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</si>
  <si>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</si>
  <si>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</si>
  <si>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</si>
  <si>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</si>
  <si>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</si>
  <si>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</si>
  <si>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</si>
  <si>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</si>
  <si>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</si>
  <si>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</si>
  <si>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</si>
  <si>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</si>
  <si>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</si>
  <si>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</si>
  <si>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</si>
  <si>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</si>
  <si>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</si>
  <si>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</si>
  <si>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</si>
  <si>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</si>
  <si>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</si>
  <si>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</si>
  <si>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</si>
  <si>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</si>
  <si>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</si>
  <si>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</si>
  <si>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</si>
  <si>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</si>
  <si>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</si>
  <si>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</si>
  <si>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</si>
  <si>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</si>
  <si>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</si>
  <si>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</si>
  <si>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</si>
  <si>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</si>
  <si>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</si>
  <si>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</si>
  <si>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</si>
  <si>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</si>
  <si>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</si>
  <si>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</si>
  <si>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</si>
  <si>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</si>
  <si>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</si>
  <si>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</si>
  <si>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</si>
  <si>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</si>
  <si>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</si>
  <si>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</si>
  <si>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</si>
  <si>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</si>
  <si>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</si>
  <si>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</si>
  <si>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</si>
  <si>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</si>
  <si>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</si>
  <si>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</si>
  <si>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</si>
  <si>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</si>
  <si>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</si>
  <si>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</si>
  <si>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</si>
  <si>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</si>
  <si>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</si>
  <si>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</si>
  <si>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</si>
  <si>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</si>
  <si>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</si>
  <si>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</si>
  <si>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</si>
  <si>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</si>
  <si>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</si>
  <si>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</si>
  <si>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</si>
  <si>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</si>
  <si>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</si>
  <si>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</si>
  <si>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</si>
  <si>
    <t>GAME 2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</si>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</sst>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D7" sqref="D7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190</v>
      </c>
      <c r="F1" t="s">
        <v>3</v>
      </c>
      <c r="G1" t="str">
        <f>'Stats G2'!B1</f>
        <v>Team Joyce</v>
      </c>
    </row>
    <row r="2" spans="2:11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185</v>
      </c>
      <c r="J2" t="s">
        <v>186</v>
      </c>
      <c r="K2" t="s">
        <v>187</v>
      </c>
    </row>
    <row r="3" spans="2:11" x14ac:dyDescent="0.2">
      <c r="B3">
        <f>I18</f>
        <v>7</v>
      </c>
      <c r="C3" s="3" t="s">
        <v>6</v>
      </c>
      <c r="D3" s="4">
        <f>I37</f>
        <v>10</v>
      </c>
      <c r="F3" t="str">
        <f>'Stats G2'!A3</f>
        <v>Kur</v>
      </c>
      <c r="G3" t="str">
        <f>'Stats G2'!B3</f>
        <v>Kuath</v>
      </c>
      <c r="H3">
        <f>'Stats G2'!C3</f>
        <v>34</v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Neema</v>
      </c>
      <c r="G4" t="str">
        <f>'Stats G2'!B4</f>
        <v>Namdar</v>
      </c>
      <c r="H4">
        <f>'Stats G2'!C4</f>
        <v>0</v>
      </c>
      <c r="I4">
        <f>'Stats G2'!E4</f>
        <v>1</v>
      </c>
      <c r="J4">
        <f>'Stats G2'!H4</f>
        <v>0</v>
      </c>
    </row>
    <row r="5" spans="2:11" x14ac:dyDescent="0.2">
      <c r="F5" t="str">
        <f>'Stats G2'!A5</f>
        <v>Yoeli</v>
      </c>
      <c r="G5" t="str">
        <f>'Stats G2'!B5</f>
        <v>Childs</v>
      </c>
      <c r="H5">
        <f>'Stats G2'!C5</f>
        <v>23</v>
      </c>
      <c r="I5">
        <f>'Stats G2'!E5</f>
        <v>1</v>
      </c>
      <c r="J5">
        <f>'Stats G2'!H5</f>
        <v>2</v>
      </c>
    </row>
    <row r="6" spans="2:11" x14ac:dyDescent="0.2">
      <c r="F6" t="str">
        <f>'Stats G2'!A6</f>
        <v>Blaze</v>
      </c>
      <c r="G6" t="str">
        <f>'Stats G2'!B6</f>
        <v>Nield</v>
      </c>
      <c r="H6">
        <f>'Stats G2'!C6</f>
        <v>3</v>
      </c>
      <c r="I6">
        <f>'Stats G2'!E6</f>
        <v>2</v>
      </c>
      <c r="J6">
        <f>'Stats G2'!H6</f>
        <v>0</v>
      </c>
    </row>
    <row r="7" spans="2:11" x14ac:dyDescent="0.2">
      <c r="F7" t="str">
        <f>'Stats G2'!A7</f>
        <v>Kylor</v>
      </c>
      <c r="G7" t="str">
        <f>'Stats G2'!B7</f>
        <v>Kelley</v>
      </c>
      <c r="H7">
        <f>'Stats G2'!C7</f>
        <v>35</v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Nic</v>
      </c>
      <c r="G8" t="str">
        <f>'Stats G2'!B8</f>
        <v>Paulos</v>
      </c>
      <c r="H8">
        <f>'Stats G2'!C8</f>
        <v>31</v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Trey</v>
      </c>
      <c r="G9" t="str">
        <f>'Stats G2'!B9</f>
        <v>Farrer</v>
      </c>
      <c r="H9">
        <f>'Stats G2'!C9</f>
        <v>21</v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Connor</v>
      </c>
      <c r="G10" t="str">
        <f>'Stats G2'!B10</f>
        <v>Harding</v>
      </c>
      <c r="H10">
        <f>'Stats G2'!C10</f>
        <v>11</v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Evan</v>
      </c>
      <c r="G11" t="str">
        <f>'Stats G2'!B11</f>
        <v>Troy</v>
      </c>
      <c r="H11">
        <f>'Stats G2'!C11</f>
        <v>24</v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Sam</v>
      </c>
      <c r="G12" t="str">
        <f>'Stats G2'!B12</f>
        <v>Velez</v>
      </c>
      <c r="H12">
        <f>'Stats G2'!C12</f>
        <v>1</v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Gerad</v>
      </c>
      <c r="G13" t="str">
        <f>'Stats G2'!B13</f>
        <v>Davis</v>
      </c>
      <c r="H13">
        <f>'Stats G2'!C13</f>
        <v>10</v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>
        <f>'Stats G2'!C14</f>
        <v>12</v>
      </c>
      <c r="I14">
        <f>'Stats G2'!E14</f>
        <v>2</v>
      </c>
      <c r="J14">
        <f>'Stats G2'!H14</f>
        <v>0</v>
      </c>
    </row>
    <row r="15" spans="2:11" x14ac:dyDescent="0.2">
      <c r="F15" t="s">
        <v>126</v>
      </c>
      <c r="G15" t="s">
        <v>127</v>
      </c>
      <c r="H15">
        <f>'Stats G2'!C15</f>
        <v>20</v>
      </c>
      <c r="I15">
        <f>'Stats G2'!E15</f>
        <v>1</v>
      </c>
      <c r="J15">
        <f>'Stats G2'!H15</f>
        <v>1</v>
      </c>
    </row>
    <row r="16" spans="2:11" x14ac:dyDescent="0.2">
      <c r="F16" t="str">
        <f>'Stats G2'!A16</f>
        <v>Barzin</v>
      </c>
      <c r="G16" t="str">
        <f>'Stats G2'!B16</f>
        <v>Boban</v>
      </c>
      <c r="H16">
        <f>'Stats G2'!C16</f>
        <v>25</v>
      </c>
      <c r="I16">
        <f>'Stats G2'!E16</f>
        <v>0</v>
      </c>
      <c r="J16">
        <f>'Stats G2'!H16</f>
        <v>1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 t="shared" ref="I18:J18" si="0">SUM(I3:I17)</f>
        <v>7</v>
      </c>
      <c r="J18">
        <f t="shared" si="0"/>
        <v>4</v>
      </c>
      <c r="K18">
        <v>2</v>
      </c>
    </row>
    <row r="20" spans="6:11" x14ac:dyDescent="0.2">
      <c r="F20" t="s">
        <v>4</v>
      </c>
      <c r="G20" t="str">
        <f>'Stats G2'!B19</f>
        <v>Team Humpherys</v>
      </c>
    </row>
    <row r="21" spans="6:11" x14ac:dyDescent="0.2">
      <c r="F21" t="s">
        <v>1</v>
      </c>
      <c r="G21" t="s">
        <v>2</v>
      </c>
      <c r="H21" t="s">
        <v>0</v>
      </c>
      <c r="I21" t="s">
        <v>185</v>
      </c>
      <c r="J21" t="s">
        <v>186</v>
      </c>
      <c r="K21" t="s">
        <v>187</v>
      </c>
    </row>
    <row r="22" spans="6:11" x14ac:dyDescent="0.2">
      <c r="F22" t="str">
        <f>'Stats G2'!A21</f>
        <v>John</v>
      </c>
      <c r="G22" t="str">
        <f>'Stats G2'!B21</f>
        <v>Knight III</v>
      </c>
      <c r="H22">
        <f>'Stats G2'!C21</f>
        <v>23</v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Isaac</v>
      </c>
      <c r="G23" t="str">
        <f>'Stats G2'!B22</f>
        <v>Johnson</v>
      </c>
      <c r="H23">
        <f>'Stats G2'!C22</f>
        <v>20</v>
      </c>
      <c r="I23">
        <f>'Stats G2'!E22</f>
        <v>2</v>
      </c>
      <c r="J23">
        <f>'Stats G2'!H22</f>
        <v>0</v>
      </c>
    </row>
    <row r="24" spans="6:11" x14ac:dyDescent="0.2">
      <c r="F24" t="str">
        <f>'Stats G2'!A23</f>
        <v>Seena</v>
      </c>
      <c r="G24" t="str">
        <f>'Stats G2'!B23</f>
        <v>Namdar</v>
      </c>
      <c r="H24">
        <f>'Stats G2'!C23</f>
        <v>13</v>
      </c>
      <c r="I24">
        <f>'Stats G2'!E23</f>
        <v>1</v>
      </c>
      <c r="J24">
        <f>'Stats G2'!H23</f>
        <v>0</v>
      </c>
    </row>
    <row r="25" spans="6:11" x14ac:dyDescent="0.2">
      <c r="F25" t="str">
        <f>'Stats G2'!A24</f>
        <v>Hunter</v>
      </c>
      <c r="G25" t="str">
        <f>'Stats G2'!B24</f>
        <v>Humpherys</v>
      </c>
      <c r="H25">
        <f>'Stats G2'!C24</f>
        <v>11</v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Mark</v>
      </c>
      <c r="G26" t="str">
        <f>'Stats G2'!B25</f>
        <v>Burton</v>
      </c>
      <c r="H26">
        <f>'Stats G2'!C25</f>
        <v>3</v>
      </c>
      <c r="I26">
        <f>'Stats G2'!E25</f>
        <v>2</v>
      </c>
      <c r="J26">
        <f>'Stats G2'!H25</f>
        <v>0</v>
      </c>
    </row>
    <row r="27" spans="6:11" x14ac:dyDescent="0.2">
      <c r="F27" t="str">
        <f>'Stats G2'!A26</f>
        <v>Gabe</v>
      </c>
      <c r="G27" t="str">
        <f>'Stats G2'!B26</f>
        <v>Madsen</v>
      </c>
      <c r="H27">
        <f>'Stats G2'!C26</f>
        <v>55</v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Marco</v>
      </c>
      <c r="G28" t="str">
        <f>'Stats G2'!B27</f>
        <v>Anthony</v>
      </c>
      <c r="H28">
        <f>'Stats G2'!C27</f>
        <v>99</v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Dee</v>
      </c>
      <c r="G29" t="str">
        <f>'Stats G2'!B28</f>
        <v>Barnes</v>
      </c>
      <c r="H29">
        <f>'Stats G2'!C28</f>
        <v>22</v>
      </c>
      <c r="I29">
        <f>'Stats G2'!E28</f>
        <v>1</v>
      </c>
      <c r="J29">
        <f>'Stats G2'!H28</f>
        <v>0</v>
      </c>
    </row>
    <row r="30" spans="6:11" x14ac:dyDescent="0.2">
      <c r="F30" t="str">
        <f>'Stats G2'!A29</f>
        <v>Zack</v>
      </c>
      <c r="G30" t="str">
        <f>'Stats G2'!B29</f>
        <v>Visentin</v>
      </c>
      <c r="H30">
        <f>'Stats G2'!C29</f>
        <v>32</v>
      </c>
      <c r="I30">
        <f>'Stats G2'!E29</f>
        <v>1</v>
      </c>
      <c r="J30">
        <f>'Stats G2'!H29</f>
        <v>0</v>
      </c>
    </row>
    <row r="31" spans="6:11" x14ac:dyDescent="0.2">
      <c r="F31" t="str">
        <f>'Stats G2'!A30</f>
        <v>Demarcus</v>
      </c>
      <c r="G31" t="str">
        <f>'Stats G2'!B30</f>
        <v>Harrison</v>
      </c>
      <c r="H31">
        <f>'Stats G2'!C30</f>
        <v>31</v>
      </c>
      <c r="I31">
        <f>'Stats G2'!E30</f>
        <v>2</v>
      </c>
      <c r="J31">
        <f>'Stats G2'!H30</f>
        <v>0</v>
      </c>
    </row>
    <row r="32" spans="6:11" x14ac:dyDescent="0.2">
      <c r="F32" t="str">
        <f>'Stats G2'!A31</f>
        <v>Trey</v>
      </c>
      <c r="G32" t="str">
        <f>'Stats G2'!B31</f>
        <v>Anderson</v>
      </c>
      <c r="H32">
        <f>'Stats G2'!C31</f>
        <v>5</v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Lual</v>
      </c>
      <c r="G33" t="str">
        <f>'Stats G2'!B32</f>
        <v>Arok</v>
      </c>
      <c r="H33">
        <f>'Stats G2'!C32</f>
        <v>9</v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Zach</v>
      </c>
      <c r="G34" t="str">
        <f>'Stats G2'!B33</f>
        <v>Mogbo</v>
      </c>
      <c r="H34">
        <f>'Stats G2'!C33</f>
        <v>4</v>
      </c>
      <c r="I34">
        <f>'Stats G2'!E33</f>
        <v>1</v>
      </c>
      <c r="J34">
        <f>'Stats G2'!H33</f>
        <v>0</v>
      </c>
    </row>
    <row r="35" spans="6:11" x14ac:dyDescent="0.2">
      <c r="F35" t="str">
        <f>'Stats G2'!A34</f>
        <v>Kyle</v>
      </c>
      <c r="G35" t="str">
        <f>'Stats G2'!B34</f>
        <v>Nielsen</v>
      </c>
      <c r="H35">
        <f>'Stats G2'!C34</f>
        <v>1</v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 t="shared" ref="I37:J37" si="1">SUM(I22:I36)</f>
        <v>10</v>
      </c>
      <c r="J37">
        <f t="shared" si="1"/>
        <v>0</v>
      </c>
      <c r="K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AD13" sqref="AD1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115</v>
      </c>
    </row>
    <row r="2" spans="1:25" x14ac:dyDescent="0.2">
      <c r="A2" t="s">
        <v>1</v>
      </c>
      <c r="B2" t="s">
        <v>2</v>
      </c>
      <c r="C2" t="s">
        <v>0</v>
      </c>
      <c r="E2" t="s">
        <v>185</v>
      </c>
      <c r="H2" t="s">
        <v>186</v>
      </c>
      <c r="Y2" t="s">
        <v>187</v>
      </c>
    </row>
    <row r="3" spans="1:25" s="6" customFormat="1" x14ac:dyDescent="0.2">
      <c r="A3" s="5" t="str">
        <f>_xlfn.IFNA(VLOOKUP($B$1&amp;ROWS($A$3:A3),Rosters!$B$2:$C$163,2,0),"?")</f>
        <v>Kur</v>
      </c>
      <c r="B3" s="5" t="str">
        <f>_xlfn.IFNA(VLOOKUP($B$1&amp;ROWS($B$3:B3),Rosters!$B$2:$D$163,3,0),"?")</f>
        <v>Kuath</v>
      </c>
      <c r="C3" s="5">
        <f>_xlfn.IFNA(VLOOKUP($B$1&amp;ROWS($C$3:C3),Rosters!$B$2:$E$163,4,0),"")</f>
        <v>34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188</v>
      </c>
    </row>
    <row r="4" spans="1:25" s="6" customFormat="1" x14ac:dyDescent="0.2">
      <c r="A4" s="6" t="str">
        <f>_xlfn.IFNA(VLOOKUP($B$1&amp;ROWS($A$3:A4),Rosters!$B$2:$C$163,2,0),"?")</f>
        <v>Neema</v>
      </c>
      <c r="B4" s="6" t="str">
        <f>_xlfn.IFNA(VLOOKUP($B$1&amp;ROWS($B$3:B4),Rosters!$B$2:$D$163,3,0),"?")</f>
        <v>Namdar</v>
      </c>
      <c r="C4" s="6">
        <f>_xlfn.IFNA(VLOOKUP($B$1&amp;ROWS($C$3:C4),Rosters!$B$2:$E$163,4,0),"")</f>
        <v>0</v>
      </c>
      <c r="E4" s="6">
        <v>1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Yoeli</v>
      </c>
      <c r="B5" s="5" t="str">
        <f>_xlfn.IFNA(VLOOKUP($B$1&amp;ROWS($B$3:B5),Rosters!$B$2:$D$163,3,0),"?")</f>
        <v>Childs</v>
      </c>
      <c r="C5" s="5">
        <f>_xlfn.IFNA(VLOOKUP($B$1&amp;ROWS($C$3:C5),Rosters!$B$2:$E$163,4,0),"")</f>
        <v>23</v>
      </c>
      <c r="D5" s="5"/>
      <c r="E5" s="5">
        <v>1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189</v>
      </c>
    </row>
    <row r="6" spans="1:25" s="6" customFormat="1" x14ac:dyDescent="0.2">
      <c r="A6" s="6" t="str">
        <f>_xlfn.IFNA(VLOOKUP($B$1&amp;ROWS($A$3:A6),Rosters!$B$2:$C$163,2,0),"?")</f>
        <v>Blaze</v>
      </c>
      <c r="B6" s="6" t="str">
        <f>_xlfn.IFNA(VLOOKUP($B$1&amp;ROWS($B$3:B6),Rosters!$B$2:$D$163,3,0),"?")</f>
        <v>Nield</v>
      </c>
      <c r="C6" s="6">
        <f>_xlfn.IFNA(VLOOKUP($B$1&amp;ROWS($C$3:C6),Rosters!$B$2:$E$163,4,0),"")</f>
        <v>3</v>
      </c>
      <c r="E6" s="6">
        <v>2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Kylor</v>
      </c>
      <c r="B7" s="5" t="str">
        <f>_xlfn.IFNA(VLOOKUP($B$1&amp;ROWS($B$3:B7),Rosters!$B$2:$D$163,3,0),"?")</f>
        <v>Kelley</v>
      </c>
      <c r="C7" s="5">
        <f>_xlfn.IFNA(VLOOKUP($B$1&amp;ROWS($C$3:C7),Rosters!$B$2:$E$163,4,0),"")</f>
        <v>35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Nic</v>
      </c>
      <c r="B8" s="6" t="str">
        <f>_xlfn.IFNA(VLOOKUP($B$1&amp;ROWS($B$3:B8),Rosters!$B$2:$D$163,3,0),"?")</f>
        <v>Paulos</v>
      </c>
      <c r="C8" s="6">
        <f>_xlfn.IFNA(VLOOKUP($B$1&amp;ROWS($C$3:C8),Rosters!$B$2:$E$163,4,0),"")</f>
        <v>31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Trey</v>
      </c>
      <c r="B9" s="5" t="str">
        <f>_xlfn.IFNA(VLOOKUP($B$1&amp;ROWS($B$3:B9),Rosters!$B$2:$D$163,3,0),"?")</f>
        <v>Farrer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Connor</v>
      </c>
      <c r="B10" s="6" t="str">
        <f>_xlfn.IFNA(VLOOKUP($B$1&amp;ROWS($B$3:B10),Rosters!$B$2:$D$163,3,0),"?")</f>
        <v>Harding</v>
      </c>
      <c r="C10" s="6">
        <f>_xlfn.IFNA(VLOOKUP($B$1&amp;ROWS($C$3:C10),Rosters!$B$2:$E$163,4,0),"")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Evan</v>
      </c>
      <c r="B11" s="5" t="str">
        <f>_xlfn.IFNA(VLOOKUP($B$1&amp;ROWS($B$3:B11),Rosters!$B$2:$D$163,3,0),"?")</f>
        <v>Troy</v>
      </c>
      <c r="C11" s="5">
        <f>_xlfn.IFNA(VLOOKUP($B$1&amp;ROWS($C$3:C11),Rosters!$B$2:$E$163,4,0),"")</f>
        <v>24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Sam</v>
      </c>
      <c r="B12" s="6" t="str">
        <f>_xlfn.IFNA(VLOOKUP($B$1&amp;ROWS($B$3:B12),Rosters!$B$2:$D$163,3,0),"?")</f>
        <v>Velez</v>
      </c>
      <c r="C12" s="6">
        <f>_xlfn.IFNA(VLOOKUP($B$1&amp;ROWS($C$3:C12),Rosters!$B$2:$E$163,4,0),"")</f>
        <v>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Gerad</v>
      </c>
      <c r="B13" s="5" t="str">
        <f>_xlfn.IFNA(VLOOKUP($B$1&amp;ROWS($B$3:B13),Rosters!$B$2:$D$163,3,0),"?")</f>
        <v>Davis</v>
      </c>
      <c r="C13" s="5">
        <f>_xlfn.IFNA(VLOOKUP($B$1&amp;ROWS($C$3:C13),Rosters!$B$2:$E$163,4,0),"")</f>
        <v>10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>
        <v>12</v>
      </c>
      <c r="E14" s="6">
        <v>2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">
        <v>126</v>
      </c>
      <c r="B15" s="5" t="s">
        <v>127</v>
      </c>
      <c r="C15" s="5">
        <v>20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">
        <v>216</v>
      </c>
      <c r="B16" s="6" t="s">
        <v>217</v>
      </c>
      <c r="C16" s="6">
        <v>25</v>
      </c>
      <c r="E16" s="6">
        <v>0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7</v>
      </c>
      <c r="H18" s="6">
        <f>SUM(H3:H17)</f>
        <v>4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192</v>
      </c>
    </row>
    <row r="20" spans="1:25" x14ac:dyDescent="0.2">
      <c r="A20" t="s">
        <v>1</v>
      </c>
      <c r="B20" t="s">
        <v>2</v>
      </c>
      <c r="C20" t="s">
        <v>0</v>
      </c>
      <c r="E20" t="s">
        <v>185</v>
      </c>
      <c r="H20" t="s">
        <v>186</v>
      </c>
      <c r="Y20" t="s">
        <v>187</v>
      </c>
    </row>
    <row r="21" spans="1:25" s="6" customFormat="1" x14ac:dyDescent="0.2">
      <c r="A21" s="5" t="str">
        <f>_xlfn.IFNA(VLOOKUP($B$19&amp;ROWS($A$21:A21),Rosters!$B$2:$C$163,2,0),"?")</f>
        <v>John</v>
      </c>
      <c r="B21" s="5" t="str">
        <f>_xlfn.IFNA(VLOOKUP($B$19&amp;ROWS($B$21:B21),Rosters!$B$2:$D$163,3,0),"?")</f>
        <v>Knight III</v>
      </c>
      <c r="C21" s="5">
        <f>_xlfn.IFNA(VLOOKUP($B$19&amp;ROWS($C$21:C21),Rosters!$B$2:$E$163,4,0),"")</f>
        <v>23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188</v>
      </c>
    </row>
    <row r="22" spans="1:25" x14ac:dyDescent="0.2">
      <c r="A22" t="str">
        <f>_xlfn.IFNA(VLOOKUP($B$19&amp;ROWS($A$21:A22),Rosters!$B$2:$C$163,2,0),"?")</f>
        <v>Isaac</v>
      </c>
      <c r="B22" t="str">
        <f>_xlfn.IFNA(VLOOKUP($B$19&amp;ROWS($B$21:B22),Rosters!$B$2:$D$163,3,0),"?")</f>
        <v>Johnson</v>
      </c>
      <c r="C22">
        <f>_xlfn.IFNA(VLOOKUP($B$19&amp;ROWS($C$21:C22),Rosters!$B$2:$E$163,4,0),"")</f>
        <v>20</v>
      </c>
      <c r="D22" s="6"/>
      <c r="E22" s="6">
        <v>2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Seena</v>
      </c>
      <c r="B23" s="5" t="str">
        <f>_xlfn.IFNA(VLOOKUP($B$19&amp;ROWS($B$21:B23),Rosters!$B$2:$D$163,3,0),"?")</f>
        <v>Namdar</v>
      </c>
      <c r="C23" s="5">
        <f>_xlfn.IFNA(VLOOKUP($B$19&amp;ROWS($C$21:C23),Rosters!$B$2:$E$163,4,0),"")</f>
        <v>13</v>
      </c>
      <c r="D23" s="5"/>
      <c r="E23" s="5">
        <v>1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189</v>
      </c>
    </row>
    <row r="24" spans="1:25" x14ac:dyDescent="0.2">
      <c r="A24" t="str">
        <f>_xlfn.IFNA(VLOOKUP($B$19&amp;ROWS($A$21:A24),Rosters!$B$2:$C$163,2,0),"?")</f>
        <v>Hunter</v>
      </c>
      <c r="B24" t="str">
        <f>_xlfn.IFNA(VLOOKUP($B$19&amp;ROWS($B$21:B24),Rosters!$B$2:$D$163,3,0),"?")</f>
        <v>Humpherys</v>
      </c>
      <c r="C24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Mark</v>
      </c>
      <c r="B25" s="5" t="str">
        <f>_xlfn.IFNA(VLOOKUP($B$19&amp;ROWS($B$21:B25),Rosters!$B$2:$D$163,3,0),"?")</f>
        <v>Burton</v>
      </c>
      <c r="C25" s="5">
        <f>_xlfn.IFNA(VLOOKUP($B$19&amp;ROWS($C$21:C25),Rosters!$B$2:$E$163,4,0),"")</f>
        <v>3</v>
      </c>
      <c r="D25" s="5"/>
      <c r="E25" s="5">
        <v>2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Gabe</v>
      </c>
      <c r="B26" t="str">
        <f>_xlfn.IFNA(VLOOKUP($B$19&amp;ROWS($B$21:B26),Rosters!$B$2:$D$163,3,0),"?")</f>
        <v>Madsen</v>
      </c>
      <c r="C26">
        <f>_xlfn.IFNA(VLOOKUP($B$19&amp;ROWS($C$21:C26),Rosters!$B$2:$E$163,4,0),"")</f>
        <v>55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Marco</v>
      </c>
      <c r="B27" s="5" t="str">
        <f>_xlfn.IFNA(VLOOKUP($B$19&amp;ROWS($B$21:B27),Rosters!$B$2:$D$163,3,0),"?")</f>
        <v>Anthony</v>
      </c>
      <c r="C27" s="5">
        <f>_xlfn.IFNA(VLOOKUP($B$19&amp;ROWS($C$21:C27),Rosters!$B$2:$E$163,4,0),"")</f>
        <v>99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Dee</v>
      </c>
      <c r="B28" t="str">
        <f>_xlfn.IFNA(VLOOKUP($B$19&amp;ROWS($B$21:B28),Rosters!$B$2:$D$163,3,0),"?")</f>
        <v>Barnes</v>
      </c>
      <c r="C28">
        <f>_xlfn.IFNA(VLOOKUP($B$19&amp;ROWS($C$21:C28),Rosters!$B$2:$E$163,4,0),"")</f>
        <v>22</v>
      </c>
      <c r="D28" s="6"/>
      <c r="E28" s="6">
        <v>1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-1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Zack</v>
      </c>
      <c r="B29" s="5" t="str">
        <f>_xlfn.IFNA(VLOOKUP($B$19&amp;ROWS($B$21:B29),Rosters!$B$2:$D$163,3,0),"?")</f>
        <v>Visentin</v>
      </c>
      <c r="C29" s="5">
        <f>_xlfn.IFNA(VLOOKUP($B$19&amp;ROWS($C$21:C29),Rosters!$B$2:$E$163,4,0),"")</f>
        <v>32</v>
      </c>
      <c r="D29" s="5"/>
      <c r="E29" s="5">
        <v>1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Demarcus</v>
      </c>
      <c r="B30" t="str">
        <f>_xlfn.IFNA(VLOOKUP($B$19&amp;ROWS($B$21:B30),Rosters!$B$2:$D$163,3,0),"?")</f>
        <v>Harrison</v>
      </c>
      <c r="C30">
        <f>_xlfn.IFNA(VLOOKUP($B$19&amp;ROWS($C$21:C30),Rosters!$B$2:$E$163,4,0),"")</f>
        <v>31</v>
      </c>
      <c r="D30" s="6"/>
      <c r="E30" s="6">
        <v>2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Trey</v>
      </c>
      <c r="B31" s="5" t="str">
        <f>_xlfn.IFNA(VLOOKUP($B$19&amp;ROWS($B$21:B31),Rosters!$B$2:$D$163,3,0),"?")</f>
        <v>Anderson</v>
      </c>
      <c r="C31" s="5">
        <f>_xlfn.IFNA(VLOOKUP($B$19&amp;ROWS($C$21:C31),Rosters!$B$2:$E$163,4,0),"")</f>
        <v>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Lual</v>
      </c>
      <c r="B32" t="str">
        <f>_xlfn.IFNA(VLOOKUP($B$19&amp;ROWS($B$21:B32),Rosters!$B$2:$D$163,3,0),"?")</f>
        <v>Arok</v>
      </c>
      <c r="C32">
        <f>_xlfn.IFNA(VLOOKUP($B$19&amp;ROWS($C$21:C32),Rosters!$B$2:$E$163,4,0),"")</f>
        <v>9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Zach</v>
      </c>
      <c r="B33" s="5" t="str">
        <f>_xlfn.IFNA(VLOOKUP($B$19&amp;ROWS($B$21:B33),Rosters!$B$2:$D$163,3,0),"?")</f>
        <v>Mogbo</v>
      </c>
      <c r="C33" s="5">
        <f>_xlfn.IFNA(VLOOKUP($B$19&amp;ROWS($C$21:C33),Rosters!$B$2:$E$163,4,0),"")</f>
        <v>4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Kyle</v>
      </c>
      <c r="B34" t="str">
        <f>_xlfn.IFNA(VLOOKUP($B$19&amp;ROWS($B$21:B34),Rosters!$B$2:$D$163,3,0),"?")</f>
        <v>Nielsen</v>
      </c>
      <c r="C34">
        <f>_xlfn.IFNA(VLOOKUP($B$19&amp;ROWS($C$21:C34),Rosters!$B$2:$E$163,4,0),"")</f>
        <v>1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10</v>
      </c>
      <c r="H36">
        <f>SUM(H21:H35)</f>
        <v>0</v>
      </c>
      <c r="K36">
        <f>SUM(K21:K35)</f>
        <v>0</v>
      </c>
      <c r="N36">
        <f>SUM(N21:N35)</f>
        <v>-1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73" workbookViewId="0">
      <selection activeCell="A89" sqref="A89:E10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191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192</v>
      </c>
      <c r="B89" s="8" t="str">
        <f>A89&amp;COUNTIF($A$2:$A89,A89)</f>
        <v>Team Humpherys1</v>
      </c>
      <c r="C89" t="s">
        <v>193</v>
      </c>
      <c r="D89" t="s">
        <v>194</v>
      </c>
      <c r="E89">
        <v>23</v>
      </c>
    </row>
    <row r="90" spans="1:5" x14ac:dyDescent="0.2">
      <c r="A90" t="s">
        <v>192</v>
      </c>
      <c r="B90" s="8" t="str">
        <f>A90&amp;COUNTIF($A$2:$A90,A90)</f>
        <v>Team Humpherys2</v>
      </c>
      <c r="C90" t="s">
        <v>195</v>
      </c>
      <c r="D90" t="s">
        <v>196</v>
      </c>
      <c r="E90">
        <v>20</v>
      </c>
    </row>
    <row r="91" spans="1:5" x14ac:dyDescent="0.2">
      <c r="A91" t="s">
        <v>192</v>
      </c>
      <c r="B91" s="8" t="str">
        <f>A91&amp;COUNTIF($A$2:$A91,A91)</f>
        <v>Team Humpherys3</v>
      </c>
      <c r="C91" t="s">
        <v>197</v>
      </c>
      <c r="D91" t="s">
        <v>119</v>
      </c>
      <c r="E91">
        <v>13</v>
      </c>
    </row>
    <row r="92" spans="1:5" x14ac:dyDescent="0.2">
      <c r="A92" t="s">
        <v>192</v>
      </c>
      <c r="B92" s="8" t="str">
        <f>A92&amp;COUNTIF($A$2:$A92,A92)</f>
        <v>Team Humpherys4</v>
      </c>
      <c r="C92" t="s">
        <v>111</v>
      </c>
      <c r="D92" t="s">
        <v>198</v>
      </c>
      <c r="E92">
        <v>11</v>
      </c>
    </row>
    <row r="93" spans="1:5" x14ac:dyDescent="0.2">
      <c r="A93" t="s">
        <v>192</v>
      </c>
      <c r="B93" s="8" t="str">
        <f>A93&amp;COUNTIF($A$2:$A93,A93)</f>
        <v>Team Humpherys5</v>
      </c>
      <c r="C93" t="s">
        <v>199</v>
      </c>
      <c r="D93" t="s">
        <v>200</v>
      </c>
      <c r="E93">
        <v>3</v>
      </c>
    </row>
    <row r="94" spans="1:5" x14ac:dyDescent="0.2">
      <c r="A94" t="s">
        <v>192</v>
      </c>
      <c r="B94" s="8" t="str">
        <f>A94&amp;COUNTIF($A$2:$A94,A94)</f>
        <v>Team Humpherys6</v>
      </c>
      <c r="C94" t="s">
        <v>201</v>
      </c>
      <c r="D94" t="s">
        <v>202</v>
      </c>
      <c r="E94">
        <v>55</v>
      </c>
    </row>
    <row r="95" spans="1:5" x14ac:dyDescent="0.2">
      <c r="A95" t="s">
        <v>192</v>
      </c>
      <c r="B95" s="8" t="str">
        <f>A95&amp;COUNTIF($A$2:$A95,A95)</f>
        <v>Team Humpherys7</v>
      </c>
      <c r="C95" t="s">
        <v>203</v>
      </c>
      <c r="D95" t="s">
        <v>169</v>
      </c>
      <c r="E95">
        <v>99</v>
      </c>
    </row>
    <row r="96" spans="1:5" x14ac:dyDescent="0.2">
      <c r="A96" t="s">
        <v>192</v>
      </c>
      <c r="B96" s="8" t="str">
        <f>A96&amp;COUNTIF($A$2:$A96,A96)</f>
        <v>Team Humpherys8</v>
      </c>
      <c r="C96" t="s">
        <v>204</v>
      </c>
      <c r="D96" t="s">
        <v>205</v>
      </c>
      <c r="E96">
        <v>22</v>
      </c>
    </row>
    <row r="97" spans="1:5" x14ac:dyDescent="0.2">
      <c r="A97" t="s">
        <v>192</v>
      </c>
      <c r="B97" s="8" t="str">
        <f>A97&amp;COUNTIF($A$2:$A97,A97)</f>
        <v>Team Humpherys9</v>
      </c>
      <c r="C97" t="s">
        <v>206</v>
      </c>
      <c r="D97" t="s">
        <v>207</v>
      </c>
      <c r="E97">
        <v>32</v>
      </c>
    </row>
    <row r="98" spans="1:5" x14ac:dyDescent="0.2">
      <c r="A98" t="s">
        <v>192</v>
      </c>
      <c r="B98" s="8" t="str">
        <f>A98&amp;COUNTIF($A$2:$A98,A98)</f>
        <v>Team Humpherys10</v>
      </c>
      <c r="C98" t="s">
        <v>208</v>
      </c>
      <c r="D98" t="s">
        <v>209</v>
      </c>
      <c r="E98">
        <v>31</v>
      </c>
    </row>
    <row r="99" spans="1:5" x14ac:dyDescent="0.2">
      <c r="A99" t="s">
        <v>192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192</v>
      </c>
      <c r="B100" s="8" t="str">
        <f>A100&amp;COUNTIF($A$2:$A100,A100)</f>
        <v>Team Humpherys12</v>
      </c>
      <c r="C100" t="s">
        <v>210</v>
      </c>
      <c r="D100" t="s">
        <v>211</v>
      </c>
      <c r="E100">
        <v>9</v>
      </c>
    </row>
    <row r="101" spans="1:5" x14ac:dyDescent="0.2">
      <c r="A101" t="s">
        <v>192</v>
      </c>
      <c r="B101" s="8" t="str">
        <f>A101&amp;COUNTIF($A$2:$A101,A101)</f>
        <v>Team Humpherys13</v>
      </c>
      <c r="C101" t="s">
        <v>212</v>
      </c>
      <c r="D101" t="s">
        <v>213</v>
      </c>
      <c r="E101">
        <v>4</v>
      </c>
    </row>
    <row r="102" spans="1:5" x14ac:dyDescent="0.2">
      <c r="A102" t="s">
        <v>192</v>
      </c>
      <c r="B102" s="8" t="str">
        <f>A102&amp;COUNTIF($A$2:$A102,A102)</f>
        <v>Team Humpherys14</v>
      </c>
      <c r="C102" t="s">
        <v>214</v>
      </c>
      <c r="D102" t="s">
        <v>215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2022-07-12T15:37:05Z</dcterms:modified>
</cp:coreProperties>
</file>