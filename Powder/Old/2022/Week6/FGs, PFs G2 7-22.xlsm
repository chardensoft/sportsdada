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24T180925Z-001/"/>
    </mc:Choice>
  </mc:AlternateContent>
  <xr:revisionPtr revIDLastSave="0" documentId="13_ncr:1_{E1CEED5E-4B03-694A-9ADE-02AF9A187B14}" xr6:coauthVersionLast="47" xr6:coauthVersionMax="47" xr10:uidLastSave="{00000000-0000-0000-0000-000000000000}"/>
  <bookViews>
    <workbookView xWindow="12500" yWindow="500" windowWidth="163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" i="1" l="1"/>
  <c r="AC8" i="1"/>
  <c r="AC11" i="1"/>
  <c r="AC12" i="1"/>
  <c r="AC13" i="1"/>
  <c r="AC14" i="1"/>
  <c r="AC15" i="1"/>
  <c r="AC20" i="1"/>
  <c r="AC23" i="1"/>
  <c r="AC25" i="1"/>
  <c r="AC26" i="1"/>
  <c r="AC33" i="1"/>
  <c r="AC34" i="1"/>
  <c r="AC38" i="1"/>
  <c r="AC5" i="1"/>
  <c r="AB20" i="1"/>
  <c r="AB23" i="1"/>
  <c r="AB24" i="1"/>
  <c r="AB25" i="1"/>
  <c r="AB26" i="1"/>
  <c r="AB28" i="1"/>
  <c r="AB33" i="1"/>
  <c r="AB34" i="1"/>
  <c r="AB38" i="1"/>
  <c r="AB6" i="1"/>
  <c r="AB8" i="1"/>
  <c r="AB11" i="1"/>
  <c r="AB12" i="1"/>
  <c r="AB13" i="1"/>
  <c r="AB14" i="1"/>
  <c r="AB15" i="1"/>
  <c r="AB16" i="1"/>
  <c r="AB17" i="1"/>
  <c r="AB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M37" i="2" l="1"/>
  <c r="M18" i="2"/>
  <c r="I37" i="2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37" i="2" l="1"/>
  <c r="L37" i="2"/>
  <c r="L18" i="2"/>
  <c r="Y20" i="1"/>
  <c r="K18" i="2"/>
  <c r="J18" i="2"/>
  <c r="Y38" i="1"/>
  <c r="J37" i="2"/>
  <c r="G20" i="2"/>
  <c r="D2" i="2" s="1"/>
  <c r="G1" i="2"/>
  <c r="B2" i="2" s="1"/>
  <c r="C19" i="1" l="1"/>
  <c r="H17" i="2" s="1"/>
  <c r="F15" i="2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G14" i="2"/>
  <c r="C35" i="1"/>
  <c r="H34" i="2" s="1"/>
  <c r="A33" i="1"/>
  <c r="F32" i="2" s="1"/>
  <c r="B30" i="1"/>
  <c r="G29" i="2" s="1"/>
  <c r="C27" i="1"/>
  <c r="H26" i="2" s="1"/>
  <c r="A25" i="1"/>
  <c r="F24" i="2" s="1"/>
  <c r="F14" i="2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H15" i="2"/>
  <c r="G15" i="2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<sst xmlns="http://schemas.openxmlformats.org/spreadsheetml/2006/main" count="367" uniqueCount="231">
  <si>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</si>
  <si>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</si>
  <si>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</si>
  <si>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</si>
  <si>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</si>
  <si>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</si>
  <si>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</si>
  <si>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</si>
  <si>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</si>
  <si>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</si>
  <si>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</si>
  <si>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</si>
  <si>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</si>
  <si>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</si>
  <si>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</si>
  <si>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</si>
  <si>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</si>
  <si>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</si>
  <si>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</si>
  <si>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</si>
  <si>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</si>
  <si>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</si>
  <si>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</si>
  <si>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</si>
  <si>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</si>
  <si>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</si>
  <si>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</si>
  <si>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</si>
  <si>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</si>
  <si>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</si>
  <si>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</si>
  <si>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</si>
  <si>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</si>
  <si>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</si>
  <si>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</si>
  <si>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</si>
  <si>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</si>
  <si>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</si>
  <si>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</si>
  <si>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</si>
  <si>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</si>
  <si>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</si>
  <si>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</si>
  <si>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</si>
  <si>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</si>
  <si>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</si>
  <si>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</si>
  <si>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</si>
  <si>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</si>
  <si>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</si>
  <si>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</si>
  <si>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</si>
  <si>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</si>
  <si>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</si>
  <si>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</si>
  <si>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</si>
  <si>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</si>
  <si>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</si>
  <si>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</si>
  <si>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</si>
  <si>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</si>
  <si>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</si>
  <si>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</si>
  <si>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</si>
  <si>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</si>
  <si>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</si>
  <si>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</si>
  <si>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</si>
  <si>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</si>
  <si>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</si>
  <si>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</si>
  <si>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</si>
  <si>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</si>
  <si>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</si>
  <si>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</si>
  <si>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</si>
  <si>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</si>
  <si>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</si>
  <si>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</si>
  <si>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</si>
  <si>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</si>
  <si>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</si>
  <si>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</si>
  <si>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</si>
  <si>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</si>
  <si>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</si>
  <si>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</si>
  <si>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</si>
  <si>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</si>
  <si>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</si>
  <si>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</si>
  <si>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</si>
  <si>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</si>
  <si>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</si>
  <si>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</si>
  <si>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</si>
  <si>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</si>
  <si>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</si>
  <si>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</si>
  <si>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</si>
  <si>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</si>
  <si>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</si>
  <si>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</si>
  <si>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</si>
  <si>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</si>
  <si>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</si>
  <si>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</si>
  <si>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</si>
  <si>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</si>
  <si>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</si>
  <si>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</si>
  <si>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</si>
  <si>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</si>
  <si>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</si>
  <si>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</si>
  <si>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</si>
  <si>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</si>
  <si>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</si>
  <si>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</si>
  <si>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</si>
  <si>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</si>
  <si>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</si>
  <si>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</si>
  <si>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</si>
  <si>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</si>
  <si>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</si>
  <si>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</si>
  <si>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</si>
  <si>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</si>
  <si>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</si>
  <si>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</si>
  <si>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</si>
  <si>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</si>
  <si>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</si>
  <si>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</si>
  <si>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</si>
  <si>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</si>
  <si>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</si>
  <si>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</si>
  <si>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</si>
  <si>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</si>
  <si>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</si>
  <si>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</si>
  <si>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</si>
  <si>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</si>
  <si>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</si>
  <si>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</si>
  <si>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</si>
  <si>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</si>
  <si>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</si>
  <si>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</si>
  <si>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</si>
  <si>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</si>
  <si>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</si>
  <si>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</si>
  <si>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</si>
  <si>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</si>
  <si>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</si>
  <si>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</si>
  <si>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</si>
  <si>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</si>
  <si>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</si>
  <si>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</si>
  <si>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</si>
  <si>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</si>
  <si>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</si>
  <si>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</si>
  <si>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</si>
  <si>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</si>
  <si>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</si>
  <si>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</si>
  <si>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</si>
  <si>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</si>
  <si>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</si>
  <si>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</si>
  <si>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</si>
  <si>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</si>
  <si>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</si>
  <si>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</si>
  <si>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</si>
  <si>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</si>
  <si>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</si>
  <si>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</si>
  <si>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</si>
  <si>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</si>
  <si>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</si>
  <si>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</si>
  <si>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</si>
  <si>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</si>
  <si>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</si>
  <si>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</si>
  <si>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</si>
  <si>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</si>
  <si>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</si>
  <si>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</si>
  <si>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</si>
  <si>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</si>
  <si>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</si>
  <si>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</si>
  <si>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</si>
  <si>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</si>
  <si>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</si>
  <si>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</si>
  <si>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</si>
  <si>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</si>
  <si>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</si>
  <si>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</si>
  <si>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</si>
  <si>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</si>
  <si>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</si>
  <si>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</si>
  <si>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</si>
  <si>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</si>
  <si>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</si>
  <si>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</si>
  <si>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</si>
  <si>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</si>
  <si>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</si>
  <si>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</si>
  <si>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</si>
  <si>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</si>
  <si>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PF</t>
  </si>
  <si>
    <t>GAME 2</t>
  </si>
  <si>
    <t>TOTAL PTS</t>
  </si>
  <si>
    <t>Barzin</t>
  </si>
  <si>
    <t>Boban</t>
  </si>
  <si>
    <t>Ron</t>
  </si>
  <si>
    <t>Blain</t>
  </si>
  <si>
    <t>TEAM FOULS</t>
  </si>
  <si>
    <t>FG%</t>
  </si>
  <si>
    <t>3FG%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</si>
</sst>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  <xf numFmtId="0" fontId="6" fillId="0" borderId="0" xfId="0" applyFont="1" applyFill="1"/>
    <xf numFmtId="9" fontId="0" fillId="0" borderId="0" xfId="1" applyFont="1" applyFill="1"/>
  </cellXfs>
  <cellStyles count="2">
    <cellStyle name="Normal" xfId="0" builtinId="0"/>
    <cellStyle name="Percent" xfId="1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A12" workbookViewId="0">
      <selection activeCell="F29" sqref="F2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222</v>
      </c>
      <c r="F1" t="s">
        <v>7</v>
      </c>
      <c r="G1" t="str">
        <f>'Stats G2'!B3</f>
        <v>Team Joyce</v>
      </c>
    </row>
    <row r="2" spans="2:13" x14ac:dyDescent="0.2">
      <c r="B2" t="str">
        <f>G1</f>
        <v>Team Joyce</v>
      </c>
      <c r="D2" t="str">
        <f>G20</f>
        <v>Team Stan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  <c r="M2" t="s">
        <v>221</v>
      </c>
    </row>
    <row r="3" spans="2:13" x14ac:dyDescent="0.2">
      <c r="B3">
        <f>I18</f>
        <v>130</v>
      </c>
      <c r="C3" s="3" t="s">
        <v>13</v>
      </c>
      <c r="D3" s="4">
        <f>I37</f>
        <v>102</v>
      </c>
      <c r="F3" t="str">
        <f>'Stats G2'!A5</f>
        <v>Kur</v>
      </c>
      <c r="G3" t="str">
        <f>'Stats G2'!B5</f>
        <v>Kuath</v>
      </c>
      <c r="H3">
        <f>'Stats G2'!C5</f>
        <v>34</v>
      </c>
      <c r="I3">
        <f>'Stats G2'!H5*2+'Stats G2'!N5*3+'Stats G2'!T5</f>
        <v>35</v>
      </c>
      <c r="J3" t="str">
        <f>SUM('Stats G2'!H5+'Stats G2'!N5)&amp;"-"&amp;SUM('Stats G2'!E5+'Stats G2'!K5)</f>
        <v>17-25</v>
      </c>
      <c r="K3" t="str">
        <f>SUM('Stats G2'!N5)&amp;"-"&amp;SUM('Stats G2'!K5)</f>
        <v>0-2</v>
      </c>
      <c r="L3" t="str">
        <f>SUM('Stats G2'!T5)&amp;"-"&amp;SUM('Stats G2'!Q5)</f>
        <v>1-3</v>
      </c>
      <c r="M3">
        <f>'Stats G2'!W5</f>
        <v>0</v>
      </c>
    </row>
    <row r="4" spans="2:13" x14ac:dyDescent="0.2">
      <c r="F4" t="str">
        <f>'Stats G2'!A6</f>
        <v>Neema</v>
      </c>
      <c r="G4" t="str">
        <f>'Stats G2'!B6</f>
        <v>Namdar</v>
      </c>
      <c r="H4">
        <f>'Stats G2'!C6</f>
        <v>0</v>
      </c>
      <c r="I4">
        <f>'Stats G2'!H6*2+'Stats G2'!N6*3+'Stats G2'!T6</f>
        <v>16</v>
      </c>
      <c r="J4" t="str">
        <f>SUM('Stats G2'!H6+'Stats G2'!N6)&amp;"-"&amp;SUM('Stats G2'!E6+'Stats G2'!K6)</f>
        <v>6-19</v>
      </c>
      <c r="K4" t="str">
        <f>SUM('Stats G2'!N6)&amp;"-"&amp;SUM('Stats G2'!K6)</f>
        <v>4-13</v>
      </c>
      <c r="L4" t="str">
        <f>SUM('Stats G2'!T6)&amp;"-"&amp;SUM('Stats G2'!Q6)</f>
        <v>0-0</v>
      </c>
      <c r="M4">
        <f>'Stats G2'!W6</f>
        <v>2</v>
      </c>
    </row>
    <row r="5" spans="2:13" x14ac:dyDescent="0.2">
      <c r="F5" t="str">
        <f>'Stats G2'!A7</f>
        <v>Yoeli</v>
      </c>
      <c r="G5" t="str">
        <f>'Stats G2'!B7</f>
        <v>Childs</v>
      </c>
      <c r="H5">
        <f>'Stats G2'!C7</f>
        <v>23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  <c r="M5">
        <f>'Stats G2'!W7</f>
        <v>0</v>
      </c>
    </row>
    <row r="6" spans="2:13" x14ac:dyDescent="0.2">
      <c r="F6" t="str">
        <f>'Stats G2'!A8</f>
        <v>Blaze</v>
      </c>
      <c r="G6" t="str">
        <f>'Stats G2'!B8</f>
        <v>Nield</v>
      </c>
      <c r="H6">
        <f>'Stats G2'!C8</f>
        <v>3</v>
      </c>
      <c r="I6">
        <f>'Stats G2'!H8*2+'Stats G2'!N8*3+'Stats G2'!T8</f>
        <v>22</v>
      </c>
      <c r="J6" t="str">
        <f>SUM('Stats G2'!H8+'Stats G2'!N8)&amp;"-"&amp;SUM('Stats G2'!E8+'Stats G2'!K8)</f>
        <v>8-14</v>
      </c>
      <c r="K6" t="str">
        <f>SUM('Stats G2'!N8)&amp;"-"&amp;SUM('Stats G2'!K8)</f>
        <v>2-4</v>
      </c>
      <c r="L6" t="str">
        <f>SUM('Stats G2'!T8)&amp;"-"&amp;SUM('Stats G2'!Q8)</f>
        <v>4-4</v>
      </c>
      <c r="M6">
        <f>'Stats G2'!W8</f>
        <v>2</v>
      </c>
    </row>
    <row r="7" spans="2:13" x14ac:dyDescent="0.2">
      <c r="F7" t="str">
        <f>'Stats G2'!A9</f>
        <v>Kylor</v>
      </c>
      <c r="G7" t="str">
        <f>'Stats G2'!B9</f>
        <v>Kelley</v>
      </c>
      <c r="H7">
        <f>'Stats G2'!C9</f>
        <v>35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  <c r="M7">
        <f>'Stats G2'!W9</f>
        <v>0</v>
      </c>
    </row>
    <row r="8" spans="2:13" x14ac:dyDescent="0.2">
      <c r="F8" t="str">
        <f>'Stats G2'!A10</f>
        <v>Nic</v>
      </c>
      <c r="G8" t="str">
        <f>'Stats G2'!B10</f>
        <v>Paulos</v>
      </c>
      <c r="H8">
        <f>'Stats G2'!C10</f>
        <v>31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  <c r="M8">
        <f>'Stats G2'!W10</f>
        <v>0</v>
      </c>
    </row>
    <row r="9" spans="2:13" x14ac:dyDescent="0.2">
      <c r="F9" t="str">
        <f>'Stats G2'!A11</f>
        <v>Trey</v>
      </c>
      <c r="G9" t="str">
        <f>'Stats G2'!B11</f>
        <v>Farrer</v>
      </c>
      <c r="H9">
        <f>'Stats G2'!C11</f>
        <v>21</v>
      </c>
      <c r="I9">
        <f>'Stats G2'!H11*2+'Stats G2'!N11*3+'Stats G2'!T11</f>
        <v>6</v>
      </c>
      <c r="J9" t="str">
        <f>SUM('Stats G2'!H11+'Stats G2'!N11)&amp;"-"&amp;SUM('Stats G2'!E11+'Stats G2'!K11)</f>
        <v>3-4</v>
      </c>
      <c r="K9" t="str">
        <f>SUM('Stats G2'!N11)&amp;"-"&amp;SUM('Stats G2'!K11)</f>
        <v>0-1</v>
      </c>
      <c r="L9" t="str">
        <f>SUM('Stats G2'!T11)&amp;"-"&amp;SUM('Stats G2'!Q11)</f>
        <v>0-0</v>
      </c>
      <c r="M9">
        <f>'Stats G2'!W11</f>
        <v>3</v>
      </c>
    </row>
    <row r="10" spans="2:13" x14ac:dyDescent="0.2">
      <c r="F10" t="str">
        <f>'Stats G2'!A12</f>
        <v>Connor</v>
      </c>
      <c r="G10" t="str">
        <f>'Stats G2'!B12</f>
        <v>Harding</v>
      </c>
      <c r="H10">
        <f>'Stats G2'!C12</f>
        <v>11</v>
      </c>
      <c r="I10">
        <f>'Stats G2'!H12*2+'Stats G2'!N12*3+'Stats G2'!T12</f>
        <v>21</v>
      </c>
      <c r="J10" t="str">
        <f>SUM('Stats G2'!H12+'Stats G2'!N12)&amp;"-"&amp;SUM('Stats G2'!E12+'Stats G2'!K12)</f>
        <v>8-15</v>
      </c>
      <c r="K10" t="str">
        <f>SUM('Stats G2'!N12)&amp;"-"&amp;SUM('Stats G2'!K12)</f>
        <v>2-6</v>
      </c>
      <c r="L10" t="str">
        <f>SUM('Stats G2'!T12)&amp;"-"&amp;SUM('Stats G2'!Q12)</f>
        <v>3-5</v>
      </c>
      <c r="M10">
        <f>'Stats G2'!W12</f>
        <v>2</v>
      </c>
    </row>
    <row r="11" spans="2:13" x14ac:dyDescent="0.2">
      <c r="F11" t="str">
        <f>'Stats G2'!A13</f>
        <v>Evan</v>
      </c>
      <c r="G11" t="str">
        <f>'Stats G2'!B13</f>
        <v>Troy</v>
      </c>
      <c r="H11">
        <f>'Stats G2'!C13</f>
        <v>24</v>
      </c>
      <c r="I11">
        <f>'Stats G2'!H13*2+'Stats G2'!N13*3+'Stats G2'!T13</f>
        <v>17</v>
      </c>
      <c r="J11" t="str">
        <f>SUM('Stats G2'!H13+'Stats G2'!N13)&amp;"-"&amp;SUM('Stats G2'!E13+'Stats G2'!K13)</f>
        <v>6-9</v>
      </c>
      <c r="K11" t="str">
        <f>SUM('Stats G2'!N13)&amp;"-"&amp;SUM('Stats G2'!K13)</f>
        <v>5-7</v>
      </c>
      <c r="L11" t="str">
        <f>SUM('Stats G2'!T13)&amp;"-"&amp;SUM('Stats G2'!Q13)</f>
        <v>0-0</v>
      </c>
      <c r="M11">
        <f>'Stats G2'!W13</f>
        <v>2</v>
      </c>
    </row>
    <row r="12" spans="2:13" x14ac:dyDescent="0.2">
      <c r="F12" t="str">
        <f>'Stats G2'!A14</f>
        <v>Sam</v>
      </c>
      <c r="G12" t="str">
        <f>'Stats G2'!B14</f>
        <v>Velez</v>
      </c>
      <c r="H12">
        <f>'Stats G2'!C14</f>
        <v>1</v>
      </c>
      <c r="I12">
        <f>'Stats G2'!H14*2+'Stats G2'!N14*3+'Stats G2'!T14</f>
        <v>3</v>
      </c>
      <c r="J12" t="str">
        <f>SUM('Stats G2'!H14+'Stats G2'!N14)&amp;"-"&amp;SUM('Stats G2'!E14+'Stats G2'!K14)</f>
        <v>1-1</v>
      </c>
      <c r="K12" t="str">
        <f>SUM('Stats G2'!N14)&amp;"-"&amp;SUM('Stats G2'!K14)</f>
        <v>1-1</v>
      </c>
      <c r="L12" t="str">
        <f>SUM('Stats G2'!T14)&amp;"-"&amp;SUM('Stats G2'!Q14)</f>
        <v>0-0</v>
      </c>
      <c r="M12">
        <f>'Stats G2'!W14</f>
        <v>1</v>
      </c>
    </row>
    <row r="13" spans="2:13" x14ac:dyDescent="0.2">
      <c r="F13" t="str">
        <f>'Stats G2'!A15</f>
        <v>Gerad</v>
      </c>
      <c r="G13" t="str">
        <f>'Stats G2'!B15</f>
        <v>Davis</v>
      </c>
      <c r="H13">
        <f>'Stats G2'!C15</f>
        <v>10</v>
      </c>
      <c r="I13">
        <f>'Stats G2'!H15*2+'Stats G2'!N15*3+'Stats G2'!T15</f>
        <v>0</v>
      </c>
      <c r="J13" t="str">
        <f>SUM('Stats G2'!H15+'Stats G2'!N15)&amp;"-"&amp;SUM('Stats G2'!E15+'Stats G2'!K15)</f>
        <v>0-2</v>
      </c>
      <c r="K13" t="str">
        <f>SUM('Stats G2'!N15)&amp;"-"&amp;SUM('Stats G2'!K15)</f>
        <v>0-2</v>
      </c>
      <c r="L13" t="str">
        <f>SUM('Stats G2'!T15)&amp;"-"&amp;SUM('Stats G2'!Q15)</f>
        <v>0-0</v>
      </c>
      <c r="M13">
        <f>'Stats G2'!W15</f>
        <v>1</v>
      </c>
    </row>
    <row r="14" spans="2:13" x14ac:dyDescent="0.2">
      <c r="F14" t="str">
        <f>'Stats G2'!A16</f>
        <v>Barzin</v>
      </c>
      <c r="G14" t="str">
        <f>'Stats G2'!B16</f>
        <v>Boban</v>
      </c>
      <c r="H14">
        <f>'Stats G2'!C16</f>
        <v>25</v>
      </c>
      <c r="I14">
        <f>'Stats G2'!H16*2+'Stats G2'!N16*3+'Stats G2'!T16</f>
        <v>2</v>
      </c>
      <c r="J14" t="str">
        <f>SUM('Stats G2'!H16+'Stats G2'!N16)&amp;"-"&amp;SUM('Stats G2'!E16+'Stats G2'!K16)</f>
        <v>1-1</v>
      </c>
      <c r="K14" t="str">
        <f>SUM('Stats G2'!N16)&amp;"-"&amp;SUM('Stats G2'!K16)</f>
        <v>0-0</v>
      </c>
      <c r="L14" t="str">
        <f>SUM('Stats G2'!T16)&amp;"-"&amp;SUM('Stats G2'!Q16)</f>
        <v>0-0</v>
      </c>
      <c r="M14">
        <f>'Stats G2'!W16</f>
        <v>1</v>
      </c>
    </row>
    <row r="15" spans="2:13" x14ac:dyDescent="0.2">
      <c r="F15" t="str">
        <f>'Stats G2'!A17</f>
        <v>Ron</v>
      </c>
      <c r="G15" t="str">
        <f>'Stats G2'!B17</f>
        <v>Blain</v>
      </c>
      <c r="H15">
        <f>'Stats G2'!C17</f>
        <v>23</v>
      </c>
      <c r="I15">
        <f>'Stats G2'!H17*2+'Stats G2'!N17*3+'Stats G2'!T17</f>
        <v>8</v>
      </c>
      <c r="J15" t="str">
        <f>SUM('Stats G2'!H17+'Stats G2'!N17)&amp;"-"&amp;SUM('Stats G2'!E17+'Stats G2'!K17)</f>
        <v>4-4</v>
      </c>
      <c r="K15" t="str">
        <f>SUM('Stats G2'!N17)&amp;"-"&amp;SUM('Stats G2'!K17)</f>
        <v>0-0</v>
      </c>
      <c r="L15" t="str">
        <f>SUM('Stats G2'!T17)&amp;"-"&amp;SUM('Stats G2'!Q17)</f>
        <v>0-1</v>
      </c>
      <c r="M15">
        <f>'Stats G2'!W17</f>
        <v>1</v>
      </c>
    </row>
    <row r="16" spans="2:13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  <c r="M16">
        <f>'Stats G2'!W18</f>
        <v>0</v>
      </c>
    </row>
    <row r="17" spans="6:13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  <c r="M17">
        <f>'Stats G2'!W19</f>
        <v>0</v>
      </c>
    </row>
    <row r="18" spans="6:13" x14ac:dyDescent="0.2">
      <c r="H18" s="2" t="s">
        <v>12</v>
      </c>
      <c r="I18">
        <f>SUM(I3:I17)</f>
        <v>130</v>
      </c>
      <c r="J18" t="str">
        <f>SUM('Stats G2'!H20+'Stats G2'!N20)&amp;"-"&amp;SUM('Stats G2'!E20+'Stats G2'!K20)</f>
        <v>54-94</v>
      </c>
      <c r="K18" t="str">
        <f>SUM('Stats G2'!N20)&amp;"-"&amp;SUM('Stats G2'!K20)</f>
        <v>14-36</v>
      </c>
      <c r="L18" t="str">
        <f>SUM('Stats G2'!T20)&amp;"-"&amp;SUM('Stats G2'!Q20)</f>
        <v>8-13</v>
      </c>
      <c r="M18">
        <f>SUM(M3:M17)</f>
        <v>15</v>
      </c>
    </row>
    <row r="20" spans="6:13" x14ac:dyDescent="0.2">
      <c r="F20" t="s">
        <v>11</v>
      </c>
      <c r="G20" t="str">
        <f>'Stats G2'!B21</f>
        <v>Team Stan</v>
      </c>
    </row>
    <row r="21" spans="6:13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  <c r="M21" t="s">
        <v>221</v>
      </c>
    </row>
    <row r="22" spans="6:13" x14ac:dyDescent="0.2">
      <c r="F22" t="str">
        <f>'Stats G2'!A23</f>
        <v>Tone</v>
      </c>
      <c r="G22" t="str">
        <f>'Stats G2'!B23</f>
        <v>Anderson</v>
      </c>
      <c r="H22">
        <f>'Stats G2'!C23</f>
        <v>0</v>
      </c>
      <c r="I22">
        <f>'Stats G2'!H23*2+'Stats G2'!N23*3+'Stats G2'!T23</f>
        <v>11</v>
      </c>
      <c r="J22" t="str">
        <f>SUM('Stats G2'!H23+'Stats G2'!N23)&amp;"-"&amp;SUM('Stats G2'!E23+'Stats G2'!K23)</f>
        <v>4-7</v>
      </c>
      <c r="K22" t="str">
        <f>SUM('Stats G2'!N23)&amp;"-"&amp;SUM('Stats G2'!K23)</f>
        <v>2-3</v>
      </c>
      <c r="L22" t="str">
        <f>SUM('Stats G2'!T23)&amp;"-"&amp;SUM('Stats G2'!Q23)</f>
        <v>1-2</v>
      </c>
      <c r="M22">
        <f>'Stats G2'!W23</f>
        <v>0</v>
      </c>
    </row>
    <row r="23" spans="6:13" x14ac:dyDescent="0.2">
      <c r="F23" t="str">
        <f>'Stats G2'!A24</f>
        <v>Ronald</v>
      </c>
      <c r="G23" t="str">
        <f>'Stats G2'!B24</f>
        <v>Leach</v>
      </c>
      <c r="H23">
        <f>'Stats G2'!C24</f>
        <v>32</v>
      </c>
      <c r="I23">
        <f>'Stats G2'!H24*2+'Stats G2'!N24*3+'Stats G2'!T24</f>
        <v>12</v>
      </c>
      <c r="J23" t="str">
        <f>SUM('Stats G2'!H24+'Stats G2'!N24)&amp;"-"&amp;SUM('Stats G2'!E24+'Stats G2'!K24)</f>
        <v>6-8</v>
      </c>
      <c r="K23" t="str">
        <f>SUM('Stats G2'!N24)&amp;"-"&amp;SUM('Stats G2'!K24)</f>
        <v>0-0</v>
      </c>
      <c r="L23" t="str">
        <f>SUM('Stats G2'!T24)&amp;"-"&amp;SUM('Stats G2'!Q24)</f>
        <v>0-0</v>
      </c>
      <c r="M23">
        <f>'Stats G2'!W24</f>
        <v>2</v>
      </c>
    </row>
    <row r="24" spans="6:13" x14ac:dyDescent="0.2">
      <c r="F24" t="str">
        <f>'Stats G2'!A25</f>
        <v>Brendan</v>
      </c>
      <c r="G24" t="str">
        <f>'Stats G2'!B25</f>
        <v>Bailey</v>
      </c>
      <c r="H24">
        <f>'Stats G2'!C25</f>
        <v>1</v>
      </c>
      <c r="I24">
        <f>'Stats G2'!H25*2+'Stats G2'!N25*3+'Stats G2'!T25</f>
        <v>23</v>
      </c>
      <c r="J24" t="str">
        <f>SUM('Stats G2'!H25+'Stats G2'!N25)&amp;"-"&amp;SUM('Stats G2'!E25+'Stats G2'!K25)</f>
        <v>9-18</v>
      </c>
      <c r="K24" t="str">
        <f>SUM('Stats G2'!N25)&amp;"-"&amp;SUM('Stats G2'!K25)</f>
        <v>3-10</v>
      </c>
      <c r="L24" t="str">
        <f>SUM('Stats G2'!T25)&amp;"-"&amp;SUM('Stats G2'!Q25)</f>
        <v>2-5</v>
      </c>
      <c r="M24">
        <f>'Stats G2'!W25</f>
        <v>1</v>
      </c>
    </row>
    <row r="25" spans="6:13" x14ac:dyDescent="0.2">
      <c r="F25" t="str">
        <f>'Stats G2'!A26</f>
        <v>Zahir</v>
      </c>
      <c r="G25" t="str">
        <f>'Stats G2'!B26</f>
        <v>Porter</v>
      </c>
      <c r="H25">
        <f>'Stats G2'!C26</f>
        <v>5</v>
      </c>
      <c r="I25">
        <f>'Stats G2'!H26*2+'Stats G2'!N26*3+'Stats G2'!T26</f>
        <v>20</v>
      </c>
      <c r="J25" t="str">
        <f>SUM('Stats G2'!H26+'Stats G2'!N26)&amp;"-"&amp;SUM('Stats G2'!E26+'Stats G2'!K26)</f>
        <v>5-19</v>
      </c>
      <c r="K25" t="str">
        <f>SUM('Stats G2'!N26)&amp;"-"&amp;SUM('Stats G2'!K26)</f>
        <v>1-10</v>
      </c>
      <c r="L25" t="str">
        <f>SUM('Stats G2'!T26)&amp;"-"&amp;SUM('Stats G2'!Q26)</f>
        <v>9-9</v>
      </c>
      <c r="M25">
        <f>'Stats G2'!W26</f>
        <v>3</v>
      </c>
    </row>
    <row r="26" spans="6:13" x14ac:dyDescent="0.2">
      <c r="F26" t="str">
        <f>'Stats G2'!A27</f>
        <v>Eli</v>
      </c>
      <c r="G26" t="str">
        <f>'Stats G2'!B27</f>
        <v>Davy</v>
      </c>
      <c r="H26">
        <f>'Stats G2'!C27</f>
        <v>2</v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  <c r="M26">
        <f>'Stats G2'!W27</f>
        <v>0</v>
      </c>
    </row>
    <row r="27" spans="6:13" x14ac:dyDescent="0.2">
      <c r="F27" t="str">
        <f>'Stats G2'!A28</f>
        <v>Anthony</v>
      </c>
      <c r="G27" t="str">
        <f>'Stats G2'!B28</f>
        <v>Cox</v>
      </c>
      <c r="H27">
        <f>'Stats G2'!C28</f>
        <v>11</v>
      </c>
      <c r="I27">
        <f>'Stats G2'!H28*2+'Stats G2'!N28*3+'Stats G2'!T28</f>
        <v>2</v>
      </c>
      <c r="J27" t="str">
        <f>SUM('Stats G2'!H28+'Stats G2'!N28)&amp;"-"&amp;SUM('Stats G2'!E28+'Stats G2'!K28)</f>
        <v>1-4</v>
      </c>
      <c r="K27" t="str">
        <f>SUM('Stats G2'!N28)&amp;"-"&amp;SUM('Stats G2'!K28)</f>
        <v>0-0</v>
      </c>
      <c r="L27" t="str">
        <f>SUM('Stats G2'!T28)&amp;"-"&amp;SUM('Stats G2'!Q28)</f>
        <v>0-0</v>
      </c>
      <c r="M27">
        <f>'Stats G2'!W28</f>
        <v>2</v>
      </c>
    </row>
    <row r="28" spans="6:13" x14ac:dyDescent="0.2">
      <c r="F28" t="str">
        <f>'Stats G2'!A29</f>
        <v>Xavier</v>
      </c>
      <c r="G28" t="str">
        <f>'Stats G2'!B29</f>
        <v>Sneed</v>
      </c>
      <c r="H28">
        <f>'Stats G2'!C29</f>
        <v>20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  <c r="M28">
        <f>'Stats G2'!W29</f>
        <v>0</v>
      </c>
    </row>
    <row r="29" spans="6:13" x14ac:dyDescent="0.2">
      <c r="F29" t="str">
        <f>'Stats G2'!A30</f>
        <v>Rayjon</v>
      </c>
      <c r="G29" t="str">
        <f>'Stats G2'!B30</f>
        <v>Tucker</v>
      </c>
      <c r="H29">
        <f>'Stats G2'!C30</f>
        <v>59</v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  <c r="M29">
        <f>'Stats G2'!W30</f>
        <v>0</v>
      </c>
    </row>
    <row r="30" spans="6:13" x14ac:dyDescent="0.2">
      <c r="F30" t="str">
        <f>'Stats G2'!A31</f>
        <v>Branden</v>
      </c>
      <c r="G30" t="str">
        <f>'Stats G2'!B31</f>
        <v>Carlon</v>
      </c>
      <c r="H30">
        <f>'Stats G2'!C31</f>
        <v>35</v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  <c r="M30">
        <f>'Stats G2'!W31</f>
        <v>0</v>
      </c>
    </row>
    <row r="31" spans="6:13" x14ac:dyDescent="0.2">
      <c r="F31" t="str">
        <f>'Stats G2'!A32</f>
        <v>Quae</v>
      </c>
      <c r="G31" t="str">
        <f>'Stats G2'!B32</f>
        <v>Furlow</v>
      </c>
      <c r="H31">
        <f>'Stats G2'!C32</f>
        <v>3</v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  <c r="M31">
        <f>'Stats G2'!W32</f>
        <v>0</v>
      </c>
    </row>
    <row r="32" spans="6:13" x14ac:dyDescent="0.2">
      <c r="F32" t="str">
        <f>'Stats G2'!A33</f>
        <v>Ibe</v>
      </c>
      <c r="G32" t="str">
        <f>'Stats G2'!B33</f>
        <v>Gerlach</v>
      </c>
      <c r="H32">
        <f>'Stats G2'!C33</f>
        <v>20</v>
      </c>
      <c r="I32">
        <f>'Stats G2'!H33*2+'Stats G2'!N33*3+'Stats G2'!T33</f>
        <v>12</v>
      </c>
      <c r="J32" t="str">
        <f>SUM('Stats G2'!H33+'Stats G2'!N33)&amp;"-"&amp;SUM('Stats G2'!E33+'Stats G2'!K33)</f>
        <v>5-14</v>
      </c>
      <c r="K32" t="str">
        <f>SUM('Stats G2'!N33)&amp;"-"&amp;SUM('Stats G2'!K33)</f>
        <v>2-9</v>
      </c>
      <c r="L32" t="str">
        <f>SUM('Stats G2'!T33)&amp;"-"&amp;SUM('Stats G2'!Q33)</f>
        <v>0-0</v>
      </c>
      <c r="M32">
        <f>'Stats G2'!W33</f>
        <v>4</v>
      </c>
    </row>
    <row r="33" spans="6:13" x14ac:dyDescent="0.2">
      <c r="F33" t="str">
        <f>'Stats G2'!A34</f>
        <v>Justin</v>
      </c>
      <c r="G33" t="str">
        <f>'Stats G2'!B34</f>
        <v>Harmon</v>
      </c>
      <c r="H33">
        <f>'Stats G2'!C34</f>
        <v>1</v>
      </c>
      <c r="I33">
        <f>'Stats G2'!H34*2+'Stats G2'!N34*3+'Stats G2'!T34</f>
        <v>22</v>
      </c>
      <c r="J33" t="str">
        <f>SUM('Stats G2'!H34+'Stats G2'!N34)&amp;"-"&amp;SUM('Stats G2'!E34+'Stats G2'!K34)</f>
        <v>8-19</v>
      </c>
      <c r="K33" t="str">
        <f>SUM('Stats G2'!N34)&amp;"-"&amp;SUM('Stats G2'!K34)</f>
        <v>3-9</v>
      </c>
      <c r="L33" t="str">
        <f>SUM('Stats G2'!T34)&amp;"-"&amp;SUM('Stats G2'!Q34)</f>
        <v>3-3</v>
      </c>
      <c r="M33">
        <f>'Stats G2'!W34</f>
        <v>0</v>
      </c>
    </row>
    <row r="34" spans="6:13" x14ac:dyDescent="0.2">
      <c r="F34" t="str">
        <f>'Stats G2'!A35</f>
        <v>KJ</v>
      </c>
      <c r="G34" t="str">
        <f>'Stats G2'!B35</f>
        <v>Cunningham</v>
      </c>
      <c r="H34">
        <f>'Stats G2'!C35</f>
        <v>0</v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  <c r="M34">
        <f>'Stats G2'!W35</f>
        <v>0</v>
      </c>
    </row>
    <row r="35" spans="6:13" x14ac:dyDescent="0.2">
      <c r="F35" t="str">
        <f>'Stats G2'!A36</f>
        <v>?</v>
      </c>
      <c r="G35" t="str">
        <f>'Stats G2'!B36</f>
        <v>?</v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  <c r="M35">
        <f>'Stats G2'!W36</f>
        <v>0</v>
      </c>
    </row>
    <row r="36" spans="6:13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  <c r="M36">
        <f>'Stats G2'!W37</f>
        <v>0</v>
      </c>
    </row>
    <row r="37" spans="6:13" x14ac:dyDescent="0.2">
      <c r="H37" s="2" t="s">
        <v>12</v>
      </c>
      <c r="I37">
        <f>SUM(I22:I36)</f>
        <v>102</v>
      </c>
      <c r="J37" t="str">
        <f>SUM('Stats G2'!H38+'Stats G2'!N38)&amp;"-"&amp;SUM('Stats G2'!E38+'Stats G2'!K38)</f>
        <v>38-89</v>
      </c>
      <c r="K37" t="str">
        <f>SUM('Stats G2'!N38)&amp;"-"&amp;SUM('Stats G2'!K38)</f>
        <v>11-41</v>
      </c>
      <c r="L37" t="str">
        <f>SUM('Stats G2'!T38)&amp;"-"&amp;SUM('Stats G2'!Q38)</f>
        <v>15-19</v>
      </c>
      <c r="M37">
        <f>SUM(M22:M36)</f>
        <v>12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C38"/>
  <sheetViews>
    <sheetView topLeftCell="A20" zoomScale="140" zoomScaleNormal="140" workbookViewId="0">
      <selection activeCell="C17" sqref="C1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6" max="26" width="4" customWidth="1"/>
    <col min="27" max="27" width="3.33203125" bestFit="1" customWidth="1"/>
  </cols>
  <sheetData>
    <row r="1" spans="1:29" hidden="1" x14ac:dyDescent="0.2">
      <c r="A1" s="1" t="s">
        <v>16</v>
      </c>
      <c r="B1" t="s">
        <v>18</v>
      </c>
      <c r="C1" t="s">
        <v>17</v>
      </c>
    </row>
    <row r="2" spans="1:29" hidden="1" x14ac:dyDescent="0.2"/>
    <row r="3" spans="1:29" x14ac:dyDescent="0.2">
      <c r="A3" s="2" t="s">
        <v>14</v>
      </c>
      <c r="B3" s="1" t="s">
        <v>128</v>
      </c>
    </row>
    <row r="4" spans="1:29" x14ac:dyDescent="0.2">
      <c r="A4" t="s">
        <v>1</v>
      </c>
      <c r="B4" t="s">
        <v>2</v>
      </c>
      <c r="C4" s="2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221</v>
      </c>
      <c r="Y4" t="s">
        <v>223</v>
      </c>
      <c r="Z4" t="s">
        <v>228</v>
      </c>
      <c r="AA4" s="2" t="s">
        <v>0</v>
      </c>
      <c r="AB4" t="s">
        <v>229</v>
      </c>
      <c r="AC4" t="s">
        <v>230</v>
      </c>
    </row>
    <row r="5" spans="1:29" s="6" customFormat="1" x14ac:dyDescent="0.2">
      <c r="A5" s="5" t="str">
        <f>_xlfn.IFNA(VLOOKUP($B$3&amp;ROWS($A$5:A5),Rosters!$B$2:$C$163,2,0),"?")</f>
        <v>Kur</v>
      </c>
      <c r="B5" s="5" t="str">
        <f>_xlfn.IFNA(VLOOKUP($B$3&amp;ROWS($B$5:B5),Rosters!$B$2:$D$163,3,0),"?")</f>
        <v>Kuath</v>
      </c>
      <c r="C5" s="9">
        <f>_xlfn.IFNA(VLOOKUP($B$3&amp;ROWS($C$5:C5),Rosters!$B$2:$E$163,4,0),"")</f>
        <v>34</v>
      </c>
      <c r="D5" s="5"/>
      <c r="E5" s="5">
        <v>23</v>
      </c>
      <c r="F5" s="5"/>
      <c r="G5" s="5"/>
      <c r="H5" s="5">
        <v>17</v>
      </c>
      <c r="I5" s="5"/>
      <c r="J5" s="5"/>
      <c r="K5" s="5">
        <v>2</v>
      </c>
      <c r="L5" s="5"/>
      <c r="M5" s="5"/>
      <c r="N5" s="5">
        <v>0</v>
      </c>
      <c r="O5" s="5"/>
      <c r="P5" s="5"/>
      <c r="Q5" s="5">
        <v>3</v>
      </c>
      <c r="R5" s="5"/>
      <c r="S5" s="5"/>
      <c r="T5" s="5">
        <v>1</v>
      </c>
      <c r="U5" s="5"/>
      <c r="V5" s="5"/>
      <c r="W5" s="5">
        <v>0</v>
      </c>
      <c r="X5" s="5"/>
      <c r="Y5" s="6">
        <f>SUM(H5*2,N5*3,T5)</f>
        <v>35</v>
      </c>
      <c r="AA5" s="10">
        <v>34</v>
      </c>
      <c r="AB5" s="12">
        <f>(H5+N5)/(E5+K5)</f>
        <v>0.68</v>
      </c>
      <c r="AC5" s="12">
        <f>N5/K5</f>
        <v>0</v>
      </c>
    </row>
    <row r="6" spans="1:29" s="6" customFormat="1" x14ac:dyDescent="0.2">
      <c r="A6" s="6" t="str">
        <f>_xlfn.IFNA(VLOOKUP($B$3&amp;ROWS($A$5:A6),Rosters!$B$2:$C$163,2,0),"?")</f>
        <v>Neema</v>
      </c>
      <c r="B6" s="6" t="str">
        <f>_xlfn.IFNA(VLOOKUP($B$3&amp;ROWS($B$5:B6),Rosters!$B$2:$D$163,3,0),"?")</f>
        <v>Namdar</v>
      </c>
      <c r="C6" s="10">
        <f>_xlfn.IFNA(VLOOKUP($B$3&amp;ROWS($C$5:C6),Rosters!$B$2:$E$163,4,0),"")</f>
        <v>0</v>
      </c>
      <c r="E6" s="6">
        <v>6</v>
      </c>
      <c r="H6" s="6">
        <v>2</v>
      </c>
      <c r="K6" s="6">
        <v>13</v>
      </c>
      <c r="N6" s="6">
        <v>4</v>
      </c>
      <c r="Q6" s="6">
        <v>0</v>
      </c>
      <c r="T6" s="6">
        <v>0</v>
      </c>
      <c r="W6" s="6">
        <v>2</v>
      </c>
      <c r="Y6" s="6">
        <f t="shared" ref="Y6:Y38" si="0">SUM(H6*2,N6*3,T6)</f>
        <v>16</v>
      </c>
      <c r="AA6" s="10">
        <v>0</v>
      </c>
      <c r="AB6" s="12">
        <f t="shared" ref="AB6:AB38" si="1">(H6+N6)/(E6+K6)</f>
        <v>0.31578947368421051</v>
      </c>
      <c r="AC6" s="12">
        <f t="shared" ref="AC6:AC38" si="2">N6/K6</f>
        <v>0.30769230769230771</v>
      </c>
    </row>
    <row r="7" spans="1:29" s="6" customFormat="1" x14ac:dyDescent="0.2">
      <c r="A7" s="5" t="str">
        <f>_xlfn.IFNA(VLOOKUP($B$3&amp;ROWS($A$5:A7),Rosters!$B$2:$C$163,2,0),"?")</f>
        <v>Yoeli</v>
      </c>
      <c r="B7" s="5" t="str">
        <f>_xlfn.IFNA(VLOOKUP($B$3&amp;ROWS($B$5:B7),Rosters!$B$2:$D$163,3,0),"?")</f>
        <v>Childs</v>
      </c>
      <c r="C7" s="9">
        <f>_xlfn.IFNA(VLOOKUP($B$3&amp;ROWS($C$5:C7),Rosters!$B$2:$E$163,4,0),"")</f>
        <v>23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>
        <f t="shared" si="0"/>
        <v>0</v>
      </c>
      <c r="AA7" s="10">
        <v>23</v>
      </c>
      <c r="AB7" s="12"/>
      <c r="AC7" s="12"/>
    </row>
    <row r="8" spans="1:29" s="6" customFormat="1" x14ac:dyDescent="0.2">
      <c r="A8" s="6" t="str">
        <f>_xlfn.IFNA(VLOOKUP($B$3&amp;ROWS($A$5:A8),Rosters!$B$2:$C$163,2,0),"?")</f>
        <v>Blaze</v>
      </c>
      <c r="B8" s="6" t="str">
        <f>_xlfn.IFNA(VLOOKUP($B$3&amp;ROWS($B$5:B8),Rosters!$B$2:$D$163,3,0),"?")</f>
        <v>Nield</v>
      </c>
      <c r="C8" s="10">
        <f>_xlfn.IFNA(VLOOKUP($B$3&amp;ROWS($C$5:C8),Rosters!$B$2:$E$163,4,0),"")</f>
        <v>3</v>
      </c>
      <c r="E8" s="6">
        <v>10</v>
      </c>
      <c r="H8" s="6">
        <v>6</v>
      </c>
      <c r="K8" s="6">
        <v>4</v>
      </c>
      <c r="N8" s="6">
        <v>2</v>
      </c>
      <c r="Q8" s="6">
        <v>4</v>
      </c>
      <c r="T8" s="6">
        <v>4</v>
      </c>
      <c r="W8" s="6">
        <v>2</v>
      </c>
      <c r="Y8" s="6">
        <f t="shared" si="0"/>
        <v>22</v>
      </c>
      <c r="AA8" s="10">
        <v>3</v>
      </c>
      <c r="AB8" s="12">
        <f t="shared" si="1"/>
        <v>0.5714285714285714</v>
      </c>
      <c r="AC8" s="12">
        <f t="shared" si="2"/>
        <v>0.5</v>
      </c>
    </row>
    <row r="9" spans="1:29" s="6" customFormat="1" x14ac:dyDescent="0.2">
      <c r="A9" s="5" t="str">
        <f>_xlfn.IFNA(VLOOKUP($B$3&amp;ROWS($A$5:A9),Rosters!$B$2:$C$163,2,0),"?")</f>
        <v>Kylor</v>
      </c>
      <c r="B9" s="5" t="str">
        <f>_xlfn.IFNA(VLOOKUP($B$3&amp;ROWS($B$5:B9),Rosters!$B$2:$D$163,3,0),"?")</f>
        <v>Kelley</v>
      </c>
      <c r="C9" s="9">
        <f>_xlfn.IFNA(VLOOKUP($B$3&amp;ROWS($C$5:C9),Rosters!$B$2:$E$163,4,0),"")</f>
        <v>35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  <c r="AA9" s="10">
        <v>35</v>
      </c>
      <c r="AB9" s="12"/>
      <c r="AC9" s="12"/>
    </row>
    <row r="10" spans="1:29" s="6" customFormat="1" x14ac:dyDescent="0.2">
      <c r="A10" s="6" t="str">
        <f>_xlfn.IFNA(VLOOKUP($B$3&amp;ROWS($A$5:A10),Rosters!$B$2:$C$163,2,0),"?")</f>
        <v>Nic</v>
      </c>
      <c r="B10" s="6" t="str">
        <f>_xlfn.IFNA(VLOOKUP($B$3&amp;ROWS($B$5:B10),Rosters!$B$2:$D$163,3,0),"?")</f>
        <v>Paulos</v>
      </c>
      <c r="C10" s="10">
        <f>_xlfn.IFNA(VLOOKUP($B$3&amp;ROWS($C$5:C10),Rosters!$B$2:$E$163,4,0),"")</f>
        <v>31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0</v>
      </c>
      <c r="AA10" s="10">
        <v>31</v>
      </c>
      <c r="AB10" s="12"/>
      <c r="AC10" s="12"/>
    </row>
    <row r="11" spans="1:29" s="6" customFormat="1" x14ac:dyDescent="0.2">
      <c r="A11" s="5" t="str">
        <f>_xlfn.IFNA(VLOOKUP($B$3&amp;ROWS($A$5:A11),Rosters!$B$2:$C$163,2,0),"?")</f>
        <v>Trey</v>
      </c>
      <c r="B11" s="5" t="str">
        <f>_xlfn.IFNA(VLOOKUP($B$3&amp;ROWS($B$5:B11),Rosters!$B$2:$D$163,3,0),"?")</f>
        <v>Farrer</v>
      </c>
      <c r="C11" s="9">
        <f>_xlfn.IFNA(VLOOKUP($B$3&amp;ROWS($C$5:C11),Rosters!$B$2:$E$163,4,0),"")</f>
        <v>21</v>
      </c>
      <c r="D11" s="5"/>
      <c r="E11" s="5">
        <v>3</v>
      </c>
      <c r="F11" s="5"/>
      <c r="G11" s="5"/>
      <c r="H11" s="5">
        <v>3</v>
      </c>
      <c r="I11" s="5"/>
      <c r="J11" s="5"/>
      <c r="K11" s="5">
        <v>1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3</v>
      </c>
      <c r="X11" s="5"/>
      <c r="Y11" s="6">
        <f t="shared" si="0"/>
        <v>6</v>
      </c>
      <c r="AA11" s="10">
        <v>21</v>
      </c>
      <c r="AB11" s="12">
        <f t="shared" si="1"/>
        <v>0.75</v>
      </c>
      <c r="AC11" s="12">
        <f t="shared" si="2"/>
        <v>0</v>
      </c>
    </row>
    <row r="12" spans="1:29" s="6" customFormat="1" x14ac:dyDescent="0.2">
      <c r="A12" s="6" t="str">
        <f>_xlfn.IFNA(VLOOKUP($B$3&amp;ROWS($A$5:A12),Rosters!$B$2:$C$163,2,0),"?")</f>
        <v>Connor</v>
      </c>
      <c r="B12" s="6" t="str">
        <f>_xlfn.IFNA(VLOOKUP($B$3&amp;ROWS($B$5:B12),Rosters!$B$2:$D$163,3,0),"?")</f>
        <v>Harding</v>
      </c>
      <c r="C12" s="10">
        <f>_xlfn.IFNA(VLOOKUP($B$3&amp;ROWS($C$5:C12),Rosters!$B$2:$E$163,4,0),"")</f>
        <v>11</v>
      </c>
      <c r="E12" s="6">
        <v>9</v>
      </c>
      <c r="H12" s="6">
        <v>6</v>
      </c>
      <c r="K12" s="6">
        <v>6</v>
      </c>
      <c r="N12" s="6">
        <v>2</v>
      </c>
      <c r="Q12" s="6">
        <v>5</v>
      </c>
      <c r="T12" s="6">
        <v>3</v>
      </c>
      <c r="W12" s="6">
        <v>2</v>
      </c>
      <c r="Y12" s="6">
        <f t="shared" si="0"/>
        <v>21</v>
      </c>
      <c r="AA12" s="10">
        <v>11</v>
      </c>
      <c r="AB12" s="12">
        <f t="shared" si="1"/>
        <v>0.53333333333333333</v>
      </c>
      <c r="AC12" s="12">
        <f t="shared" si="2"/>
        <v>0.33333333333333331</v>
      </c>
    </row>
    <row r="13" spans="1:29" s="6" customFormat="1" x14ac:dyDescent="0.2">
      <c r="A13" s="5" t="str">
        <f>_xlfn.IFNA(VLOOKUP($B$3&amp;ROWS($A$5:A13),Rosters!$B$2:$C$163,2,0),"?")</f>
        <v>Evan</v>
      </c>
      <c r="B13" s="5" t="str">
        <f>_xlfn.IFNA(VLOOKUP($B$3&amp;ROWS($B$5:B13),Rosters!$B$2:$D$163,3,0),"?")</f>
        <v>Troy</v>
      </c>
      <c r="C13" s="9">
        <f>_xlfn.IFNA(VLOOKUP($B$3&amp;ROWS($C$5:C13),Rosters!$B$2:$E$163,4,0),"")</f>
        <v>24</v>
      </c>
      <c r="D13" s="5"/>
      <c r="E13" s="5">
        <v>2</v>
      </c>
      <c r="F13" s="5"/>
      <c r="G13" s="5"/>
      <c r="H13" s="5">
        <v>1</v>
      </c>
      <c r="I13" s="5"/>
      <c r="J13" s="5"/>
      <c r="K13" s="5">
        <v>7</v>
      </c>
      <c r="L13" s="5"/>
      <c r="M13" s="5"/>
      <c r="N13" s="5">
        <v>5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2</v>
      </c>
      <c r="X13" s="5"/>
      <c r="Y13" s="6">
        <f t="shared" si="0"/>
        <v>17</v>
      </c>
      <c r="AA13" s="10">
        <v>24</v>
      </c>
      <c r="AB13" s="12">
        <f t="shared" si="1"/>
        <v>0.66666666666666663</v>
      </c>
      <c r="AC13" s="12">
        <f t="shared" si="2"/>
        <v>0.7142857142857143</v>
      </c>
    </row>
    <row r="14" spans="1:29" s="6" customFormat="1" x14ac:dyDescent="0.2">
      <c r="A14" s="6" t="str">
        <f>_xlfn.IFNA(VLOOKUP($B$3&amp;ROWS($A$5:A14),Rosters!$B$2:$C$163,2,0),"?")</f>
        <v>Sam</v>
      </c>
      <c r="B14" s="6" t="str">
        <f>_xlfn.IFNA(VLOOKUP($B$3&amp;ROWS($B$5:B14),Rosters!$B$2:$D$163,3,0),"?")</f>
        <v>Velez</v>
      </c>
      <c r="C14" s="10">
        <f>_xlfn.IFNA(VLOOKUP($B$3&amp;ROWS($C$5:C14),Rosters!$B$2:$E$163,4,0),"")</f>
        <v>1</v>
      </c>
      <c r="E14" s="6">
        <v>0</v>
      </c>
      <c r="H14" s="6">
        <v>0</v>
      </c>
      <c r="K14" s="6">
        <v>1</v>
      </c>
      <c r="N14" s="6">
        <v>1</v>
      </c>
      <c r="Q14" s="6">
        <v>0</v>
      </c>
      <c r="T14" s="6">
        <v>0</v>
      </c>
      <c r="W14" s="6">
        <v>1</v>
      </c>
      <c r="Y14" s="6">
        <f t="shared" si="0"/>
        <v>3</v>
      </c>
      <c r="AA14" s="10">
        <v>1</v>
      </c>
      <c r="AB14" s="12">
        <f t="shared" si="1"/>
        <v>1</v>
      </c>
      <c r="AC14" s="12">
        <f t="shared" si="2"/>
        <v>1</v>
      </c>
    </row>
    <row r="15" spans="1:29" s="6" customFormat="1" x14ac:dyDescent="0.2">
      <c r="A15" s="5" t="str">
        <f>_xlfn.IFNA(VLOOKUP($B$3&amp;ROWS($A$5:A15),Rosters!$B$2:$C$163,2,0),"?")</f>
        <v>Gerad</v>
      </c>
      <c r="B15" s="5" t="str">
        <f>_xlfn.IFNA(VLOOKUP($B$3&amp;ROWS($B$5:B15),Rosters!$B$2:$D$163,3,0),"?")</f>
        <v>Davis</v>
      </c>
      <c r="C15" s="9">
        <f>_xlfn.IFNA(VLOOKUP($B$3&amp;ROWS($C$5:C15),Rosters!$B$2:$E$163,4,0),"")</f>
        <v>10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1</v>
      </c>
      <c r="X15" s="5"/>
      <c r="Y15" s="6">
        <f t="shared" si="0"/>
        <v>0</v>
      </c>
      <c r="AA15" s="10">
        <v>10</v>
      </c>
      <c r="AB15" s="12">
        <f t="shared" si="1"/>
        <v>0</v>
      </c>
      <c r="AC15" s="12">
        <f t="shared" si="2"/>
        <v>0</v>
      </c>
    </row>
    <row r="16" spans="1:29" s="6" customFormat="1" x14ac:dyDescent="0.2">
      <c r="A16" s="6" t="s">
        <v>224</v>
      </c>
      <c r="B16" s="6" t="s">
        <v>225</v>
      </c>
      <c r="C16" s="10">
        <v>25</v>
      </c>
      <c r="E16" s="6">
        <v>1</v>
      </c>
      <c r="H16" s="6">
        <v>1</v>
      </c>
      <c r="K16" s="6">
        <v>0</v>
      </c>
      <c r="N16" s="6">
        <v>0</v>
      </c>
      <c r="Q16" s="6">
        <v>0</v>
      </c>
      <c r="T16" s="6">
        <v>0</v>
      </c>
      <c r="W16" s="6">
        <v>1</v>
      </c>
      <c r="Y16" s="6">
        <f t="shared" si="0"/>
        <v>2</v>
      </c>
      <c r="AA16" s="10">
        <v>25</v>
      </c>
      <c r="AB16" s="12">
        <f t="shared" si="1"/>
        <v>1</v>
      </c>
      <c r="AC16" s="12"/>
    </row>
    <row r="17" spans="1:29" s="6" customFormat="1" x14ac:dyDescent="0.2">
      <c r="A17" s="5" t="s">
        <v>226</v>
      </c>
      <c r="B17" s="5" t="s">
        <v>227</v>
      </c>
      <c r="C17" s="9">
        <v>23</v>
      </c>
      <c r="D17" s="5"/>
      <c r="E17" s="5">
        <v>4</v>
      </c>
      <c r="F17" s="5"/>
      <c r="G17" s="5"/>
      <c r="H17" s="5">
        <v>4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1</v>
      </c>
      <c r="R17" s="5"/>
      <c r="S17" s="5"/>
      <c r="T17" s="5">
        <v>0</v>
      </c>
      <c r="U17" s="5"/>
      <c r="V17" s="5"/>
      <c r="W17" s="5">
        <v>1</v>
      </c>
      <c r="X17" s="5"/>
      <c r="Y17" s="6">
        <f t="shared" si="0"/>
        <v>8</v>
      </c>
      <c r="AA17" s="10">
        <v>23</v>
      </c>
      <c r="AB17" s="12">
        <f t="shared" si="1"/>
        <v>1</v>
      </c>
      <c r="AC17" s="12"/>
    </row>
    <row r="18" spans="1:29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10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  <c r="Y18" s="6">
        <f t="shared" si="0"/>
        <v>0</v>
      </c>
      <c r="AA18" s="10"/>
      <c r="AB18" s="12"/>
      <c r="AC18" s="12"/>
    </row>
    <row r="19" spans="1:29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9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Y19" s="6">
        <f t="shared" si="0"/>
        <v>0</v>
      </c>
      <c r="AA19" s="10"/>
      <c r="AB19" s="12"/>
      <c r="AC19" s="12"/>
    </row>
    <row r="20" spans="1:29" s="6" customFormat="1" x14ac:dyDescent="0.2">
      <c r="C20" s="10"/>
      <c r="E20" s="6">
        <f>SUM(E5:E19)</f>
        <v>58</v>
      </c>
      <c r="H20" s="6">
        <f>SUM(H5:H19)</f>
        <v>40</v>
      </c>
      <c r="K20" s="6">
        <f>SUM(K5:K19)</f>
        <v>36</v>
      </c>
      <c r="N20" s="6">
        <f>SUM(N5:N19)</f>
        <v>14</v>
      </c>
      <c r="Q20" s="6">
        <f>SUM(Q5:Q19)</f>
        <v>13</v>
      </c>
      <c r="T20" s="6">
        <f>SUM(T5:T19)</f>
        <v>8</v>
      </c>
      <c r="W20" s="6">
        <f>SUM(W5:W19)</f>
        <v>15</v>
      </c>
      <c r="Y20" s="6">
        <f t="shared" si="0"/>
        <v>130</v>
      </c>
      <c r="Z20" s="11">
        <v>3</v>
      </c>
      <c r="AA20" s="10"/>
      <c r="AB20" s="12">
        <f t="shared" si="1"/>
        <v>0.57446808510638303</v>
      </c>
      <c r="AC20" s="12">
        <f t="shared" si="2"/>
        <v>0.3888888888888889</v>
      </c>
    </row>
    <row r="21" spans="1:29" x14ac:dyDescent="0.2">
      <c r="A21" s="2" t="s">
        <v>15</v>
      </c>
      <c r="B21" s="1" t="s">
        <v>171</v>
      </c>
      <c r="C21" s="2"/>
      <c r="Y21" s="6"/>
      <c r="AA21" s="2"/>
      <c r="AB21" s="12"/>
      <c r="AC21" s="12"/>
    </row>
    <row r="22" spans="1:29" x14ac:dyDescent="0.2">
      <c r="A22" t="s">
        <v>1</v>
      </c>
      <c r="B22" t="s">
        <v>2</v>
      </c>
      <c r="C22" s="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221</v>
      </c>
      <c r="Y22" s="6"/>
      <c r="AA22" s="2"/>
      <c r="AB22" s="12"/>
      <c r="AC22" s="12"/>
    </row>
    <row r="23" spans="1:29" s="6" customFormat="1" x14ac:dyDescent="0.2">
      <c r="A23" s="5" t="str">
        <f>_xlfn.IFNA(VLOOKUP($B$21&amp;ROWS($A$23:A23),Rosters!$B$2:$C$163,2,0),"?")</f>
        <v>Tone</v>
      </c>
      <c r="B23" s="5" t="str">
        <f>_xlfn.IFNA(VLOOKUP($B$21&amp;ROWS($B$23:B23),Rosters!$B$2:$D$163,3,0),"?")</f>
        <v>Anderson</v>
      </c>
      <c r="C23" s="9">
        <f>_xlfn.IFNA(VLOOKUP($B$21&amp;ROWS($C$23:C23),Rosters!$B$2:$E$163,4,0),"")</f>
        <v>0</v>
      </c>
      <c r="D23" s="5"/>
      <c r="E23" s="5">
        <v>4</v>
      </c>
      <c r="F23" s="5"/>
      <c r="G23" s="5"/>
      <c r="H23" s="5">
        <v>2</v>
      </c>
      <c r="I23" s="5"/>
      <c r="J23" s="5"/>
      <c r="K23" s="5">
        <v>3</v>
      </c>
      <c r="L23" s="5"/>
      <c r="M23" s="5"/>
      <c r="N23" s="5">
        <v>2</v>
      </c>
      <c r="O23" s="5"/>
      <c r="P23" s="5"/>
      <c r="Q23" s="5">
        <v>2</v>
      </c>
      <c r="R23" s="5"/>
      <c r="S23" s="5"/>
      <c r="T23" s="5">
        <v>1</v>
      </c>
      <c r="U23" s="5"/>
      <c r="V23" s="5"/>
      <c r="W23" s="5">
        <v>0</v>
      </c>
      <c r="X23" s="5"/>
      <c r="Y23" s="6">
        <f t="shared" si="0"/>
        <v>11</v>
      </c>
      <c r="AA23" s="10">
        <v>0</v>
      </c>
      <c r="AB23" s="12">
        <f t="shared" si="1"/>
        <v>0.5714285714285714</v>
      </c>
      <c r="AC23" s="12">
        <f t="shared" si="2"/>
        <v>0.66666666666666663</v>
      </c>
    </row>
    <row r="24" spans="1:29" x14ac:dyDescent="0.2">
      <c r="A24" t="str">
        <f>_xlfn.IFNA(VLOOKUP($B$21&amp;ROWS($A$23:A24),Rosters!$B$2:$C$163,2,0),"?")</f>
        <v>Ronald</v>
      </c>
      <c r="B24" t="str">
        <f>_xlfn.IFNA(VLOOKUP($B$21&amp;ROWS($B$23:B24),Rosters!$B$2:$D$163,3,0),"?")</f>
        <v>Leach</v>
      </c>
      <c r="C24" s="2">
        <f>_xlfn.IFNA(VLOOKUP($B$21&amp;ROWS($C$23:C24),Rosters!$B$2:$E$163,4,0),"")</f>
        <v>32</v>
      </c>
      <c r="D24" s="6"/>
      <c r="E24" s="6">
        <v>8</v>
      </c>
      <c r="F24" s="6"/>
      <c r="G24" s="6"/>
      <c r="H24" s="6">
        <v>6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2</v>
      </c>
      <c r="X24" s="6"/>
      <c r="Y24" s="6">
        <f t="shared" si="0"/>
        <v>12</v>
      </c>
      <c r="AA24" s="2">
        <v>32</v>
      </c>
      <c r="AB24" s="12">
        <f t="shared" si="1"/>
        <v>0.75</v>
      </c>
      <c r="AC24" s="12"/>
    </row>
    <row r="25" spans="1:29" s="6" customFormat="1" x14ac:dyDescent="0.2">
      <c r="A25" s="5" t="str">
        <f>_xlfn.IFNA(VLOOKUP($B$21&amp;ROWS($A$23:A25),Rosters!$B$2:$C$163,2,0),"?")</f>
        <v>Brendan</v>
      </c>
      <c r="B25" s="5" t="str">
        <f>_xlfn.IFNA(VLOOKUP($B$21&amp;ROWS($B$23:B25),Rosters!$B$2:$D$163,3,0),"?")</f>
        <v>Bailey</v>
      </c>
      <c r="C25" s="9">
        <f>_xlfn.IFNA(VLOOKUP($B$21&amp;ROWS($C$23:C25),Rosters!$B$2:$E$163,4,0),"")</f>
        <v>1</v>
      </c>
      <c r="D25" s="5"/>
      <c r="E25" s="5">
        <v>8</v>
      </c>
      <c r="F25" s="5"/>
      <c r="G25" s="5"/>
      <c r="H25" s="5">
        <v>6</v>
      </c>
      <c r="I25" s="5"/>
      <c r="J25" s="5"/>
      <c r="K25" s="5">
        <v>10</v>
      </c>
      <c r="L25" s="5"/>
      <c r="M25" s="5"/>
      <c r="N25" s="5">
        <v>3</v>
      </c>
      <c r="O25" s="5"/>
      <c r="P25" s="5"/>
      <c r="Q25" s="5">
        <v>5</v>
      </c>
      <c r="R25" s="5"/>
      <c r="S25" s="5"/>
      <c r="T25" s="5">
        <v>2</v>
      </c>
      <c r="U25" s="5"/>
      <c r="V25" s="5"/>
      <c r="W25" s="5">
        <v>1</v>
      </c>
      <c r="X25" s="5"/>
      <c r="Y25" s="6">
        <f t="shared" si="0"/>
        <v>23</v>
      </c>
      <c r="AA25" s="10">
        <v>1</v>
      </c>
      <c r="AB25" s="12">
        <f t="shared" si="1"/>
        <v>0.5</v>
      </c>
      <c r="AC25" s="12">
        <f t="shared" si="2"/>
        <v>0.3</v>
      </c>
    </row>
    <row r="26" spans="1:29" x14ac:dyDescent="0.2">
      <c r="A26" t="str">
        <f>_xlfn.IFNA(VLOOKUP($B$21&amp;ROWS($A$23:A26),Rosters!$B$2:$C$163,2,0),"?")</f>
        <v>Zahir</v>
      </c>
      <c r="B26" t="str">
        <f>_xlfn.IFNA(VLOOKUP($B$21&amp;ROWS($B$23:B26),Rosters!$B$2:$D$163,3,0),"?")</f>
        <v>Porter</v>
      </c>
      <c r="C26" s="2">
        <f>_xlfn.IFNA(VLOOKUP($B$21&amp;ROWS($C$23:C26),Rosters!$B$2:$E$163,4,0),"")</f>
        <v>5</v>
      </c>
      <c r="D26" s="6"/>
      <c r="E26" s="6">
        <v>9</v>
      </c>
      <c r="F26" s="6"/>
      <c r="G26" s="6"/>
      <c r="H26" s="6">
        <v>4</v>
      </c>
      <c r="I26" s="6"/>
      <c r="J26" s="6"/>
      <c r="K26" s="6">
        <v>10</v>
      </c>
      <c r="L26" s="6"/>
      <c r="M26" s="6"/>
      <c r="N26" s="6">
        <v>1</v>
      </c>
      <c r="O26" s="6"/>
      <c r="P26" s="6"/>
      <c r="Q26" s="6">
        <v>9</v>
      </c>
      <c r="R26" s="6"/>
      <c r="S26" s="6"/>
      <c r="T26" s="6">
        <v>9</v>
      </c>
      <c r="U26" s="6"/>
      <c r="V26" s="6"/>
      <c r="W26" s="6">
        <v>3</v>
      </c>
      <c r="X26" s="6"/>
      <c r="Y26" s="6">
        <f t="shared" si="0"/>
        <v>20</v>
      </c>
      <c r="AA26" s="2">
        <v>5</v>
      </c>
      <c r="AB26" s="12">
        <f t="shared" si="1"/>
        <v>0.26315789473684209</v>
      </c>
      <c r="AC26" s="12">
        <f t="shared" si="2"/>
        <v>0.1</v>
      </c>
    </row>
    <row r="27" spans="1:29" s="6" customFormat="1" x14ac:dyDescent="0.2">
      <c r="A27" s="5" t="str">
        <f>_xlfn.IFNA(VLOOKUP($B$21&amp;ROWS($A$23:A27),Rosters!$B$2:$C$163,2,0),"?")</f>
        <v>Eli</v>
      </c>
      <c r="B27" s="5" t="str">
        <f>_xlfn.IFNA(VLOOKUP($B$21&amp;ROWS($B$23:B27),Rosters!$B$2:$D$163,3,0),"?")</f>
        <v>Davy</v>
      </c>
      <c r="C27" s="9">
        <f>_xlfn.IFNA(VLOOKUP($B$21&amp;ROWS($C$23:C27),Rosters!$B$2:$E$163,4,0),"")</f>
        <v>2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 s="6">
        <f t="shared" si="0"/>
        <v>0</v>
      </c>
      <c r="AA27" s="10">
        <v>2</v>
      </c>
      <c r="AB27" s="12"/>
      <c r="AC27" s="12"/>
    </row>
    <row r="28" spans="1:29" x14ac:dyDescent="0.2">
      <c r="A28" t="str">
        <f>_xlfn.IFNA(VLOOKUP($B$21&amp;ROWS($A$23:A28),Rosters!$B$2:$C$163,2,0),"?")</f>
        <v>Anthony</v>
      </c>
      <c r="B28" t="str">
        <f>_xlfn.IFNA(VLOOKUP($B$21&amp;ROWS($B$23:B28),Rosters!$B$2:$D$163,3,0),"?")</f>
        <v>Cox</v>
      </c>
      <c r="C28" s="2">
        <f>_xlfn.IFNA(VLOOKUP($B$21&amp;ROWS($C$23:C28),Rosters!$B$2:$E$163,4,0),"")</f>
        <v>11</v>
      </c>
      <c r="D28" s="6"/>
      <c r="E28" s="6">
        <v>4</v>
      </c>
      <c r="F28" s="6"/>
      <c r="G28" s="6"/>
      <c r="H28" s="6">
        <v>1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2</v>
      </c>
      <c r="X28" s="6"/>
      <c r="Y28" s="6">
        <f t="shared" si="0"/>
        <v>2</v>
      </c>
      <c r="AA28" s="2">
        <v>11</v>
      </c>
      <c r="AB28" s="12">
        <f t="shared" si="1"/>
        <v>0.25</v>
      </c>
      <c r="AC28" s="12"/>
    </row>
    <row r="29" spans="1:29" s="6" customFormat="1" x14ac:dyDescent="0.2">
      <c r="A29" s="5" t="str">
        <f>_xlfn.IFNA(VLOOKUP($B$21&amp;ROWS($A$23:A29),Rosters!$B$2:$C$163,2,0),"?")</f>
        <v>Xavier</v>
      </c>
      <c r="B29" s="5" t="str">
        <f>_xlfn.IFNA(VLOOKUP($B$21&amp;ROWS($B$23:B29),Rosters!$B$2:$D$163,3,0),"?")</f>
        <v>Sneed</v>
      </c>
      <c r="C29" s="9">
        <f>_xlfn.IFNA(VLOOKUP($B$21&amp;ROWS($C$23:C29),Rosters!$B$2:$E$163,4,0),"")</f>
        <v>20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Y29" s="6">
        <f t="shared" si="0"/>
        <v>0</v>
      </c>
      <c r="AA29" s="10">
        <v>20</v>
      </c>
      <c r="AB29" s="12"/>
      <c r="AC29" s="12"/>
    </row>
    <row r="30" spans="1:29" x14ac:dyDescent="0.2">
      <c r="A30" t="str">
        <f>_xlfn.IFNA(VLOOKUP($B$21&amp;ROWS($A$23:A30),Rosters!$B$2:$C$163,2,0),"?")</f>
        <v>Rayjon</v>
      </c>
      <c r="B30" t="str">
        <f>_xlfn.IFNA(VLOOKUP($B$21&amp;ROWS($B$23:B30),Rosters!$B$2:$D$163,3,0),"?")</f>
        <v>Tucker</v>
      </c>
      <c r="C30" s="2">
        <f>_xlfn.IFNA(VLOOKUP($B$21&amp;ROWS($C$23:C30),Rosters!$B$2:$E$163,4,0),"")</f>
        <v>59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 s="6">
        <f t="shared" si="0"/>
        <v>0</v>
      </c>
      <c r="AA30" s="2">
        <v>59</v>
      </c>
      <c r="AB30" s="12"/>
      <c r="AC30" s="12"/>
    </row>
    <row r="31" spans="1:29" s="6" customFormat="1" x14ac:dyDescent="0.2">
      <c r="A31" s="5" t="str">
        <f>_xlfn.IFNA(VLOOKUP($B$21&amp;ROWS($A$23:A31),Rosters!$B$2:$C$163,2,0),"?")</f>
        <v>Branden</v>
      </c>
      <c r="B31" s="5" t="str">
        <f>_xlfn.IFNA(VLOOKUP($B$21&amp;ROWS($B$23:B31),Rosters!$B$2:$D$163,3,0),"?")</f>
        <v>Carlon</v>
      </c>
      <c r="C31" s="9">
        <f>_xlfn.IFNA(VLOOKUP($B$21&amp;ROWS($C$23:C31),Rosters!$B$2:$E$163,4,0),"")</f>
        <v>35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  <c r="Y31" s="6">
        <f t="shared" si="0"/>
        <v>0</v>
      </c>
      <c r="AA31" s="10">
        <v>35</v>
      </c>
      <c r="AB31" s="12"/>
      <c r="AC31" s="12"/>
    </row>
    <row r="32" spans="1:29" x14ac:dyDescent="0.2">
      <c r="A32" t="str">
        <f>_xlfn.IFNA(VLOOKUP($B$21&amp;ROWS($A$23:A32),Rosters!$B$2:$C$163,2,0),"?")</f>
        <v>Quae</v>
      </c>
      <c r="B32" t="str">
        <f>_xlfn.IFNA(VLOOKUP($B$21&amp;ROWS($B$23:B32),Rosters!$B$2:$D$163,3,0),"?")</f>
        <v>Furlow</v>
      </c>
      <c r="C32" s="2">
        <f>_xlfn.IFNA(VLOOKUP($B$21&amp;ROWS($C$23:C32),Rosters!$B$2:$E$163,4,0),"")</f>
        <v>3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  <c r="Y32" s="6">
        <f t="shared" si="0"/>
        <v>0</v>
      </c>
      <c r="AA32" s="2">
        <v>3</v>
      </c>
      <c r="AB32" s="12"/>
      <c r="AC32" s="12"/>
    </row>
    <row r="33" spans="1:29" s="6" customFormat="1" x14ac:dyDescent="0.2">
      <c r="A33" s="5" t="str">
        <f>_xlfn.IFNA(VLOOKUP($B$21&amp;ROWS($A$23:A33),Rosters!$B$2:$C$163,2,0),"?")</f>
        <v>Ibe</v>
      </c>
      <c r="B33" s="5" t="str">
        <f>_xlfn.IFNA(VLOOKUP($B$21&amp;ROWS($B$23:B33),Rosters!$B$2:$D$163,3,0),"?")</f>
        <v>Gerlach</v>
      </c>
      <c r="C33" s="9">
        <f>_xlfn.IFNA(VLOOKUP($B$21&amp;ROWS($C$23:C33),Rosters!$B$2:$E$163,4,0),"")</f>
        <v>20</v>
      </c>
      <c r="D33" s="5"/>
      <c r="E33" s="5">
        <v>5</v>
      </c>
      <c r="F33" s="5"/>
      <c r="G33" s="5"/>
      <c r="H33" s="5">
        <v>3</v>
      </c>
      <c r="I33" s="5"/>
      <c r="J33" s="5"/>
      <c r="K33" s="5">
        <v>9</v>
      </c>
      <c r="L33" s="5"/>
      <c r="M33" s="5"/>
      <c r="N33" s="5">
        <v>2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4</v>
      </c>
      <c r="X33" s="5"/>
      <c r="Y33" s="6">
        <f t="shared" si="0"/>
        <v>12</v>
      </c>
      <c r="AA33" s="10">
        <v>20</v>
      </c>
      <c r="AB33" s="12">
        <f t="shared" si="1"/>
        <v>0.35714285714285715</v>
      </c>
      <c r="AC33" s="12">
        <f t="shared" si="2"/>
        <v>0.22222222222222221</v>
      </c>
    </row>
    <row r="34" spans="1:29" x14ac:dyDescent="0.2">
      <c r="A34" t="str">
        <f>_xlfn.IFNA(VLOOKUP($B$21&amp;ROWS($A$23:A34),Rosters!$B$2:$C$163,2,0),"?")</f>
        <v>Justin</v>
      </c>
      <c r="B34" t="str">
        <f>_xlfn.IFNA(VLOOKUP($B$21&amp;ROWS($B$23:B34),Rosters!$B$2:$D$163,3,0),"?")</f>
        <v>Harmon</v>
      </c>
      <c r="C34" s="2">
        <v>1</v>
      </c>
      <c r="D34" s="6"/>
      <c r="E34" s="6">
        <v>10</v>
      </c>
      <c r="F34" s="6"/>
      <c r="G34" s="6"/>
      <c r="H34" s="6">
        <v>5</v>
      </c>
      <c r="I34" s="6"/>
      <c r="J34" s="6"/>
      <c r="K34" s="6">
        <v>9</v>
      </c>
      <c r="L34" s="6"/>
      <c r="M34" s="6"/>
      <c r="N34" s="6">
        <v>3</v>
      </c>
      <c r="O34" s="6"/>
      <c r="P34" s="6"/>
      <c r="Q34" s="6">
        <v>3</v>
      </c>
      <c r="R34" s="6"/>
      <c r="S34" s="6"/>
      <c r="T34" s="6">
        <v>3</v>
      </c>
      <c r="U34" s="6"/>
      <c r="V34" s="6"/>
      <c r="W34" s="6">
        <v>0</v>
      </c>
      <c r="X34" s="6"/>
      <c r="Y34" s="6">
        <f t="shared" si="0"/>
        <v>22</v>
      </c>
      <c r="AA34" s="2">
        <v>1</v>
      </c>
      <c r="AB34" s="12">
        <f t="shared" si="1"/>
        <v>0.42105263157894735</v>
      </c>
      <c r="AC34" s="12">
        <f t="shared" si="2"/>
        <v>0.33333333333333331</v>
      </c>
    </row>
    <row r="35" spans="1:29" s="6" customFormat="1" x14ac:dyDescent="0.2">
      <c r="A35" s="5" t="str">
        <f>_xlfn.IFNA(VLOOKUP($B$21&amp;ROWS($A$23:A35),Rosters!$B$2:$C$163,2,0),"?")</f>
        <v>KJ</v>
      </c>
      <c r="B35" s="5" t="str">
        <f>_xlfn.IFNA(VLOOKUP($B$21&amp;ROWS($B$23:B35),Rosters!$B$2:$D$163,3,0),"?")</f>
        <v>Cunningham</v>
      </c>
      <c r="C35" s="9">
        <f>_xlfn.IFNA(VLOOKUP($B$21&amp;ROWS($C$23:C35),Rosters!$B$2:$E$163,4,0),"")</f>
        <v>0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 s="6">
        <f t="shared" si="0"/>
        <v>0</v>
      </c>
      <c r="AA35" s="10">
        <v>0</v>
      </c>
      <c r="AB35" s="12"/>
      <c r="AC35" s="12"/>
    </row>
    <row r="36" spans="1:29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s="2"/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 s="6">
        <f t="shared" si="0"/>
        <v>0</v>
      </c>
      <c r="AA36" s="2"/>
      <c r="AB36" s="12"/>
      <c r="AC36" s="12"/>
    </row>
    <row r="37" spans="1:29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9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 s="6">
        <f t="shared" si="0"/>
        <v>0</v>
      </c>
      <c r="AA37" s="10"/>
      <c r="AB37" s="12"/>
      <c r="AC37" s="12"/>
    </row>
    <row r="38" spans="1:29" x14ac:dyDescent="0.2">
      <c r="E38">
        <f>SUM(E23:E37)</f>
        <v>48</v>
      </c>
      <c r="H38">
        <f>SUM(H23:H37)</f>
        <v>27</v>
      </c>
      <c r="K38">
        <f>SUM(K23:K37)</f>
        <v>41</v>
      </c>
      <c r="N38">
        <f>SUM(N23:N37)</f>
        <v>11</v>
      </c>
      <c r="Q38">
        <f>SUM(Q23:Q37)</f>
        <v>19</v>
      </c>
      <c r="T38">
        <f>SUM(T23:T37)</f>
        <v>15</v>
      </c>
      <c r="W38">
        <f>SUM(W23:W37)</f>
        <v>12</v>
      </c>
      <c r="Y38" s="6">
        <f t="shared" si="0"/>
        <v>102</v>
      </c>
      <c r="Z38">
        <v>4</v>
      </c>
      <c r="AA38" s="2"/>
      <c r="AB38" s="12">
        <f t="shared" si="1"/>
        <v>0.42696629213483145</v>
      </c>
      <c r="AC38" s="12">
        <f t="shared" si="2"/>
        <v>0.26829268292682928</v>
      </c>
    </row>
  </sheetData>
  <conditionalFormatting sqref="W5:W19">
    <cfRule type="colorScale" priority="3">
      <colorScale>
        <cfvo type="min"/>
        <cfvo type="max"/>
        <color rgb="FFFCFCFF"/>
        <color rgb="FFF8696B"/>
      </colorScale>
    </cfRule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W23:W37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2022-07-24T18:15:36Z</dcterms:modified>
</cp:coreProperties>
</file>