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22T003346Z-001/"/>
    </mc:Choice>
  </mc:AlternateContent>
  <xr:revisionPtr revIDLastSave="0" documentId="13_ncr:1_{F89A9086-B390-7240-9E16-6B729177DD2B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/>
  <c r="A16" i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Y27" i="1" s="1"/>
  <c r="I18" i="2"/>
  <c r="Y9" i="1" s="1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K18" i="2"/>
  <c r="K37" i="2"/>
  <c r="J37" i="2"/>
  <c r="J18" i="2"/>
  <c r="G20" i="2"/>
  <c r="D2" i="2" s="1"/>
  <c r="G1" i="2"/>
  <c r="B2" i="2" s="1"/>
  <c r="C19" i="1" l="1"/>
  <c r="H17" i="2" s="1"/>
  <c r="A17" i="1"/>
  <c r="F15" i="2" s="1"/>
  <c r="B36" i="1"/>
  <c r="G35" i="2" s="1"/>
  <c r="H32" i="2"/>
  <c r="A31" i="1"/>
  <c r="F30" i="2" s="1"/>
  <c r="B28" i="1"/>
  <c r="G27" i="2" s="1"/>
  <c r="C25" i="1"/>
  <c r="H24" i="2" s="1"/>
  <c r="A23" i="1"/>
  <c r="F22" i="2" s="1"/>
  <c r="H23" i="2"/>
  <c r="G31" i="2"/>
  <c r="A27" i="1"/>
  <c r="F26" i="2" s="1"/>
  <c r="F31" i="2"/>
  <c r="A37" i="1"/>
  <c r="F36" i="2" s="1"/>
  <c r="B26" i="1"/>
  <c r="G25" i="2" s="1"/>
  <c r="B19" i="1"/>
  <c r="G17" i="2" s="1"/>
  <c r="H14" i="2"/>
  <c r="A36" i="1"/>
  <c r="F35" i="2" s="1"/>
  <c r="G32" i="2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F32" i="2"/>
  <c r="B30" i="1"/>
  <c r="G29" i="2" s="1"/>
  <c r="C27" i="1"/>
  <c r="H26" i="2" s="1"/>
  <c r="A25" i="1"/>
  <c r="F24" i="2" s="1"/>
  <c r="F14" i="2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H31" i="2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H5" i="2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<sst xmlns="http://schemas.openxmlformats.org/spreadsheetml/2006/main" count="364" uniqueCount="228">
  <si>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</si>
  <si>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</si>
  <si>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</si>
  <si>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</si>
  <si>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</si>
  <si>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</si>
  <si>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</si>
  <si>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</si>
  <si>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</si>
  <si>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</si>
  <si>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</si>
  <si>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</si>
  <si>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</si>
  <si>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</si>
  <si>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</si>
  <si>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</si>
  <si>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</si>
  <si>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</si>
  <si>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</si>
  <si>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</si>
  <si>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</si>
  <si>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</si>
  <si>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</si>
  <si>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</si>
  <si>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</si>
  <si>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</si>
  <si>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</si>
  <si>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</si>
  <si>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</si>
  <si>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</si>
  <si>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</si>
  <si>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</si>
  <si>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</si>
  <si>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</si>
  <si>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</si>
  <si>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</si>
  <si>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</si>
  <si>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</si>
  <si>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</si>
  <si>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</si>
  <si>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</si>
  <si>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</si>
  <si>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</si>
  <si>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</si>
  <si>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</si>
  <si>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</si>
  <si>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</si>
  <si>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</si>
  <si>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</si>
  <si>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</si>
  <si>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</si>
  <si>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</si>
  <si>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</si>
  <si>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</si>
  <si>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</si>
  <si>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</si>
  <si>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</si>
  <si>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</si>
  <si>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</si>
  <si>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</si>
  <si>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</si>
  <si>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</si>
  <si>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</si>
  <si>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</si>
  <si>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</si>
  <si>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</si>
  <si>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</si>
  <si>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</si>
  <si>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</si>
  <si>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</si>
  <si>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</si>
  <si>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</si>
  <si>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</si>
  <si>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</si>
  <si>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</si>
  <si>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</si>
  <si>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</si>
  <si>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</si>
  <si>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</si>
  <si>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</si>
  <si>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</si>
  <si>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</si>
  <si>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</si>
  <si>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</si>
  <si>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</si>
  <si>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</si>
  <si>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</si>
  <si>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</si>
  <si>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</si>
  <si>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</si>
  <si>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</si>
  <si>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</si>
  <si>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</si>
  <si>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</si>
  <si>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</si>
  <si>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</si>
  <si>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</si>
  <si>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</si>
  <si>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</si>
  <si>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</si>
  <si>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</si>
  <si>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</si>
  <si>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</si>
  <si>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</si>
  <si>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</si>
  <si>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</si>
  <si>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</si>
  <si>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</si>
  <si>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</si>
  <si>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</si>
  <si>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</si>
  <si>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</si>
  <si>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</si>
  <si>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</si>
  <si>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</si>
  <si>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</si>
  <si>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</si>
  <si>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</si>
  <si>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</si>
  <si>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</si>
  <si>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</si>
  <si>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</si>
  <si>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</si>
  <si>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</si>
  <si>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</si>
  <si>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</si>
  <si>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</si>
  <si>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</si>
  <si>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</si>
  <si>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</si>
  <si>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</si>
  <si>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</si>
  <si>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</si>
  <si>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</si>
  <si>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</si>
  <si>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</si>
  <si>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</si>
  <si>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</si>
  <si>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</si>
  <si>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</si>
  <si>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</si>
  <si>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</si>
  <si>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</si>
  <si>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</si>
  <si>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</si>
  <si>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</si>
  <si>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</si>
  <si>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</si>
  <si>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</si>
  <si>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</si>
  <si>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</si>
  <si>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</si>
  <si>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</si>
  <si>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</si>
  <si>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</si>
  <si>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</si>
  <si>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</si>
  <si>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</si>
  <si>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</si>
  <si>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</si>
  <si>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</si>
  <si>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</si>
  <si>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</si>
  <si>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</si>
  <si>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</si>
  <si>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</si>
  <si>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</si>
  <si>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</si>
  <si>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</si>
  <si>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</si>
  <si>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</si>
  <si>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</si>
  <si>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</si>
  <si>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</si>
  <si>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</si>
  <si>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</si>
  <si>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</si>
  <si>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</si>
  <si>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</si>
  <si>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</si>
  <si>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</si>
  <si>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</si>
  <si>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</si>
  <si>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</si>
  <si>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</si>
  <si>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</si>
  <si>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</si>
  <si>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</si>
  <si>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</si>
  <si>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</si>
  <si>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</si>
  <si>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</si>
  <si>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</si>
  <si>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</si>
  <si>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</si>
  <si>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</si>
  <si>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</si>
  <si>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</si>
  <si>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</si>
  <si>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</si>
  <si>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</si>
  <si>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</si>
  <si>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</si>
  <si>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</si>
  <si>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</si>
  <si>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</si>
  <si>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</si>
  <si>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</si>
  <si>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</si>
  <si>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</si>
  <si>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</si>
  <si>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</si>
  <si>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</si>
  <si>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</si>
  <si>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</si>
  <si>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</si>
  <si>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</si>
  <si>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</si>
  <si>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</si>
  <si>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</si>
  <si>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</si>
  <si>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</si>
  <si>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GAME 2</t>
  </si>
  <si>
    <t>QT FLS</t>
  </si>
  <si>
    <t>Landon</t>
  </si>
  <si>
    <t>Salvo</t>
  </si>
  <si>
    <t>Caleb</t>
  </si>
  <si>
    <t>Leonhardt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</si>
</sst>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F4" sqref="F4:L4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222</v>
      </c>
      <c r="F1" t="s">
        <v>7</v>
      </c>
      <c r="G1" t="str">
        <f>'Stats G2'!B3</f>
        <v>Team Berger</v>
      </c>
    </row>
    <row r="2" spans="2:13" x14ac:dyDescent="0.2">
      <c r="B2" t="str">
        <f>G1</f>
        <v>Team Berger</v>
      </c>
      <c r="D2" t="str">
        <f>G20</f>
        <v>Team Egan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221</v>
      </c>
    </row>
    <row r="3" spans="2:13" x14ac:dyDescent="0.2">
      <c r="B3">
        <f>I18</f>
        <v>137</v>
      </c>
      <c r="C3" s="3" t="s">
        <v>13</v>
      </c>
      <c r="D3" s="4">
        <f>I37</f>
        <v>94</v>
      </c>
      <c r="F3" t="str">
        <f>'Stats G2'!A5</f>
        <v>Sean</v>
      </c>
      <c r="G3" t="str">
        <f>'Stats G2'!B5</f>
        <v>Harris</v>
      </c>
      <c r="H3">
        <f>'Stats G2'!C5</f>
        <v>60</v>
      </c>
      <c r="I3">
        <f>'Stats G2'!H5*2+'Stats G2'!N5*3+'Stats G2'!T5</f>
        <v>2</v>
      </c>
      <c r="J3" t="str">
        <f>SUM('Stats G2'!H5+'Stats G2'!N5)&amp;"-"&amp;SUM('Stats G2'!E5+'Stats G2'!K5)</f>
        <v>1-4</v>
      </c>
      <c r="K3" t="str">
        <f>SUM('Stats G2'!N5)&amp;"-"&amp;SUM('Stats G2'!K5)</f>
        <v>0-2</v>
      </c>
      <c r="L3" t="str">
        <f>SUM('Stats G2'!T5)&amp;"-"&amp;SUM('Stats G2'!Q5)</f>
        <v>0-0</v>
      </c>
      <c r="M3">
        <f>'Stats G2'!W5</f>
        <v>2</v>
      </c>
    </row>
    <row r="4" spans="2:13" x14ac:dyDescent="0.2">
      <c r="F4" t="str">
        <f>'Stats G2'!A6</f>
        <v>Parker</v>
      </c>
      <c r="G4" t="str">
        <f>'Stats G2'!B6</f>
        <v>Van Dyke</v>
      </c>
      <c r="H4">
        <f>'Stats G2'!C6</f>
        <v>7</v>
      </c>
      <c r="I4">
        <f>'Stats G2'!H6*2+'Stats G2'!N6*3+'Stats G2'!T6</f>
        <v>85</v>
      </c>
      <c r="J4" t="str">
        <f>SUM('Stats G2'!H6+'Stats G2'!N6)&amp;"-"&amp;SUM('Stats G2'!E6+'Stats G2'!K6)</f>
        <v>32-47</v>
      </c>
      <c r="K4" t="str">
        <f>SUM('Stats G2'!N6)&amp;"-"&amp;SUM('Stats G2'!K6)</f>
        <v>18-27</v>
      </c>
      <c r="L4" t="str">
        <f>SUM('Stats G2'!T6)&amp;"-"&amp;SUM('Stats G2'!Q6)</f>
        <v>3-3</v>
      </c>
      <c r="M4">
        <f>'Stats G2'!W6</f>
        <v>1</v>
      </c>
    </row>
    <row r="5" spans="2:13" x14ac:dyDescent="0.2">
      <c r="F5" t="str">
        <f>'Stats G2'!A7</f>
        <v>Danny</v>
      </c>
      <c r="G5" t="str">
        <f>'Stats G2'!B7</f>
        <v>Berger</v>
      </c>
      <c r="H5">
        <f>'Stats G2'!C7</f>
        <v>10</v>
      </c>
      <c r="I5">
        <f>'Stats G2'!H7*2+'Stats G2'!N7*3+'Stats G2'!T7</f>
        <v>6</v>
      </c>
      <c r="J5" t="str">
        <f>SUM('Stats G2'!H7+'Stats G2'!N7)&amp;"-"&amp;SUM('Stats G2'!E7+'Stats G2'!K7)</f>
        <v>3-5</v>
      </c>
      <c r="K5" t="str">
        <f>SUM('Stats G2'!N7)&amp;"-"&amp;SUM('Stats G2'!K7)</f>
        <v>0-1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Zac</v>
      </c>
      <c r="G6" t="str">
        <f>'Stats G2'!B8</f>
        <v>Seljaas</v>
      </c>
      <c r="H6">
        <f>'Stats G2'!C8</f>
        <v>99</v>
      </c>
      <c r="I6">
        <f>'Stats G2'!H8*2+'Stats G2'!N8*3+'Stats G2'!T8</f>
        <v>22</v>
      </c>
      <c r="J6" t="str">
        <f>SUM('Stats G2'!H8+'Stats G2'!N8)&amp;"-"&amp;SUM('Stats G2'!E8+'Stats G2'!K8)</f>
        <v>8-17</v>
      </c>
      <c r="K6" t="str">
        <f>SUM('Stats G2'!N8)&amp;"-"&amp;SUM('Stats G2'!K8)</f>
        <v>6-12</v>
      </c>
      <c r="L6" t="str">
        <f>SUM('Stats G2'!T8)&amp;"-"&amp;SUM('Stats G2'!Q8)</f>
        <v>0-0</v>
      </c>
      <c r="M6">
        <f>'Stats G2'!W8</f>
        <v>0</v>
      </c>
    </row>
    <row r="7" spans="2:13" x14ac:dyDescent="0.2">
      <c r="F7" t="str">
        <f>'Stats G2'!A9</f>
        <v>Peter</v>
      </c>
      <c r="G7" t="str">
        <f>'Stats G2'!B9</f>
        <v>Brown</v>
      </c>
      <c r="H7">
        <f>'Stats G2'!C9</f>
        <v>33</v>
      </c>
      <c r="I7">
        <f>'Stats G2'!H9*2+'Stats G2'!N9*3+'Stats G2'!T9</f>
        <v>6</v>
      </c>
      <c r="J7" t="str">
        <f>SUM('Stats G2'!H9+'Stats G2'!N9)&amp;"-"&amp;SUM('Stats G2'!E9+'Stats G2'!K9)</f>
        <v>3-5</v>
      </c>
      <c r="K7" t="str">
        <f>SUM('Stats G2'!N9)&amp;"-"&amp;SUM('Stats G2'!K9)</f>
        <v>0-1</v>
      </c>
      <c r="L7" t="str">
        <f>SUM('Stats G2'!T9)&amp;"-"&amp;SUM('Stats G2'!Q9)</f>
        <v>0-0</v>
      </c>
      <c r="M7">
        <f>'Stats G2'!W9</f>
        <v>3</v>
      </c>
    </row>
    <row r="8" spans="2:13" x14ac:dyDescent="0.2">
      <c r="F8" t="str">
        <f>'Stats G2'!A10</f>
        <v>Zavon</v>
      </c>
      <c r="G8" t="str">
        <f>'Stats G2'!B10</f>
        <v>Jackson</v>
      </c>
      <c r="H8">
        <f>'Stats G2'!C10</f>
        <v>24</v>
      </c>
      <c r="I8">
        <f>'Stats G2'!H10*2+'Stats G2'!N10*3+'Stats G2'!T10</f>
        <v>12</v>
      </c>
      <c r="J8" t="str">
        <f>SUM('Stats G2'!H10+'Stats G2'!N10)&amp;"-"&amp;SUM('Stats G2'!E10+'Stats G2'!K10)</f>
        <v>5-7</v>
      </c>
      <c r="K8" t="str">
        <f>SUM('Stats G2'!N10)&amp;"-"&amp;SUM('Stats G2'!K10)</f>
        <v>0-2</v>
      </c>
      <c r="L8" t="str">
        <f>SUM('Stats G2'!T10)&amp;"-"&amp;SUM('Stats G2'!Q10)</f>
        <v>2-3</v>
      </c>
      <c r="M8">
        <f>'Stats G2'!W10</f>
        <v>2</v>
      </c>
    </row>
    <row r="9" spans="2:13" x14ac:dyDescent="0.2">
      <c r="F9" t="str">
        <f>'Stats G2'!A11</f>
        <v>Spencer</v>
      </c>
      <c r="G9" t="str">
        <f>'Stats G2'!B11</f>
        <v>Butterfield</v>
      </c>
      <c r="H9">
        <f>'Stats G2'!C11</f>
        <v>21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Rylan</v>
      </c>
      <c r="G10" t="str">
        <f>'Stats G2'!B12</f>
        <v>Jones</v>
      </c>
      <c r="H10">
        <f>'Stats G2'!C12</f>
        <v>15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Brandon</v>
      </c>
      <c r="G11" t="str">
        <f>'Stats G2'!B13</f>
        <v>Sly</v>
      </c>
      <c r="H11">
        <f>'Stats G2'!C13</f>
        <v>2</v>
      </c>
      <c r="I11">
        <f>'Stats G2'!H13*2+'Stats G2'!N13*3+'Stats G2'!T13</f>
        <v>4</v>
      </c>
      <c r="J11" t="str">
        <f>SUM('Stats G2'!H13+'Stats G2'!N13)&amp;"-"&amp;SUM('Stats G2'!E13+'Stats G2'!K13)</f>
        <v>1-1</v>
      </c>
      <c r="K11" t="str">
        <f>SUM('Stats G2'!N13)&amp;"-"&amp;SUM('Stats G2'!K13)</f>
        <v>0-0</v>
      </c>
      <c r="L11" t="str">
        <f>SUM('Stats G2'!T13)&amp;"-"&amp;SUM('Stats G2'!Q13)</f>
        <v>2-2</v>
      </c>
      <c r="M11">
        <f>'Stats G2'!W13</f>
        <v>2</v>
      </c>
    </row>
    <row r="12" spans="2:13" x14ac:dyDescent="0.2">
      <c r="F12" t="str">
        <f>'Stats G2'!A14</f>
        <v>Viko</v>
      </c>
      <c r="G12" t="str">
        <f>'Stats G2'!B14</f>
        <v>Noma'aea</v>
      </c>
      <c r="H12">
        <f>'Stats G2'!C14</f>
        <v>6</v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  <c r="M12">
        <f>'Stats G2'!W14</f>
        <v>0</v>
      </c>
    </row>
    <row r="13" spans="2:13" x14ac:dyDescent="0.2">
      <c r="F13" t="str">
        <f>'Stats G2'!A15</f>
        <v>Steven</v>
      </c>
      <c r="G13" t="str">
        <f>'Stats G2'!B15</f>
        <v>Ashworth</v>
      </c>
      <c r="H13">
        <f>'Stats G2'!C15</f>
        <v>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G2'!W16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137</v>
      </c>
      <c r="J18" t="str">
        <f>SUM('Stats G2'!H20+'Stats G2'!N20)&amp;"-"&amp;SUM('Stats G2'!E20+'Stats G2'!K20)</f>
        <v>53-86</v>
      </c>
      <c r="K18" t="str">
        <f>SUM('Stats G2'!N20)&amp;"-"&amp;SUM('Stats G2'!K20)</f>
        <v>24-45</v>
      </c>
      <c r="L18" t="str">
        <f>SUM('Stats G2'!T20)&amp;"-"&amp;SUM('Stats G2'!Q20)</f>
        <v>7-8</v>
      </c>
      <c r="M18">
        <f>SUM(M3:M17)</f>
        <v>10</v>
      </c>
    </row>
    <row r="20" spans="6:13" x14ac:dyDescent="0.2">
      <c r="F20" t="s">
        <v>11</v>
      </c>
      <c r="G20" t="str">
        <f>'Stats G2'!B21</f>
        <v>Team Egan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221</v>
      </c>
    </row>
    <row r="22" spans="6:13" x14ac:dyDescent="0.2">
      <c r="F22" t="str">
        <f>'Stats G2'!A23</f>
        <v>Casdon</v>
      </c>
      <c r="G22" t="str">
        <f>'Stats G2'!B23</f>
        <v>Jardine</v>
      </c>
      <c r="H22">
        <f>'Stats G2'!C23</f>
        <v>22</v>
      </c>
      <c r="I22">
        <f>'Stats G2'!H23*2+'Stats G2'!N23*3+'Stats G2'!T23</f>
        <v>30</v>
      </c>
      <c r="J22" t="str">
        <f>SUM('Stats G2'!H23+'Stats G2'!N23)&amp;"-"&amp;SUM('Stats G2'!E23+'Stats G2'!K23)</f>
        <v>12-22</v>
      </c>
      <c r="K22" t="str">
        <f>SUM('Stats G2'!N23)&amp;"-"&amp;SUM('Stats G2'!K23)</f>
        <v>5-11</v>
      </c>
      <c r="L22" t="str">
        <f>SUM('Stats G2'!T23)&amp;"-"&amp;SUM('Stats G2'!Q23)</f>
        <v>1-2</v>
      </c>
      <c r="M22">
        <f>'Stats G2'!W23</f>
        <v>2</v>
      </c>
    </row>
    <row r="23" spans="6:13" x14ac:dyDescent="0.2">
      <c r="F23" t="str">
        <f>'Stats G2'!A24</f>
        <v>Rex</v>
      </c>
      <c r="G23" t="str">
        <f>'Stats G2'!B24</f>
        <v>Sunderland</v>
      </c>
      <c r="H23">
        <f>'Stats G2'!C24</f>
        <v>0</v>
      </c>
      <c r="I23">
        <f>'Stats G2'!H24*2+'Stats G2'!N24*3+'Stats G2'!T24</f>
        <v>2</v>
      </c>
      <c r="J23" t="str">
        <f>SUM('Stats G2'!H24+'Stats G2'!N24)&amp;"-"&amp;SUM('Stats G2'!E24+'Stats G2'!K24)</f>
        <v>1-1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Steve</v>
      </c>
      <c r="G24" t="str">
        <f>'Stats G2'!B25</f>
        <v>Panos</v>
      </c>
      <c r="H24">
        <f>'Stats G2'!C25</f>
        <v>0</v>
      </c>
      <c r="I24">
        <f>'Stats G2'!H25*2+'Stats G2'!N25*3+'Stats G2'!T25</f>
        <v>7</v>
      </c>
      <c r="J24" t="str">
        <f>SUM('Stats G2'!H25+'Stats G2'!N25)&amp;"-"&amp;SUM('Stats G2'!E25+'Stats G2'!K25)</f>
        <v>3-5</v>
      </c>
      <c r="K24" t="str">
        <f>SUM('Stats G2'!N25)&amp;"-"&amp;SUM('Stats G2'!K25)</f>
        <v>1-2</v>
      </c>
      <c r="L24" t="str">
        <f>SUM('Stats G2'!T25)&amp;"-"&amp;SUM('Stats G2'!Q25)</f>
        <v>0-0</v>
      </c>
      <c r="M24">
        <f>'Stats G2'!W25</f>
        <v>1</v>
      </c>
    </row>
    <row r="25" spans="6:13" x14ac:dyDescent="0.2">
      <c r="F25" t="str">
        <f>'Stats G2'!A26</f>
        <v>James</v>
      </c>
      <c r="G25" t="str">
        <f>'Stats G2'!B26</f>
        <v>Walljasper</v>
      </c>
      <c r="H25">
        <f>'Stats G2'!C26</f>
        <v>1</v>
      </c>
      <c r="I25">
        <f>'Stats G2'!H26*2+'Stats G2'!N26*3+'Stats G2'!T26</f>
        <v>10</v>
      </c>
      <c r="J25" t="str">
        <f>SUM('Stats G2'!H26+'Stats G2'!N26)&amp;"-"&amp;SUM('Stats G2'!E26+'Stats G2'!K26)</f>
        <v>5-12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1</v>
      </c>
    </row>
    <row r="26" spans="6:13" x14ac:dyDescent="0.2">
      <c r="F26" t="str">
        <f>'Stats G2'!A27</f>
        <v>Wil</v>
      </c>
      <c r="G26" t="str">
        <f>'Stats G2'!B27</f>
        <v>Carter</v>
      </c>
      <c r="H26">
        <f>'Stats G2'!C27</f>
        <v>15</v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Drew</v>
      </c>
      <c r="G27" t="str">
        <f>'Stats G2'!B28</f>
        <v>Lokeni</v>
      </c>
      <c r="H27">
        <f>'Stats G2'!C28</f>
        <v>7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Mason</v>
      </c>
      <c r="G28" t="str">
        <f>'Stats G2'!B29</f>
        <v>Sawyer</v>
      </c>
      <c r="H28">
        <f>'Stats G2'!C29</f>
        <v>4</v>
      </c>
      <c r="I28">
        <f>'Stats G2'!H29*2+'Stats G2'!N29*3+'Stats G2'!T29</f>
        <v>2</v>
      </c>
      <c r="J28" t="str">
        <f>SUM('Stats G2'!H29+'Stats G2'!N29)&amp;"-"&amp;SUM('Stats G2'!E29+'Stats G2'!K29)</f>
        <v>1-2</v>
      </c>
      <c r="K28" t="str">
        <f>SUM('Stats G2'!N29)&amp;"-"&amp;SUM('Stats G2'!K29)</f>
        <v>0-1</v>
      </c>
      <c r="L28" t="str">
        <f>SUM('Stats G2'!T29)&amp;"-"&amp;SUM('Stats G2'!Q29)</f>
        <v>0-0</v>
      </c>
      <c r="M28">
        <f>'Stats G2'!W29</f>
        <v>1</v>
      </c>
    </row>
    <row r="29" spans="6:13" x14ac:dyDescent="0.2">
      <c r="F29" t="str">
        <f>'Stats G2'!A30</f>
        <v>Adam</v>
      </c>
      <c r="G29" t="str">
        <f>'Stats G2'!B30</f>
        <v>Egan</v>
      </c>
      <c r="H29">
        <f>'Stats G2'!C30</f>
        <v>13</v>
      </c>
      <c r="I29">
        <f>'Stats G2'!H30*2+'Stats G2'!N30*3+'Stats G2'!T30</f>
        <v>18</v>
      </c>
      <c r="J29" t="str">
        <f>SUM('Stats G2'!H30+'Stats G2'!N30)&amp;"-"&amp;SUM('Stats G2'!E30+'Stats G2'!K30)</f>
        <v>7-18</v>
      </c>
      <c r="K29" t="str">
        <f>SUM('Stats G2'!N30)&amp;"-"&amp;SUM('Stats G2'!K30)</f>
        <v>2-7</v>
      </c>
      <c r="L29" t="str">
        <f>SUM('Stats G2'!T30)&amp;"-"&amp;SUM('Stats G2'!Q30)</f>
        <v>2-2</v>
      </c>
      <c r="M29">
        <f>'Stats G2'!W30</f>
        <v>3</v>
      </c>
    </row>
    <row r="30" spans="6:13" x14ac:dyDescent="0.2">
      <c r="F30" t="str">
        <f>'Stats G2'!A31</f>
        <v>Tony</v>
      </c>
      <c r="G30" t="str">
        <f>'Stats G2'!B31</f>
        <v>Roberts</v>
      </c>
      <c r="H30">
        <f>'Stats G2'!C31</f>
        <v>21</v>
      </c>
      <c r="I30">
        <f>'Stats G2'!H31*2+'Stats G2'!N31*3+'Stats G2'!T31</f>
        <v>12</v>
      </c>
      <c r="J30" t="str">
        <f>SUM('Stats G2'!H31+'Stats G2'!N31)&amp;"-"&amp;SUM('Stats G2'!E31+'Stats G2'!K31)</f>
        <v>5-13</v>
      </c>
      <c r="K30" t="str">
        <f>SUM('Stats G2'!N31)&amp;"-"&amp;SUM('Stats G2'!K31)</f>
        <v>0-5</v>
      </c>
      <c r="L30" t="str">
        <f>SUM('Stats G2'!T31)&amp;"-"&amp;SUM('Stats G2'!Q31)</f>
        <v>2-2</v>
      </c>
      <c r="M30">
        <f>'Stats G2'!W31</f>
        <v>0</v>
      </c>
    </row>
    <row r="31" spans="6:13" x14ac:dyDescent="0.2">
      <c r="F31" t="str">
        <f>'Stats G2'!A32</f>
        <v>Landon</v>
      </c>
      <c r="G31" t="str">
        <f>'Stats G2'!B32</f>
        <v>Salvo</v>
      </c>
      <c r="H31">
        <f>'Stats G2'!C32</f>
        <v>6</v>
      </c>
      <c r="I31">
        <f>'Stats G2'!H32*2+'Stats G2'!N32*3+'Stats G2'!T32</f>
        <v>5</v>
      </c>
      <c r="J31" t="str">
        <f>SUM('Stats G2'!H32+'Stats G2'!N32)&amp;"-"&amp;SUM('Stats G2'!E32+'Stats G2'!K32)</f>
        <v>2-9</v>
      </c>
      <c r="K31" t="str">
        <f>SUM('Stats G2'!N32)&amp;"-"&amp;SUM('Stats G2'!K32)</f>
        <v>1-1</v>
      </c>
      <c r="L31" t="str">
        <f>SUM('Stats G2'!T32)&amp;"-"&amp;SUM('Stats G2'!Q32)</f>
        <v>0-0</v>
      </c>
      <c r="M31">
        <f>'Stats G2'!W32</f>
        <v>2</v>
      </c>
    </row>
    <row r="32" spans="6:13" x14ac:dyDescent="0.2">
      <c r="F32" t="str">
        <f>'Stats G2'!A33</f>
        <v>Caleb</v>
      </c>
      <c r="G32" t="str">
        <f>'Stats G2'!B33</f>
        <v>Leonhardt</v>
      </c>
      <c r="H32">
        <f>'Stats G2'!C33</f>
        <v>10</v>
      </c>
      <c r="I32">
        <f>'Stats G2'!H33*2+'Stats G2'!N33*3+'Stats G2'!T33</f>
        <v>8</v>
      </c>
      <c r="J32" t="str">
        <f>SUM('Stats G2'!H33+'Stats G2'!N33)&amp;"-"&amp;SUM('Stats G2'!E33+'Stats G2'!K33)</f>
        <v>3-6</v>
      </c>
      <c r="K32" t="str">
        <f>SUM('Stats G2'!N33)&amp;"-"&amp;SUM('Stats G2'!K33)</f>
        <v>2-5</v>
      </c>
      <c r="L32" t="str">
        <f>SUM('Stats G2'!T33)&amp;"-"&amp;SUM('Stats G2'!Q33)</f>
        <v>0-0</v>
      </c>
      <c r="M32">
        <f>'Stats G2'!W33</f>
        <v>1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94</v>
      </c>
      <c r="J37" t="str">
        <f>SUM('Stats G2'!H38+'Stats G2'!N38)&amp;"-"&amp;SUM('Stats G2'!E38+'Stats G2'!K38)</f>
        <v>39-88</v>
      </c>
      <c r="K37" t="str">
        <f>SUM('Stats G2'!N38)&amp;"-"&amp;SUM('Stats G2'!K38)</f>
        <v>11-32</v>
      </c>
      <c r="L37" t="str">
        <f>SUM('Stats G2'!T38)&amp;"-"&amp;SUM('Stats G2'!Q38)</f>
        <v>5-6</v>
      </c>
      <c r="M37">
        <f>SUM(M22:M36)</f>
        <v>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3" zoomScale="90" zoomScaleNormal="90" workbookViewId="0">
      <selection activeCell="C7" sqref="C7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hidden="1" x14ac:dyDescent="0.2">
      <c r="A1" s="1" t="s">
        <v>16</v>
      </c>
      <c r="B1" t="s">
        <v>18</v>
      </c>
      <c r="C1" t="s">
        <v>17</v>
      </c>
    </row>
    <row r="2" spans="1:26" hidden="1" x14ac:dyDescent="0.2"/>
    <row r="3" spans="1:26" x14ac:dyDescent="0.2">
      <c r="A3" s="2" t="s">
        <v>14</v>
      </c>
      <c r="B3" s="1" t="s">
        <v>151</v>
      </c>
    </row>
    <row r="4" spans="1:26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221</v>
      </c>
    </row>
    <row r="5" spans="1:26" s="6" customFormat="1" x14ac:dyDescent="0.2">
      <c r="A5" s="5" t="str">
        <f>_xlfn.IFNA(VLOOKUP($B$3&amp;ROWS($A$5:A5),Rosters!$B$2:$C$163,2,0),"?")</f>
        <v>Sean</v>
      </c>
      <c r="B5" s="5" t="str">
        <f>_xlfn.IFNA(VLOOKUP($B$3&amp;ROWS($B$5:B5),Rosters!$B$2:$D$163,3,0),"?")</f>
        <v>Harris</v>
      </c>
      <c r="C5" s="5">
        <f>_xlfn.IFNA(VLOOKUP($B$3&amp;ROWS($C$5:C5),Rosters!$B$2:$E$163,4,0),"")</f>
        <v>60</v>
      </c>
      <c r="D5" s="5"/>
      <c r="E5" s="5">
        <v>2</v>
      </c>
      <c r="F5" s="5"/>
      <c r="G5" s="5"/>
      <c r="H5" s="5">
        <v>1</v>
      </c>
      <c r="I5" s="5"/>
      <c r="J5" s="5"/>
      <c r="K5" s="5">
        <v>2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2</v>
      </c>
      <c r="X5" s="5"/>
    </row>
    <row r="6" spans="1:26" s="6" customFormat="1" x14ac:dyDescent="0.2">
      <c r="A6" s="6" t="str">
        <f>_xlfn.IFNA(VLOOKUP($B$3&amp;ROWS($A$5:A6),Rosters!$B$2:$C$163,2,0),"?")</f>
        <v>Parker</v>
      </c>
      <c r="B6" s="6" t="str">
        <f>_xlfn.IFNA(VLOOKUP($B$3&amp;ROWS($B$5:B6),Rosters!$B$2:$D$163,3,0),"?")</f>
        <v>Van Dyke</v>
      </c>
      <c r="C6" s="6">
        <f>_xlfn.IFNA(VLOOKUP($B$3&amp;ROWS($C$5:C6),Rosters!$B$2:$E$163,4,0),"")</f>
        <v>7</v>
      </c>
      <c r="E6" s="6">
        <v>20</v>
      </c>
      <c r="H6" s="6">
        <v>14</v>
      </c>
      <c r="K6" s="6">
        <v>27</v>
      </c>
      <c r="N6" s="6">
        <v>18</v>
      </c>
      <c r="Q6" s="6">
        <v>3</v>
      </c>
      <c r="T6" s="6">
        <v>3</v>
      </c>
      <c r="W6" s="6">
        <v>1</v>
      </c>
    </row>
    <row r="7" spans="1:26" s="6" customFormat="1" x14ac:dyDescent="0.2">
      <c r="A7" s="5" t="str">
        <f>_xlfn.IFNA(VLOOKUP($B$3&amp;ROWS($A$5:A7),Rosters!$B$2:$C$163,2,0),"?")</f>
        <v>Danny</v>
      </c>
      <c r="B7" s="5" t="str">
        <f>_xlfn.IFNA(VLOOKUP($B$3&amp;ROWS($B$5:B7),Rosters!$B$2:$D$163,3,0),"?")</f>
        <v>Berger</v>
      </c>
      <c r="C7" s="5">
        <v>10</v>
      </c>
      <c r="D7" s="5"/>
      <c r="E7" s="5">
        <v>4</v>
      </c>
      <c r="F7" s="5"/>
      <c r="G7" s="5"/>
      <c r="H7" s="5">
        <v>3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Z7" s="6" t="s">
        <v>223</v>
      </c>
    </row>
    <row r="8" spans="1:26" s="6" customFormat="1" x14ac:dyDescent="0.2">
      <c r="A8" s="6" t="str">
        <f>_xlfn.IFNA(VLOOKUP($B$3&amp;ROWS($A$5:A8),Rosters!$B$2:$C$163,2,0),"?")</f>
        <v>Zac</v>
      </c>
      <c r="B8" s="6" t="str">
        <f>_xlfn.IFNA(VLOOKUP($B$3&amp;ROWS($B$5:B8),Rosters!$B$2:$D$163,3,0),"?")</f>
        <v>Seljaas</v>
      </c>
      <c r="C8" s="6">
        <f>_xlfn.IFNA(VLOOKUP($B$3&amp;ROWS($C$5:C8),Rosters!$B$2:$E$163,4,0),"")</f>
        <v>99</v>
      </c>
      <c r="E8" s="6">
        <v>5</v>
      </c>
      <c r="H8" s="6">
        <v>2</v>
      </c>
      <c r="K8" s="6">
        <v>12</v>
      </c>
      <c r="N8" s="6">
        <v>6</v>
      </c>
      <c r="Q8" s="6">
        <v>0</v>
      </c>
      <c r="T8" s="6">
        <v>0</v>
      </c>
      <c r="W8" s="6">
        <v>0</v>
      </c>
      <c r="Z8" s="6">
        <v>1</v>
      </c>
    </row>
    <row r="9" spans="1:26" s="6" customFormat="1" x14ac:dyDescent="0.2">
      <c r="A9" s="5" t="str">
        <f>_xlfn.IFNA(VLOOKUP($B$3&amp;ROWS($A$5:A9),Rosters!$B$2:$C$163,2,0),"?")</f>
        <v>Peter</v>
      </c>
      <c r="B9" s="5" t="str">
        <f>_xlfn.IFNA(VLOOKUP($B$3&amp;ROWS($B$5:B9),Rosters!$B$2:$D$163,3,0),"?")</f>
        <v>Brown</v>
      </c>
      <c r="C9" s="5">
        <f>_xlfn.IFNA(VLOOKUP($B$3&amp;ROWS($C$5:C9),Rosters!$B$2:$E$163,4,0),"")</f>
        <v>33</v>
      </c>
      <c r="D9" s="5"/>
      <c r="E9" s="5">
        <v>4</v>
      </c>
      <c r="F9" s="5"/>
      <c r="G9" s="5"/>
      <c r="H9" s="5">
        <v>3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3</v>
      </c>
      <c r="X9" s="5"/>
      <c r="Y9" s="6">
        <f>'G2 Box Score'!I18</f>
        <v>137</v>
      </c>
    </row>
    <row r="10" spans="1:26" s="6" customFormat="1" x14ac:dyDescent="0.2">
      <c r="A10" s="6" t="str">
        <f>_xlfn.IFNA(VLOOKUP($B$3&amp;ROWS($A$5:A10),Rosters!$B$2:$C$163,2,0),"?")</f>
        <v>Zavon</v>
      </c>
      <c r="B10" s="6" t="str">
        <f>_xlfn.IFNA(VLOOKUP($B$3&amp;ROWS($B$5:B10),Rosters!$B$2:$D$163,3,0),"?")</f>
        <v>Jackson</v>
      </c>
      <c r="C10" s="6">
        <f>_xlfn.IFNA(VLOOKUP($B$3&amp;ROWS($C$5:C10),Rosters!$B$2:$E$163,4,0),"")</f>
        <v>24</v>
      </c>
      <c r="E10" s="6">
        <v>5</v>
      </c>
      <c r="H10" s="6">
        <v>5</v>
      </c>
      <c r="K10" s="6">
        <v>2</v>
      </c>
      <c r="N10" s="6">
        <v>0</v>
      </c>
      <c r="Q10" s="6">
        <v>3</v>
      </c>
      <c r="T10" s="6">
        <v>2</v>
      </c>
      <c r="W10" s="6">
        <v>2</v>
      </c>
    </row>
    <row r="11" spans="1:26" s="6" customFormat="1" x14ac:dyDescent="0.2">
      <c r="A11" s="5" t="str">
        <f>_xlfn.IFNA(VLOOKUP($B$3&amp;ROWS($A$5:A11),Rosters!$B$2:$C$163,2,0),"?")</f>
        <v>Spencer</v>
      </c>
      <c r="B11" s="5" t="str">
        <f>_xlfn.IFNA(VLOOKUP($B$3&amp;ROWS($B$5:B11),Rosters!$B$2:$D$163,3,0),"?")</f>
        <v>Butterfield</v>
      </c>
      <c r="C11" s="5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tr">
        <f>_xlfn.IFNA(VLOOKUP($B$3&amp;ROWS($A$5:A12),Rosters!$B$2:$C$163,2,0),"?")</f>
        <v>Rylan</v>
      </c>
      <c r="B12" s="6" t="str">
        <f>_xlfn.IFNA(VLOOKUP($B$3&amp;ROWS($B$5:B12),Rosters!$B$2:$D$163,3,0),"?")</f>
        <v>Jones</v>
      </c>
      <c r="C12" s="6">
        <f>_xlfn.IFNA(VLOOKUP($B$3&amp;ROWS($C$5:C12),Rosters!$B$2:$E$163,4,0),"")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6" s="6" customFormat="1" x14ac:dyDescent="0.2">
      <c r="A13" s="5" t="str">
        <f>_xlfn.IFNA(VLOOKUP($B$3&amp;ROWS($A$5:A13),Rosters!$B$2:$C$163,2,0),"?")</f>
        <v>Brandon</v>
      </c>
      <c r="B13" s="5" t="str">
        <f>_xlfn.IFNA(VLOOKUP($B$3&amp;ROWS($B$5:B13),Rosters!$B$2:$D$163,3,0),"?")</f>
        <v>Sly</v>
      </c>
      <c r="C13" s="5">
        <f>_xlfn.IFNA(VLOOKUP($B$3&amp;ROWS($C$5:C13),Rosters!$B$2:$E$163,4,0),"")</f>
        <v>2</v>
      </c>
      <c r="D13" s="5"/>
      <c r="E13" s="5">
        <v>1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2</v>
      </c>
      <c r="R13" s="5"/>
      <c r="S13" s="5"/>
      <c r="T13" s="5">
        <v>2</v>
      </c>
      <c r="U13" s="5"/>
      <c r="V13" s="5"/>
      <c r="W13" s="5">
        <v>2</v>
      </c>
      <c r="X13" s="5"/>
    </row>
    <row r="14" spans="1:26" s="6" customFormat="1" x14ac:dyDescent="0.2">
      <c r="A14" s="6" t="str">
        <f>_xlfn.IFNA(VLOOKUP($B$3&amp;ROWS($A$5:A14),Rosters!$B$2:$C$163,2,0),"?")</f>
        <v>Viko</v>
      </c>
      <c r="B14" s="6" t="str">
        <f>_xlfn.IFNA(VLOOKUP($B$3&amp;ROWS($B$5:B14),Rosters!$B$2:$D$163,3,0),"?")</f>
        <v>Noma'aea</v>
      </c>
      <c r="C14" s="6">
        <f>_xlfn.IFNA(VLOOKUP($B$3&amp;ROWS($C$5:C14),Rosters!$B$2:$E$163,4,0),"")</f>
        <v>6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6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Ashworth</v>
      </c>
      <c r="C15" s="5">
        <f>_xlfn.IFNA(VLOOKUP($B$3&amp;ROWS($C$5:C15),Rosters!$B$2:$E$163,4,0),"")</f>
        <v>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6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6" s="6" customFormat="1" x14ac:dyDescent="0.2">
      <c r="E20" s="6">
        <f>SUM(E5:E19)</f>
        <v>41</v>
      </c>
      <c r="H20" s="6">
        <f>SUM(H5:H19)</f>
        <v>29</v>
      </c>
      <c r="K20" s="6">
        <f>SUM(K5:K19)</f>
        <v>45</v>
      </c>
      <c r="N20" s="6">
        <f>SUM(N5:N19)</f>
        <v>24</v>
      </c>
      <c r="Q20" s="6">
        <f>SUM(Q5:Q19)</f>
        <v>8</v>
      </c>
      <c r="T20" s="6">
        <f>SUM(T5:T19)</f>
        <v>7</v>
      </c>
      <c r="W20" s="6">
        <f>SUM(W5:W19)</f>
        <v>10</v>
      </c>
    </row>
    <row r="21" spans="1:26" x14ac:dyDescent="0.2">
      <c r="A21" s="2" t="s">
        <v>15</v>
      </c>
      <c r="B21" s="1" t="s">
        <v>26</v>
      </c>
    </row>
    <row r="22" spans="1:26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221</v>
      </c>
    </row>
    <row r="23" spans="1:26" s="6" customFormat="1" x14ac:dyDescent="0.2">
      <c r="A23" s="5" t="str">
        <f>_xlfn.IFNA(VLOOKUP($B$21&amp;ROWS($A$23:A23),Rosters!$B$2:$C$163,2,0),"?")</f>
        <v>Casdon</v>
      </c>
      <c r="B23" s="5" t="str">
        <f>_xlfn.IFNA(VLOOKUP($B$21&amp;ROWS($B$23:B23),Rosters!$B$2:$D$163,3,0),"?")</f>
        <v>Jardine</v>
      </c>
      <c r="C23" s="5">
        <f>_xlfn.IFNA(VLOOKUP($B$21&amp;ROWS($C$23:C23),Rosters!$B$2:$E$163,4,0),"")</f>
        <v>22</v>
      </c>
      <c r="D23" s="5"/>
      <c r="E23" s="5">
        <v>11</v>
      </c>
      <c r="F23" s="5"/>
      <c r="G23" s="5"/>
      <c r="H23" s="5">
        <v>7</v>
      </c>
      <c r="I23" s="5"/>
      <c r="J23" s="5"/>
      <c r="K23" s="5">
        <v>11</v>
      </c>
      <c r="L23" s="5"/>
      <c r="M23" s="5"/>
      <c r="N23" s="5">
        <v>5</v>
      </c>
      <c r="O23" s="5"/>
      <c r="P23" s="5"/>
      <c r="Q23" s="5">
        <v>2</v>
      </c>
      <c r="R23" s="5"/>
      <c r="S23" s="5"/>
      <c r="T23" s="5">
        <v>1</v>
      </c>
      <c r="U23" s="5"/>
      <c r="V23" s="5"/>
      <c r="W23" s="5">
        <v>2</v>
      </c>
      <c r="X23" s="5"/>
    </row>
    <row r="24" spans="1:26" x14ac:dyDescent="0.2">
      <c r="A24" t="str">
        <f>_xlfn.IFNA(VLOOKUP($B$21&amp;ROWS($A$23:A24),Rosters!$B$2:$C$163,2,0),"?")</f>
        <v>Rex</v>
      </c>
      <c r="B24" t="str">
        <f>_xlfn.IFNA(VLOOKUP($B$21&amp;ROWS($B$23:B24),Rosters!$B$2:$D$163,3,0),"?")</f>
        <v>Sunderland</v>
      </c>
      <c r="D24" s="6"/>
      <c r="E24" s="6">
        <v>1</v>
      </c>
      <c r="F24" s="6"/>
      <c r="G24" s="6"/>
      <c r="H24" s="6">
        <v>1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6" s="6" customFormat="1" x14ac:dyDescent="0.2">
      <c r="A25" s="5" t="str">
        <f>_xlfn.IFNA(VLOOKUP($B$21&amp;ROWS($A$23:A25),Rosters!$B$2:$C$163,2,0),"?")</f>
        <v>Steve</v>
      </c>
      <c r="B25" s="5" t="str">
        <f>_xlfn.IFNA(VLOOKUP($B$21&amp;ROWS($B$23:B25),Rosters!$B$2:$D$163,3,0),"?")</f>
        <v>Panos</v>
      </c>
      <c r="C25" s="5">
        <f>_xlfn.IFNA(VLOOKUP($B$21&amp;ROWS($C$23:C25),Rosters!$B$2:$E$163,4,0),"")</f>
        <v>0</v>
      </c>
      <c r="D25" s="5"/>
      <c r="E25" s="5">
        <v>3</v>
      </c>
      <c r="F25" s="5"/>
      <c r="G25" s="5"/>
      <c r="H25" s="5">
        <v>2</v>
      </c>
      <c r="I25" s="5"/>
      <c r="J25" s="5"/>
      <c r="K25" s="5">
        <v>2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1</v>
      </c>
      <c r="X25" s="5"/>
      <c r="Z25" s="6" t="s">
        <v>223</v>
      </c>
    </row>
    <row r="26" spans="1:26" x14ac:dyDescent="0.2">
      <c r="A26" t="str">
        <f>_xlfn.IFNA(VLOOKUP($B$21&amp;ROWS($A$23:A26),Rosters!$B$2:$C$163,2,0),"?")</f>
        <v>James</v>
      </c>
      <c r="B26" t="str">
        <f>_xlfn.IFNA(VLOOKUP($B$21&amp;ROWS($B$23:B26),Rosters!$B$2:$D$163,3,0),"?")</f>
        <v>Walljasper</v>
      </c>
      <c r="C26">
        <f>_xlfn.IFNA(VLOOKUP($B$21&amp;ROWS($C$23:C26),Rosters!$B$2:$E$163,4,0),"")</f>
        <v>1</v>
      </c>
      <c r="D26" s="6"/>
      <c r="E26" s="6">
        <v>12</v>
      </c>
      <c r="F26" s="6"/>
      <c r="G26" s="6"/>
      <c r="H26" s="6">
        <v>5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1</v>
      </c>
      <c r="X26" s="6"/>
      <c r="Z26">
        <v>3</v>
      </c>
    </row>
    <row r="27" spans="1:26" s="6" customFormat="1" x14ac:dyDescent="0.2">
      <c r="A27" s="5" t="str">
        <f>_xlfn.IFNA(VLOOKUP($B$21&amp;ROWS($A$23:A27),Rosters!$B$2:$C$163,2,0),"?")</f>
        <v>Wil</v>
      </c>
      <c r="B27" s="5" t="str">
        <f>_xlfn.IFNA(VLOOKUP($B$21&amp;ROWS($B$23:B27),Rosters!$B$2:$D$163,3,0),"?")</f>
        <v>Carter</v>
      </c>
      <c r="C27" s="5">
        <f>_xlfn.IFNA(VLOOKUP($B$21&amp;ROWS($C$23:C27),Rosters!$B$2:$E$163,4,0),"")</f>
        <v>15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 s="6">
        <f>'G2 Box Score'!I37</f>
        <v>94</v>
      </c>
    </row>
    <row r="28" spans="1:26" x14ac:dyDescent="0.2">
      <c r="A28" t="str">
        <f>_xlfn.IFNA(VLOOKUP($B$21&amp;ROWS($A$23:A28),Rosters!$B$2:$C$163,2,0),"?")</f>
        <v>Drew</v>
      </c>
      <c r="B28" t="str">
        <f>_xlfn.IFNA(VLOOKUP($B$21&amp;ROWS($B$23:B28),Rosters!$B$2:$D$163,3,0),"?")</f>
        <v>Lokeni</v>
      </c>
      <c r="C28">
        <f>_xlfn.IFNA(VLOOKUP($B$21&amp;ROWS($C$23:C28),Rosters!$B$2:$E$163,4,0),"")</f>
        <v>7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6" s="6" customFormat="1" x14ac:dyDescent="0.2">
      <c r="A29" s="5" t="str">
        <f>_xlfn.IFNA(VLOOKUP($B$21&amp;ROWS($A$23:A29),Rosters!$B$2:$C$163,2,0),"?")</f>
        <v>Mason</v>
      </c>
      <c r="B29" s="5" t="str">
        <f>_xlfn.IFNA(VLOOKUP($B$21&amp;ROWS($B$23:B29),Rosters!$B$2:$D$163,3,0),"?")</f>
        <v>Sawyer</v>
      </c>
      <c r="C29" s="5">
        <f>_xlfn.IFNA(VLOOKUP($B$21&amp;ROWS($C$23:C29),Rosters!$B$2:$E$163,4,0),"")</f>
        <v>4</v>
      </c>
      <c r="D29" s="5"/>
      <c r="E29" s="5">
        <v>1</v>
      </c>
      <c r="F29" s="5"/>
      <c r="G29" s="5"/>
      <c r="H29" s="5">
        <v>1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1</v>
      </c>
      <c r="X29" s="5"/>
    </row>
    <row r="30" spans="1:26" x14ac:dyDescent="0.2">
      <c r="A30" t="str">
        <f>_xlfn.IFNA(VLOOKUP($B$21&amp;ROWS($A$23:A30),Rosters!$B$2:$C$163,2,0),"?")</f>
        <v>Adam</v>
      </c>
      <c r="B30" t="str">
        <f>_xlfn.IFNA(VLOOKUP($B$21&amp;ROWS($B$23:B30),Rosters!$B$2:$D$163,3,0),"?")</f>
        <v>Egan</v>
      </c>
      <c r="C30">
        <f>_xlfn.IFNA(VLOOKUP($B$21&amp;ROWS($C$23:C30),Rosters!$B$2:$E$163,4,0),"")</f>
        <v>13</v>
      </c>
      <c r="D30" s="6"/>
      <c r="E30" s="6">
        <v>11</v>
      </c>
      <c r="F30" s="6"/>
      <c r="G30" s="6"/>
      <c r="H30" s="6">
        <v>5</v>
      </c>
      <c r="I30" s="6"/>
      <c r="J30" s="6"/>
      <c r="K30" s="6">
        <v>7</v>
      </c>
      <c r="L30" s="6"/>
      <c r="M30" s="6"/>
      <c r="N30" s="6">
        <v>2</v>
      </c>
      <c r="O30" s="6"/>
      <c r="P30" s="6"/>
      <c r="Q30" s="6">
        <v>2</v>
      </c>
      <c r="R30" s="6"/>
      <c r="S30" s="6"/>
      <c r="T30" s="6">
        <v>2</v>
      </c>
      <c r="U30" s="6"/>
      <c r="V30" s="6"/>
      <c r="W30" s="6">
        <v>3</v>
      </c>
      <c r="X30" s="6"/>
    </row>
    <row r="31" spans="1:26" s="6" customFormat="1" x14ac:dyDescent="0.2">
      <c r="A31" s="5" t="str">
        <f>_xlfn.IFNA(VLOOKUP($B$21&amp;ROWS($A$23:A31),Rosters!$B$2:$C$163,2,0),"?")</f>
        <v>Tony</v>
      </c>
      <c r="B31" s="5" t="str">
        <f>_xlfn.IFNA(VLOOKUP($B$21&amp;ROWS($B$23:B31),Rosters!$B$2:$D$163,3,0),"?")</f>
        <v>Roberts</v>
      </c>
      <c r="C31" s="5">
        <f>_xlfn.IFNA(VLOOKUP($B$21&amp;ROWS($C$23:C31),Rosters!$B$2:$E$163,4,0),"")</f>
        <v>21</v>
      </c>
      <c r="D31" s="5"/>
      <c r="E31" s="5">
        <v>8</v>
      </c>
      <c r="F31" s="5"/>
      <c r="G31" s="5"/>
      <c r="H31" s="5">
        <v>5</v>
      </c>
      <c r="I31" s="5"/>
      <c r="J31" s="5"/>
      <c r="K31" s="5">
        <v>5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2</v>
      </c>
      <c r="U31" s="5"/>
      <c r="V31" s="5"/>
      <c r="W31" s="5">
        <v>0</v>
      </c>
      <c r="X31" s="5"/>
    </row>
    <row r="32" spans="1:26" x14ac:dyDescent="0.2">
      <c r="A32" t="s">
        <v>224</v>
      </c>
      <c r="B32" t="s">
        <v>225</v>
      </c>
      <c r="C32">
        <v>6</v>
      </c>
      <c r="D32" s="6"/>
      <c r="E32" s="6">
        <v>8</v>
      </c>
      <c r="F32" s="6"/>
      <c r="G32" s="6"/>
      <c r="H32" s="6">
        <v>1</v>
      </c>
      <c r="I32" s="6"/>
      <c r="J32" s="6"/>
      <c r="K32" s="6">
        <v>1</v>
      </c>
      <c r="L32" s="6"/>
      <c r="M32" s="6"/>
      <c r="N32" s="6">
        <v>1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2</v>
      </c>
      <c r="X32" s="6"/>
    </row>
    <row r="33" spans="1:24" s="6" customFormat="1" x14ac:dyDescent="0.2">
      <c r="A33" s="5" t="s">
        <v>226</v>
      </c>
      <c r="B33" s="5" t="s">
        <v>227</v>
      </c>
      <c r="C33" s="5">
        <v>10</v>
      </c>
      <c r="D33" s="5"/>
      <c r="E33" s="5">
        <v>1</v>
      </c>
      <c r="F33" s="5"/>
      <c r="G33" s="5"/>
      <c r="H33" s="5">
        <v>1</v>
      </c>
      <c r="I33" s="5"/>
      <c r="J33" s="5"/>
      <c r="K33" s="5">
        <v>5</v>
      </c>
      <c r="L33" s="5"/>
      <c r="M33" s="5"/>
      <c r="N33" s="5">
        <v>2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1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56</v>
      </c>
      <c r="H38">
        <f>SUM(H23:H37)</f>
        <v>28</v>
      </c>
      <c r="K38">
        <f>SUM(K23:K37)</f>
        <v>32</v>
      </c>
      <c r="N38">
        <f>SUM(N23:N37)</f>
        <v>11</v>
      </c>
      <c r="Q38">
        <f>SUM(Q23:Q37)</f>
        <v>6</v>
      </c>
      <c r="T38">
        <f>SUM(T23:T37)</f>
        <v>5</v>
      </c>
      <c r="W38">
        <f>SUM(W23:W37)</f>
        <v>11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2022-07-22T00:40:15Z</dcterms:modified>
</cp:coreProperties>
</file>