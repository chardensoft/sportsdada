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3/"/>
    </mc:Choice>
  </mc:AlternateContent>
  <xr:revisionPtr revIDLastSave="0" documentId="13_ncr:1_{A03DD4F6-6AAA-1848-BF0D-1AC9EF06ABFC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ivQHwsS5kM+1uuUwn2Tp5O6V/GA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G25" i="1" s="1"/>
  <c r="C24" i="2"/>
  <c r="A25" i="2"/>
  <c r="B25" i="2"/>
  <c r="G26" i="1" s="1"/>
  <c r="C25" i="2"/>
  <c r="A26" i="2"/>
  <c r="B26" i="2"/>
  <c r="C26" i="2"/>
  <c r="A27" i="2"/>
  <c r="F28" i="1" s="1"/>
  <c r="B27" i="2"/>
  <c r="C27" i="2"/>
  <c r="A28" i="2"/>
  <c r="F29" i="1" s="1"/>
  <c r="B28" i="2"/>
  <c r="C28" i="2"/>
  <c r="A29" i="2"/>
  <c r="B29" i="2"/>
  <c r="C29" i="2"/>
  <c r="H30" i="1" s="1"/>
  <c r="H31" i="1"/>
  <c r="A31" i="2"/>
  <c r="B31" i="2"/>
  <c r="C31" i="2"/>
  <c r="H32" i="1" s="1"/>
  <c r="A32" i="2"/>
  <c r="B32" i="2"/>
  <c r="G33" i="1" s="1"/>
  <c r="C32" i="2"/>
  <c r="H33" i="1" s="1"/>
  <c r="A33" i="2"/>
  <c r="B33" i="2"/>
  <c r="G34" i="1" s="1"/>
  <c r="C33" i="2"/>
  <c r="A34" i="2"/>
  <c r="B34" i="2"/>
  <c r="G35" i="1" s="1"/>
  <c r="C34" i="2"/>
  <c r="H35" i="1" s="1"/>
  <c r="A35" i="2"/>
  <c r="F36" i="1" s="1"/>
  <c r="B35" i="2"/>
  <c r="G36" i="1" s="1"/>
  <c r="C35" i="2"/>
  <c r="H36" i="1" s="1"/>
  <c r="C22" i="2"/>
  <c r="B22" i="2"/>
  <c r="A22" i="2"/>
  <c r="C21" i="2"/>
  <c r="B21" i="2"/>
  <c r="A21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F10" i="1" s="1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G15" i="1" s="1"/>
  <c r="C15" i="2"/>
  <c r="A16" i="2"/>
  <c r="B16" i="2"/>
  <c r="C16" i="2"/>
  <c r="A17" i="2"/>
  <c r="B17" i="2"/>
  <c r="C17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F35" i="1"/>
  <c r="H34" i="1"/>
  <c r="F34" i="1"/>
  <c r="F33" i="1"/>
  <c r="G32" i="1"/>
  <c r="F32" i="1"/>
  <c r="G31" i="1"/>
  <c r="F31" i="1"/>
  <c r="G30" i="1"/>
  <c r="F30" i="1"/>
  <c r="H29" i="1"/>
  <c r="G29" i="1"/>
  <c r="H28" i="1"/>
  <c r="G28" i="1"/>
  <c r="H27" i="1"/>
  <c r="G27" i="1"/>
  <c r="F27" i="1"/>
  <c r="H26" i="1"/>
  <c r="F26" i="1"/>
  <c r="H25" i="1"/>
  <c r="F25" i="1"/>
  <c r="H24" i="1"/>
  <c r="G24" i="1"/>
  <c r="F24" i="1"/>
  <c r="H23" i="1"/>
  <c r="G23" i="1"/>
  <c r="F23" i="1"/>
  <c r="H22" i="1"/>
  <c r="G22" i="1"/>
  <c r="F22" i="1"/>
  <c r="W18" i="2"/>
  <c r="T18" i="2"/>
  <c r="Q18" i="2"/>
  <c r="N18" i="2"/>
  <c r="K18" i="2"/>
  <c r="H18" i="2"/>
  <c r="E18" i="2"/>
  <c r="H17" i="1"/>
  <c r="G17" i="1"/>
  <c r="F17" i="1"/>
  <c r="H16" i="1"/>
  <c r="G16" i="1"/>
  <c r="F16" i="1"/>
  <c r="F15" i="1"/>
  <c r="H14" i="1"/>
  <c r="G14" i="1"/>
  <c r="F14" i="1"/>
  <c r="G13" i="1"/>
  <c r="F13" i="1"/>
  <c r="G12" i="1"/>
  <c r="F12" i="1"/>
  <c r="H11" i="1"/>
  <c r="G11" i="1"/>
  <c r="F11" i="1"/>
  <c r="H10" i="1"/>
  <c r="G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M36" i="1"/>
  <c r="L36" i="1"/>
  <c r="J36" i="1"/>
  <c r="K36" i="1" s="1"/>
  <c r="I36" i="1"/>
  <c r="M35" i="1"/>
  <c r="L35" i="1"/>
  <c r="K35" i="1"/>
  <c r="J35" i="1"/>
  <c r="I35" i="1"/>
  <c r="M34" i="1"/>
  <c r="L34" i="1"/>
  <c r="K34" i="1"/>
  <c r="J34" i="1"/>
  <c r="I34" i="1"/>
  <c r="M33" i="1"/>
  <c r="L33" i="1"/>
  <c r="K33" i="1"/>
  <c r="J33" i="1"/>
  <c r="I33" i="1"/>
  <c r="M32" i="1"/>
  <c r="L32" i="1"/>
  <c r="K32" i="1"/>
  <c r="J32" i="1"/>
  <c r="I32" i="1"/>
  <c r="M31" i="1"/>
  <c r="L31" i="1"/>
  <c r="K31" i="1"/>
  <c r="J31" i="1"/>
  <c r="I31" i="1"/>
  <c r="M30" i="1"/>
  <c r="L30" i="1"/>
  <c r="K30" i="1"/>
  <c r="J30" i="1"/>
  <c r="I30" i="1"/>
  <c r="M29" i="1"/>
  <c r="L29" i="1"/>
  <c r="K29" i="1"/>
  <c r="J29" i="1"/>
  <c r="I29" i="1"/>
  <c r="M28" i="1"/>
  <c r="L28" i="1"/>
  <c r="K28" i="1"/>
  <c r="J28" i="1"/>
  <c r="I28" i="1"/>
  <c r="M27" i="1"/>
  <c r="L27" i="1"/>
  <c r="K27" i="1"/>
  <c r="J27" i="1"/>
  <c r="I27" i="1"/>
  <c r="M26" i="1"/>
  <c r="L26" i="1"/>
  <c r="K26" i="1"/>
  <c r="J26" i="1"/>
  <c r="I26" i="1"/>
  <c r="M25" i="1"/>
  <c r="L25" i="1"/>
  <c r="K25" i="1"/>
  <c r="J25" i="1"/>
  <c r="I25" i="1"/>
  <c r="M24" i="1"/>
  <c r="L24" i="1"/>
  <c r="K24" i="1"/>
  <c r="J24" i="1"/>
  <c r="I24" i="1"/>
  <c r="M23" i="1"/>
  <c r="L23" i="1"/>
  <c r="K23" i="1"/>
  <c r="J23" i="1"/>
  <c r="I23" i="1"/>
  <c r="M22" i="1"/>
  <c r="M37" i="1" s="1"/>
  <c r="L22" i="1"/>
  <c r="L37" i="1" s="1"/>
  <c r="K22" i="1"/>
  <c r="J22" i="1"/>
  <c r="J37" i="1" s="1"/>
  <c r="I22" i="1"/>
  <c r="I37" i="1" s="1"/>
  <c r="D3" i="1" s="1"/>
  <c r="G20" i="1"/>
  <c r="M17" i="1"/>
  <c r="L17" i="1"/>
  <c r="J17" i="1"/>
  <c r="K17" i="1" s="1"/>
  <c r="I17" i="1"/>
  <c r="M16" i="1"/>
  <c r="L16" i="1"/>
  <c r="J16" i="1"/>
  <c r="K16" i="1" s="1"/>
  <c r="I16" i="1"/>
  <c r="L15" i="1"/>
  <c r="L18" i="1" s="1"/>
  <c r="J15" i="1"/>
  <c r="K15" i="1" s="1"/>
  <c r="I15" i="1"/>
  <c r="H15" i="1"/>
  <c r="M14" i="1"/>
  <c r="L14" i="1"/>
  <c r="J14" i="1"/>
  <c r="K14" i="1" s="1"/>
  <c r="I14" i="1"/>
  <c r="M13" i="1"/>
  <c r="L13" i="1"/>
  <c r="J13" i="1"/>
  <c r="K13" i="1" s="1"/>
  <c r="I13" i="1"/>
  <c r="H13" i="1"/>
  <c r="M12" i="1"/>
  <c r="L12" i="1"/>
  <c r="J12" i="1"/>
  <c r="K12" i="1" s="1"/>
  <c r="I12" i="1"/>
  <c r="H12" i="1"/>
  <c r="M11" i="1"/>
  <c r="L11" i="1"/>
  <c r="J11" i="1"/>
  <c r="K11" i="1" s="1"/>
  <c r="I11" i="1"/>
  <c r="M10" i="1"/>
  <c r="L10" i="1"/>
  <c r="J10" i="1"/>
  <c r="K10" i="1" s="1"/>
  <c r="I10" i="1"/>
  <c r="M9" i="1"/>
  <c r="L9" i="1"/>
  <c r="J9" i="1"/>
  <c r="K9" i="1" s="1"/>
  <c r="I9" i="1"/>
  <c r="M8" i="1"/>
  <c r="L8" i="1"/>
  <c r="J8" i="1"/>
  <c r="K8" i="1" s="1"/>
  <c r="I8" i="1"/>
  <c r="M7" i="1"/>
  <c r="L7" i="1"/>
  <c r="J7" i="1"/>
  <c r="K7" i="1" s="1"/>
  <c r="I7" i="1"/>
  <c r="M6" i="1"/>
  <c r="L6" i="1"/>
  <c r="J6" i="1"/>
  <c r="K6" i="1" s="1"/>
  <c r="I6" i="1"/>
  <c r="M5" i="1"/>
  <c r="L5" i="1"/>
  <c r="J5" i="1"/>
  <c r="K5" i="1" s="1"/>
  <c r="I5" i="1"/>
  <c r="M4" i="1"/>
  <c r="L4" i="1"/>
  <c r="J4" i="1"/>
  <c r="K4" i="1" s="1"/>
  <c r="I4" i="1"/>
  <c r="F4" i="1"/>
  <c r="M3" i="1"/>
  <c r="M18" i="1" s="1"/>
  <c r="L3" i="1"/>
  <c r="J3" i="1"/>
  <c r="K3" i="1" s="1"/>
  <c r="I3" i="1"/>
  <c r="I18" i="1" s="1"/>
  <c r="B3" i="1" s="1"/>
  <c r="H3" i="1"/>
  <c r="G3" i="1"/>
  <c r="F3" i="1"/>
  <c r="D2" i="1"/>
  <c r="G1" i="1"/>
  <c r="B2" i="1" s="1"/>
  <c r="K37" i="1" l="1"/>
  <c r="K18" i="1"/>
  <c r="J18" i="1"/>
</calcChain>
</file>

<file path=xl/sharedStrings.xml><?xml version="1.0" encoding="utf-8"?>
<sst xmlns="http://schemas.openxmlformats.org/spreadsheetml/2006/main" count="351" uniqueCount="219">
  <si>
    <t>GAME 1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</si>
  <si>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</si>
  <si>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</si>
  <si>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</si>
  <si>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</si>
  <si>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</si>
  <si>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</si>
  <si>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</si>
  <si>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</si>
  <si>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PF</t>
  </si>
  <si>
    <t>-</t>
  </si>
  <si>
    <t>Total:</t>
  </si>
  <si>
    <t>Away Team (Black)</t>
  </si>
  <si>
    <t>Gray Team (Home)</t>
  </si>
  <si>
    <t>Team Bullock</t>
  </si>
  <si>
    <t>Black Team (Away)</t>
  </si>
  <si>
    <t>Team Egan</t>
  </si>
  <si>
    <t>DEB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</si>
  <si>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</si>
  <si>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</si>
  <si>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</si>
  <si>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</si>
  <si>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</si>
  <si>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</si>
  <si>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</si>
  <si>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</si>
  <si>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</si>
  <si>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</si>
  <si>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</si>
  <si>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</si>
  <si>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</si>
  <si>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</si>
  <si>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</si>
  <si>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</si>
  <si>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</si>
  <si>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</si>
  <si>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</si>
  <si>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</si>
  <si>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</si>
  <si>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</si>
  <si>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</si>
  <si>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</si>
  <si>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</si>
  <si>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</si>
  <si>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</si>
  <si>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</si>
  <si>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</si>
  <si>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</si>
  <si>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</si>
  <si>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</si>
  <si>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</si>
  <si>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</si>
  <si>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</si>
  <si>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</si>
  <si>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</si>
  <si>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</si>
  <si>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</si>
  <si>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</si>
  <si>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</si>
  <si>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</si>
  <si>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</si>
  <si>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</si>
  <si>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</si>
  <si>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</si>
  <si>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</si>
  <si>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</si>
  <si>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</si>
  <si>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</si>
  <si>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</si>
  <si>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</si>
  <si>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</si>
  <si>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</si>
  <si>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</si>
  <si>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</si>
  <si>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</si>
  <si>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</si>
  <si>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</si>
  <si>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</si>
  <si>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</si>
  <si>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</si>
  <si>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</si>
  <si>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</si>
  <si>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</si>
  <si>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</si>
  <si>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</si>
  <si>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</si>
  <si>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</si>
  <si>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</si>
  <si>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</si>
  <si>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</si>
  <si>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</si>
  <si>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</si>
  <si>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</si>
  <si>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</si>
  <si>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</si>
  <si>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</si>
  <si>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</si>
  <si>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</si>
  <si>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</si>
  <si>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</si>
  <si>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</si>
  <si>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</si>
  <si>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</si>
  <si>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</si>
  <si>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</si>
  <si>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</si>
  <si>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</si>
  <si>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</si>
  <si>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</si>
  <si>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</si>
  <si>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</si>
  <si>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</si>
  <si>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</si>
  <si>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</si>
  <si>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</si>
  <si>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</si>
  <si>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</si>
  <si>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</si>
  <si>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</si>
  <si>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</si>
  <si>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</si>
  <si>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</si>
  <si>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</si>
  <si>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</si>
  <si>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</si>
  <si>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</si>
  <si>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</si>
  <si>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</si>
  <si>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</si>
  <si>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</si>
  <si>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</si>
  <si>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</si>
  <si>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</si>
  <si>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</si>
  <si>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</si>
  <si>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</si>
  <si>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</si>
  <si>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</si>
  <si>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</si>
  <si>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</si>
  <si>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</si>
  <si>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</si>
  <si>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</si>
  <si>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</si>
  <si>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</si>
  <si>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</si>
  <si>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</si>
  <si>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</si>
  <si>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</si>
  <si>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</si>
  <si>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</si>
  <si>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</si>
  <si>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</si>
  <si>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</si>
  <si>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</si>
  <si>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</si>
  <si>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</si>
  <si>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</si>
  <si>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</si>
  <si>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</si>
  <si>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</si>
  <si>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</si>
  <si>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</si>
  <si>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</si>
  <si>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</si>
  <si>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</si>
  <si>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</si>
  <si>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</si>
  <si>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</si>
  <si>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</si>
  <si>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</si>
  <si>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</si>
  <si>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</si>
  <si>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</si>
  <si>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</si>
  <si>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</si>
  <si>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</si>
  <si>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</si>
  <si>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</si>
  <si>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</si>
  <si>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</si>
  <si>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</si>
  <si>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</si>
  <si>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</si>
  <si>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</si>
  <si>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</si>
  <si>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</si>
  <si>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</si>
  <si>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</si>
  <si>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</si>
  <si>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</si>
  <si>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</si>
  <si>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</si>
  <si>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</si>
  <si>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</si>
  <si>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</si>
  <si>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</si>
  <si>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</si>
  <si>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</si>
  <si>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</si>
  <si>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</si>
  <si>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</si>
  <si>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</si>
  <si>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</si>
  <si>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</si>
  <si>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</si>
  <si>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</si>
  <si>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</si>
  <si>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</si>
  <si>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</si>
  <si>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</si>
  <si>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</si>
  <si>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</si>
  <si>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</si>
  <si>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</si>
  <si>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</si>
  <si>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</si>
  <si>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Caleb</t>
  </si>
  <si>
    <t>Leondhart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</si>
</sst>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M16" sqref="M16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G1'!B1</f>
        <v>Team Bullock</v>
      </c>
    </row>
    <row r="2" spans="2:13" ht="15.75" customHeight="1" x14ac:dyDescent="0.2">
      <c r="B2" s="2" t="str">
        <f>G1</f>
        <v>Team Bullock</v>
      </c>
      <c r="D2" s="2" t="str">
        <f>G20</f>
        <v>Team Egan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13</v>
      </c>
      <c r="C3" s="3" t="s">
        <v>10</v>
      </c>
      <c r="D3" s="4">
        <f>I37</f>
        <v>5</v>
      </c>
      <c r="F3" s="2" t="str">
        <f>'Stats G1'!A3</f>
        <v>Tyus</v>
      </c>
      <c r="G3" s="2" t="str">
        <f>'Stats G1'!B3</f>
        <v>Jefferson</v>
      </c>
      <c r="H3" s="2">
        <f>'Stats G1'!C3</f>
        <v>3</v>
      </c>
      <c r="I3" s="2">
        <f>'Stats G1'!E3</f>
        <v>1</v>
      </c>
      <c r="J3" s="2">
        <f>'Stats G1'!H3</f>
        <v>4</v>
      </c>
      <c r="K3" s="2">
        <f t="shared" ref="K3:K17" si="0">J3+I3</f>
        <v>5</v>
      </c>
      <c r="L3" s="2">
        <f>'Stats G1'!K3</f>
        <v>2</v>
      </c>
      <c r="M3" s="2">
        <f>'Stats G1'!N3</f>
        <v>1</v>
      </c>
    </row>
    <row r="4" spans="2:13" ht="15.75" customHeight="1" x14ac:dyDescent="0.2">
      <c r="F4" s="2" t="str">
        <f>'Stats G1'!A4</f>
        <v>Jordan</v>
      </c>
      <c r="G4" s="2" t="str">
        <f>'Stats G1'!B4</f>
        <v>Loveridge</v>
      </c>
      <c r="H4" s="2">
        <f>'Stats G1'!C4</f>
        <v>21</v>
      </c>
      <c r="I4" s="2">
        <f>'Stats G1'!E4</f>
        <v>0</v>
      </c>
      <c r="J4" s="2">
        <f>'Stats G1'!H4</f>
        <v>0</v>
      </c>
      <c r="K4" s="2">
        <f t="shared" si="0"/>
        <v>0</v>
      </c>
      <c r="L4" s="2">
        <f>'Stats G1'!K4</f>
        <v>0</v>
      </c>
      <c r="M4" s="2">
        <f>'Stats G1'!N4</f>
        <v>0</v>
      </c>
    </row>
    <row r="5" spans="2:13" ht="15.75" customHeight="1" x14ac:dyDescent="0.2">
      <c r="F5" s="2" t="str">
        <f>'Stats G1'!A5</f>
        <v>Kyndayl</v>
      </c>
      <c r="G5" s="2" t="str">
        <f>'Stats G1'!B5</f>
        <v>Hill</v>
      </c>
      <c r="H5" s="2">
        <f>'Stats G1'!C5</f>
        <v>15</v>
      </c>
      <c r="I5" s="2">
        <f>'Stats G1'!E5</f>
        <v>3</v>
      </c>
      <c r="J5" s="2">
        <f>'Stats G1'!H5</f>
        <v>4</v>
      </c>
      <c r="K5" s="2">
        <f t="shared" si="0"/>
        <v>7</v>
      </c>
      <c r="L5" s="2">
        <f>'Stats G1'!K5</f>
        <v>0</v>
      </c>
      <c r="M5" s="2">
        <f>'Stats G1'!N5</f>
        <v>1</v>
      </c>
    </row>
    <row r="6" spans="2:13" ht="15.75" customHeight="1" x14ac:dyDescent="0.2">
      <c r="F6" s="2" t="str">
        <f>'Stats G1'!A6</f>
        <v>Duce</v>
      </c>
      <c r="G6" s="2" t="str">
        <f>'Stats G1'!B6</f>
        <v>Zaid</v>
      </c>
      <c r="H6" s="2">
        <f>'Stats G1'!C6</f>
        <v>5</v>
      </c>
      <c r="I6" s="2">
        <f>'Stats G1'!E6</f>
        <v>0</v>
      </c>
      <c r="J6" s="2">
        <f>'Stats G1'!H6</f>
        <v>1</v>
      </c>
      <c r="K6" s="2">
        <f t="shared" si="0"/>
        <v>1</v>
      </c>
      <c r="L6" s="2">
        <f>'Stats G1'!K6</f>
        <v>0</v>
      </c>
      <c r="M6" s="2">
        <f>'Stats G1'!N6</f>
        <v>0</v>
      </c>
    </row>
    <row r="7" spans="2:13" ht="15.75" customHeight="1" x14ac:dyDescent="0.2">
      <c r="F7" s="2" t="str">
        <f>'Stats G1'!A7</f>
        <v>Charles</v>
      </c>
      <c r="G7" s="2" t="str">
        <f>'Stats G1'!B7</f>
        <v>Nann</v>
      </c>
      <c r="H7" s="2">
        <f>'Stats G1'!C7</f>
        <v>7</v>
      </c>
      <c r="I7" s="2">
        <f>'Stats G1'!E7</f>
        <v>0</v>
      </c>
      <c r="J7" s="2">
        <f>'Stats G1'!H7</f>
        <v>0</v>
      </c>
      <c r="K7" s="2">
        <f t="shared" si="0"/>
        <v>0</v>
      </c>
      <c r="L7" s="2">
        <f>'Stats G1'!K7</f>
        <v>0</v>
      </c>
      <c r="M7" s="2">
        <f>'Stats G1'!N7</f>
        <v>0</v>
      </c>
    </row>
    <row r="8" spans="2:13" ht="15.75" customHeight="1" x14ac:dyDescent="0.2">
      <c r="F8" s="2" t="str">
        <f>'Stats G1'!A8</f>
        <v>Marqus</v>
      </c>
      <c r="G8" s="2" t="str">
        <f>'Stats G1'!B8</f>
        <v>Gilson</v>
      </c>
      <c r="H8" s="2">
        <f>'Stats G1'!C8</f>
        <v>24</v>
      </c>
      <c r="I8" s="2">
        <f>'Stats G1'!E8</f>
        <v>0</v>
      </c>
      <c r="J8" s="2">
        <f>'Stats G1'!H8</f>
        <v>1</v>
      </c>
      <c r="K8" s="2">
        <f t="shared" si="0"/>
        <v>1</v>
      </c>
      <c r="L8" s="2">
        <f>'Stats G1'!K8</f>
        <v>0</v>
      </c>
      <c r="M8" s="2">
        <f>'Stats G1'!N8</f>
        <v>0</v>
      </c>
    </row>
    <row r="9" spans="2:13" ht="15.75" customHeight="1" x14ac:dyDescent="0.2">
      <c r="F9" s="2" t="str">
        <f>'Stats G1'!A9</f>
        <v>Ray</v>
      </c>
      <c r="G9" s="2" t="str">
        <f>'Stats G1'!B9</f>
        <v>Gallegos</v>
      </c>
      <c r="H9" s="2">
        <f>'Stats G1'!C9</f>
        <v>8</v>
      </c>
      <c r="I9" s="2">
        <f>'Stats G1'!E9</f>
        <v>0</v>
      </c>
      <c r="J9" s="2">
        <f>'Stats G1'!H9</f>
        <v>0</v>
      </c>
      <c r="K9" s="2">
        <f t="shared" si="0"/>
        <v>0</v>
      </c>
      <c r="L9" s="2">
        <f>'Stats G1'!K9</f>
        <v>0</v>
      </c>
      <c r="M9" s="2">
        <f>'Stats G1'!N9</f>
        <v>0</v>
      </c>
    </row>
    <row r="10" spans="2:13" ht="15.75" customHeight="1" x14ac:dyDescent="0.2">
      <c r="F10" s="2" t="str">
        <f>'Stats G1'!A10</f>
        <v>Colton</v>
      </c>
      <c r="G10" s="2" t="str">
        <f>'Stats G1'!B10</f>
        <v>Burgon</v>
      </c>
      <c r="H10" s="2">
        <f>'Stats G1'!C10</f>
        <v>20</v>
      </c>
      <c r="I10" s="2">
        <f>'Stats G1'!E10</f>
        <v>4</v>
      </c>
      <c r="J10" s="2">
        <f>'Stats G1'!H10</f>
        <v>5</v>
      </c>
      <c r="K10" s="2">
        <f t="shared" si="0"/>
        <v>9</v>
      </c>
      <c r="L10" s="2">
        <f>'Stats G1'!K10</f>
        <v>1</v>
      </c>
      <c r="M10" s="2">
        <f>'Stats G1'!N10</f>
        <v>4</v>
      </c>
    </row>
    <row r="11" spans="2:13" ht="15.75" customHeight="1" x14ac:dyDescent="0.2">
      <c r="F11" s="2" t="str">
        <f>'Stats G1'!A11</f>
        <v>Thomas</v>
      </c>
      <c r="G11" s="2" t="str">
        <f>'Stats G1'!B11</f>
        <v>Bullock</v>
      </c>
      <c r="H11" s="2">
        <f>'Stats G1'!C11</f>
        <v>22</v>
      </c>
      <c r="I11" s="2">
        <f>'Stats G1'!E11</f>
        <v>2</v>
      </c>
      <c r="J11" s="2">
        <f>'Stats G1'!H11</f>
        <v>3</v>
      </c>
      <c r="K11" s="2">
        <f t="shared" si="0"/>
        <v>5</v>
      </c>
      <c r="L11" s="2">
        <f>'Stats G1'!K11</f>
        <v>2</v>
      </c>
      <c r="M11" s="2">
        <f>'Stats G1'!N11</f>
        <v>0</v>
      </c>
    </row>
    <row r="12" spans="2:13" ht="15.75" customHeight="1" x14ac:dyDescent="0.2">
      <c r="F12" s="2" t="str">
        <f>'Stats G1'!A12</f>
        <v>Tyler</v>
      </c>
      <c r="G12" s="2" t="str">
        <f>'Stats G1'!B12</f>
        <v>Burgess</v>
      </c>
      <c r="H12" s="2">
        <f>'Stats G1'!C12</f>
        <v>23</v>
      </c>
      <c r="I12" s="2">
        <f>'Stats G1'!E12</f>
        <v>0</v>
      </c>
      <c r="J12" s="2">
        <f>'Stats G1'!H12</f>
        <v>0</v>
      </c>
      <c r="K12" s="2">
        <f t="shared" si="0"/>
        <v>0</v>
      </c>
      <c r="L12" s="2">
        <f>'Stats G1'!K12</f>
        <v>0</v>
      </c>
      <c r="M12" s="2">
        <f>'Stats G1'!N12</f>
        <v>0</v>
      </c>
    </row>
    <row r="13" spans="2:13" ht="15.75" customHeight="1" x14ac:dyDescent="0.2">
      <c r="F13" s="2" t="str">
        <f>'Stats G1'!A13</f>
        <v>Kentrell</v>
      </c>
      <c r="G13" s="2" t="str">
        <f>'Stats G1'!B13</f>
        <v>Barkley</v>
      </c>
      <c r="H13" s="2">
        <f>'Stats G1'!C13</f>
        <v>12</v>
      </c>
      <c r="I13" s="2">
        <f>'Stats G1'!E13</f>
        <v>2</v>
      </c>
      <c r="J13" s="2">
        <f>'Stats G1'!H13</f>
        <v>5</v>
      </c>
      <c r="K13" s="2">
        <f t="shared" si="0"/>
        <v>7</v>
      </c>
      <c r="L13" s="2">
        <f>'Stats G1'!K13</f>
        <v>0</v>
      </c>
      <c r="M13" s="2">
        <f>'Stats G1'!N13</f>
        <v>0</v>
      </c>
    </row>
    <row r="14" spans="2:13" ht="15.75" customHeight="1" x14ac:dyDescent="0.2">
      <c r="F14" s="2" t="str">
        <f>'Stats G1'!A14</f>
        <v>Brenden</v>
      </c>
      <c r="G14" s="2" t="str">
        <f>'Stats G1'!B14</f>
        <v>Morris</v>
      </c>
      <c r="H14" s="2">
        <f>'Stats G1'!C14</f>
        <v>23</v>
      </c>
      <c r="I14" s="2">
        <f>'Stats G1'!E14</f>
        <v>1</v>
      </c>
      <c r="J14" s="2">
        <f>'Stats G1'!H14</f>
        <v>14</v>
      </c>
      <c r="K14" s="2">
        <f t="shared" si="0"/>
        <v>15</v>
      </c>
      <c r="L14" s="2">
        <f>'Stats G1'!K14</f>
        <v>2</v>
      </c>
      <c r="M14" s="2">
        <f>'Stats G1'!N14</f>
        <v>2</v>
      </c>
    </row>
    <row r="15" spans="2:13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 t="shared" si="0"/>
        <v>0</v>
      </c>
      <c r="L15" s="2">
        <f>'Stats G1'!K15</f>
        <v>0</v>
      </c>
      <c r="M15" s="2">
        <v>0</v>
      </c>
    </row>
    <row r="16" spans="2:13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  <c r="M16" s="2">
        <f>'Stats G1'!N16</f>
        <v>0</v>
      </c>
    </row>
    <row r="17" spans="6:13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  <c r="M17" s="2">
        <f>'Stats G1'!N17</f>
        <v>0</v>
      </c>
    </row>
    <row r="18" spans="6:13" ht="15.75" customHeight="1" x14ac:dyDescent="0.2">
      <c r="H18" s="1" t="s">
        <v>11</v>
      </c>
      <c r="I18" s="2">
        <f t="shared" ref="I18:M18" si="1">SUM(I3:I17)</f>
        <v>13</v>
      </c>
      <c r="J18" s="2">
        <f t="shared" si="1"/>
        <v>37</v>
      </c>
      <c r="K18" s="2">
        <f t="shared" si="1"/>
        <v>50</v>
      </c>
      <c r="L18" s="2">
        <f t="shared" si="1"/>
        <v>7</v>
      </c>
      <c r="M18" s="2">
        <f t="shared" si="1"/>
        <v>8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G1'!B19</f>
        <v>Team Egan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G1'!A21</f>
        <v>Casdon</v>
      </c>
      <c r="G22" s="2" t="str">
        <f>'Stats G1'!B21</f>
        <v>Jardine</v>
      </c>
      <c r="H22" s="2">
        <f>'Stats G1'!C21</f>
        <v>22</v>
      </c>
      <c r="I22" s="2">
        <f>'Stats G1'!E21</f>
        <v>2</v>
      </c>
      <c r="J22" s="2">
        <f>'Stats G1'!H21</f>
        <v>7</v>
      </c>
      <c r="K22" s="2">
        <f t="shared" ref="K22:K36" si="2">J22+I22</f>
        <v>9</v>
      </c>
      <c r="L22" s="2">
        <f>'Stats G1'!K21</f>
        <v>3</v>
      </c>
      <c r="M22" s="2">
        <f>'Stats G1'!N21</f>
        <v>4</v>
      </c>
    </row>
    <row r="23" spans="6:13" ht="15.75" customHeight="1" x14ac:dyDescent="0.2">
      <c r="F23" s="2" t="str">
        <f>'Stats G1'!A22</f>
        <v>Rex</v>
      </c>
      <c r="G23" s="2" t="str">
        <f>'Stats G1'!B22</f>
        <v>Sunderland</v>
      </c>
      <c r="H23" s="2">
        <f>'Stats G1'!C22</f>
        <v>13</v>
      </c>
      <c r="I23" s="2">
        <f>'Stats G1'!E22</f>
        <v>0</v>
      </c>
      <c r="J23" s="2">
        <f>'Stats G1'!H22</f>
        <v>2</v>
      </c>
      <c r="K23" s="2">
        <f t="shared" si="2"/>
        <v>2</v>
      </c>
      <c r="L23" s="2">
        <f>'Stats G1'!K22</f>
        <v>2</v>
      </c>
      <c r="M23" s="2">
        <f>'Stats G1'!N22</f>
        <v>1</v>
      </c>
    </row>
    <row r="24" spans="6:13" ht="15.75" customHeight="1" x14ac:dyDescent="0.2">
      <c r="F24" s="2" t="str">
        <f>'Stats G1'!A23</f>
        <v>Steve</v>
      </c>
      <c r="G24" s="2" t="str">
        <f>'Stats G1'!B23</f>
        <v>Panos</v>
      </c>
      <c r="H24" s="2">
        <f>'Stats G1'!C23</f>
        <v>0</v>
      </c>
      <c r="I24" s="2">
        <f>'Stats G1'!E23</f>
        <v>1</v>
      </c>
      <c r="J24" s="2">
        <f>'Stats G1'!H23</f>
        <v>0</v>
      </c>
      <c r="K24" s="2">
        <f t="shared" si="2"/>
        <v>1</v>
      </c>
      <c r="L24" s="2">
        <f>'Stats G1'!K23</f>
        <v>0</v>
      </c>
      <c r="M24" s="2">
        <f>'Stats G1'!N23</f>
        <v>1</v>
      </c>
    </row>
    <row r="25" spans="6:13" ht="15.75" customHeight="1" x14ac:dyDescent="0.2">
      <c r="F25" s="2" t="str">
        <f>'Stats G1'!A24</f>
        <v>James</v>
      </c>
      <c r="G25" s="2" t="str">
        <f>'Stats G1'!B24</f>
        <v>Walljasper</v>
      </c>
      <c r="H25" s="2">
        <f>'Stats G1'!C24</f>
        <v>1</v>
      </c>
      <c r="I25" s="2">
        <f>'Stats G1'!E24</f>
        <v>0</v>
      </c>
      <c r="J25" s="2">
        <f>'Stats G1'!H24</f>
        <v>3</v>
      </c>
      <c r="K25" s="2">
        <f t="shared" si="2"/>
        <v>3</v>
      </c>
      <c r="L25" s="2">
        <f>'Stats G1'!K24</f>
        <v>1</v>
      </c>
      <c r="M25" s="2">
        <f>'Stats G1'!N24</f>
        <v>3</v>
      </c>
    </row>
    <row r="26" spans="6:13" ht="15.75" customHeight="1" x14ac:dyDescent="0.2">
      <c r="F26" s="2" t="str">
        <f>'Stats G1'!A25</f>
        <v>Wil</v>
      </c>
      <c r="G26" s="2" t="str">
        <f>'Stats G1'!B25</f>
        <v>Carter</v>
      </c>
      <c r="H26" s="2">
        <f>'Stats G1'!C25</f>
        <v>15</v>
      </c>
      <c r="I26" s="2">
        <f>'Stats G1'!E25</f>
        <v>1</v>
      </c>
      <c r="J26" s="2">
        <f>'Stats G1'!H25</f>
        <v>11</v>
      </c>
      <c r="K26" s="2">
        <f t="shared" si="2"/>
        <v>12</v>
      </c>
      <c r="L26" s="2">
        <f>'Stats G1'!K25</f>
        <v>0</v>
      </c>
      <c r="M26" s="2">
        <f>'Stats G1'!N25</f>
        <v>7</v>
      </c>
    </row>
    <row r="27" spans="6:13" ht="15.75" customHeight="1" x14ac:dyDescent="0.2">
      <c r="F27" s="2" t="str">
        <f>'Stats G1'!A26</f>
        <v>Drew</v>
      </c>
      <c r="G27" s="2" t="str">
        <f>'Stats G1'!B26</f>
        <v>Lokeni</v>
      </c>
      <c r="H27" s="2">
        <f>'Stats G1'!C26</f>
        <v>7</v>
      </c>
      <c r="I27" s="2">
        <f>'Stats G1'!E26</f>
        <v>0</v>
      </c>
      <c r="J27" s="2">
        <f>'Stats G1'!H26</f>
        <v>0</v>
      </c>
      <c r="K27" s="2">
        <f t="shared" si="2"/>
        <v>0</v>
      </c>
      <c r="L27" s="2">
        <f>'Stats G1'!K26</f>
        <v>0</v>
      </c>
      <c r="M27" s="2">
        <f>'Stats G1'!N26</f>
        <v>0</v>
      </c>
    </row>
    <row r="28" spans="6:13" ht="15.75" customHeight="1" x14ac:dyDescent="0.2">
      <c r="F28" s="2" t="str">
        <f>'Stats G1'!A27</f>
        <v>Mason</v>
      </c>
      <c r="G28" s="2" t="str">
        <f>'Stats G1'!B27</f>
        <v>Sawyer</v>
      </c>
      <c r="H28" s="2">
        <f>'Stats G1'!C27</f>
        <v>4</v>
      </c>
      <c r="I28" s="2">
        <f>'Stats G1'!E27</f>
        <v>0</v>
      </c>
      <c r="J28" s="2">
        <f>'Stats G1'!H27</f>
        <v>0</v>
      </c>
      <c r="K28" s="2">
        <f t="shared" si="2"/>
        <v>0</v>
      </c>
      <c r="L28" s="2">
        <f>'Stats G1'!K27</f>
        <v>0</v>
      </c>
      <c r="M28" s="2">
        <f>'Stats G1'!N27</f>
        <v>0</v>
      </c>
    </row>
    <row r="29" spans="6:13" ht="15.75" customHeight="1" x14ac:dyDescent="0.2">
      <c r="F29" s="2" t="str">
        <f>'Stats G1'!A28</f>
        <v>Adam</v>
      </c>
      <c r="G29" s="2" t="str">
        <f>'Stats G1'!B28</f>
        <v>Egan</v>
      </c>
      <c r="H29" s="2">
        <f>'Stats G1'!C28</f>
        <v>13</v>
      </c>
      <c r="I29" s="2">
        <f>'Stats G1'!E28</f>
        <v>0</v>
      </c>
      <c r="J29" s="2">
        <f>'Stats G1'!H28</f>
        <v>0</v>
      </c>
      <c r="K29" s="2">
        <f t="shared" si="2"/>
        <v>0</v>
      </c>
      <c r="L29" s="2">
        <f>'Stats G1'!K28</f>
        <v>0</v>
      </c>
      <c r="M29" s="2">
        <f>'Stats G1'!N28</f>
        <v>0</v>
      </c>
    </row>
    <row r="30" spans="6:13" ht="15.75" customHeight="1" x14ac:dyDescent="0.2">
      <c r="F30" s="2" t="str">
        <f>'Stats G1'!A29</f>
        <v>Tony</v>
      </c>
      <c r="G30" s="2" t="str">
        <f>'Stats G1'!B29</f>
        <v>Roberts</v>
      </c>
      <c r="H30" s="2">
        <f>'Stats G1'!C29</f>
        <v>21</v>
      </c>
      <c r="I30" s="2">
        <f>'Stats G1'!E29</f>
        <v>1</v>
      </c>
      <c r="J30" s="2">
        <f>'Stats G1'!H29</f>
        <v>1</v>
      </c>
      <c r="K30" s="2">
        <f t="shared" si="2"/>
        <v>2</v>
      </c>
      <c r="L30" s="2">
        <f>'Stats G1'!K29</f>
        <v>0</v>
      </c>
      <c r="M30" s="2">
        <f>'Stats G1'!N29</f>
        <v>3</v>
      </c>
    </row>
    <row r="31" spans="6:13" ht="15.75" customHeight="1" x14ac:dyDescent="0.2">
      <c r="F31" s="2" t="str">
        <f>'Stats G1'!A30</f>
        <v>Caleb</v>
      </c>
      <c r="G31" s="2" t="str">
        <f>'Stats G1'!B30</f>
        <v>Leondhart</v>
      </c>
      <c r="H31" s="2">
        <f>'Stats G1'!C30</f>
        <v>10</v>
      </c>
      <c r="I31" s="2">
        <f>'Stats G1'!E30</f>
        <v>0</v>
      </c>
      <c r="J31" s="2">
        <f>'Stats G1'!H30</f>
        <v>7</v>
      </c>
      <c r="K31" s="2">
        <f t="shared" si="2"/>
        <v>7</v>
      </c>
      <c r="L31" s="2">
        <f>'Stats G1'!K30</f>
        <v>0</v>
      </c>
      <c r="M31" s="2">
        <f>'Stats G1'!N30</f>
        <v>0</v>
      </c>
    </row>
    <row r="32" spans="6:13" ht="15.75" customHeight="1" x14ac:dyDescent="0.2">
      <c r="F32" s="2" t="str">
        <f>'Stats G1'!A31</f>
        <v>?</v>
      </c>
      <c r="G32" s="2" t="str">
        <f>'Stats G1'!B31</f>
        <v>?</v>
      </c>
      <c r="H32" s="2" t="str">
        <f>'Stats G1'!C31</f>
        <v/>
      </c>
      <c r="I32" s="2">
        <f>'Stats G1'!E31</f>
        <v>0</v>
      </c>
      <c r="J32" s="2">
        <f>'Stats G1'!H31</f>
        <v>0</v>
      </c>
      <c r="K32" s="2">
        <f t="shared" si="2"/>
        <v>0</v>
      </c>
      <c r="L32" s="2">
        <f>'Stats G1'!K31</f>
        <v>0</v>
      </c>
      <c r="M32" s="2">
        <f>'Stats G1'!N31</f>
        <v>0</v>
      </c>
    </row>
    <row r="33" spans="6:13" ht="15.75" customHeight="1" x14ac:dyDescent="0.2">
      <c r="F33" s="2" t="str">
        <f>'Stats G1'!A32</f>
        <v>?</v>
      </c>
      <c r="G33" s="2" t="str">
        <f>'Stats G1'!B32</f>
        <v>?</v>
      </c>
      <c r="H33" s="2" t="str">
        <f>'Stats G1'!C32</f>
        <v/>
      </c>
      <c r="I33" s="2">
        <f>'Stats G1'!E32</f>
        <v>0</v>
      </c>
      <c r="J33" s="2">
        <f>'Stats G1'!H32</f>
        <v>0</v>
      </c>
      <c r="K33" s="2">
        <f t="shared" si="2"/>
        <v>0</v>
      </c>
      <c r="L33" s="2">
        <f>'Stats G1'!K32</f>
        <v>0</v>
      </c>
      <c r="M33" s="2">
        <f>'Stats G1'!N32</f>
        <v>0</v>
      </c>
    </row>
    <row r="34" spans="6:13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  <c r="M34" s="2">
        <f>'Stats G1'!N33</f>
        <v>0</v>
      </c>
    </row>
    <row r="35" spans="6:13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  <c r="M35" s="2">
        <f>'Stats G1'!N34</f>
        <v>0</v>
      </c>
    </row>
    <row r="36" spans="6:13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  <c r="M36" s="2">
        <f>'Stats G1'!N35</f>
        <v>0</v>
      </c>
    </row>
    <row r="37" spans="6:13" ht="15.75" customHeight="1" x14ac:dyDescent="0.2">
      <c r="H37" s="1" t="s">
        <v>11</v>
      </c>
      <c r="I37" s="2">
        <f t="shared" ref="I37:M37" si="3">SUM(I22:I36)</f>
        <v>5</v>
      </c>
      <c r="J37" s="2">
        <f t="shared" si="3"/>
        <v>31</v>
      </c>
      <c r="K37" s="2">
        <f t="shared" si="3"/>
        <v>36</v>
      </c>
      <c r="L37" s="2">
        <f t="shared" si="3"/>
        <v>6</v>
      </c>
      <c r="M37" s="2">
        <f t="shared" si="3"/>
        <v>19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J16" sqref="J16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</row>
    <row r="3" spans="1:26" ht="15.75" customHeight="1" x14ac:dyDescent="0.2">
      <c r="A3" s="6" t="str">
        <f>_xlfn.IFNA(VLOOKUP($B$1&amp;ROWS($A$3:A3),Rosters!$B$2:$C$163,2,0),"?")</f>
        <v>Tyus</v>
      </c>
      <c r="B3" s="6" t="str">
        <f>_xlfn.IFNA(VLOOKUP($B$1&amp;ROWS($B$3:B3),Rosters!$B$2:$D$163,3,0),"?")</f>
        <v>Jefferson</v>
      </c>
      <c r="C3" s="6">
        <f>_xlfn.IFNA(VLOOKUP($B$1&amp;ROWS($C$3:C3),Rosters!$B$2:$E$163,4,0),"")</f>
        <v>3</v>
      </c>
      <c r="D3" s="6"/>
      <c r="E3" s="7">
        <v>1</v>
      </c>
      <c r="F3" s="6"/>
      <c r="G3" s="6"/>
      <c r="H3" s="7">
        <v>4</v>
      </c>
      <c r="I3" s="6"/>
      <c r="J3" s="6"/>
      <c r="K3" s="7">
        <v>2</v>
      </c>
      <c r="L3" s="6"/>
      <c r="M3" s="6"/>
      <c r="N3" s="7">
        <v>1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/>
      <c r="Z3" s="8"/>
    </row>
    <row r="4" spans="1:26" ht="15.75" customHeight="1" x14ac:dyDescent="0.2">
      <c r="A4" s="8" t="str">
        <f>_xlfn.IFNA(VLOOKUP($B$1&amp;ROWS($A$3:A4),Rosters!$B$2:$C$163,2,0),"?")</f>
        <v>Jordan</v>
      </c>
      <c r="B4" s="8" t="str">
        <f>_xlfn.IFNA(VLOOKUP($B$1&amp;ROWS($B$3:B4),Rosters!$B$2:$D$163,3,0),"?")</f>
        <v>Loveridge</v>
      </c>
      <c r="C4" s="8">
        <f>_xlfn.IFNA(VLOOKUP($B$1&amp;ROWS($C$3:C4),Rosters!$B$2:$E$163,4,0),"")</f>
        <v>21</v>
      </c>
      <c r="D4" s="8"/>
      <c r="E4" s="8">
        <v>0</v>
      </c>
      <c r="F4" s="8"/>
      <c r="G4" s="8"/>
      <c r="H4" s="8">
        <v>0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Kyndayl</v>
      </c>
      <c r="B5" s="6" t="str">
        <f>_xlfn.IFNA(VLOOKUP($B$1&amp;ROWS($B$3:B5),Rosters!$B$2:$D$163,3,0),"?")</f>
        <v>Hill</v>
      </c>
      <c r="C5" s="6">
        <f>_xlfn.IFNA(VLOOKUP($B$1&amp;ROWS($C$3:C5),Rosters!$B$2:$E$163,4,0),"")</f>
        <v>15</v>
      </c>
      <c r="D5" s="6"/>
      <c r="E5" s="7">
        <v>3</v>
      </c>
      <c r="F5" s="6"/>
      <c r="G5" s="6"/>
      <c r="H5" s="7">
        <v>4</v>
      </c>
      <c r="I5" s="6"/>
      <c r="J5" s="6"/>
      <c r="K5" s="6">
        <v>0</v>
      </c>
      <c r="L5" s="6"/>
      <c r="M5" s="6"/>
      <c r="N5" s="7">
        <v>1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/>
      <c r="Z5" s="8"/>
    </row>
    <row r="6" spans="1:26" ht="15.75" customHeight="1" x14ac:dyDescent="0.2">
      <c r="A6" s="8" t="str">
        <f>_xlfn.IFNA(VLOOKUP($B$1&amp;ROWS($A$3:A6),Rosters!$B$2:$C$163,2,0),"?")</f>
        <v>Duce</v>
      </c>
      <c r="B6" s="8" t="str">
        <f>_xlfn.IFNA(VLOOKUP($B$1&amp;ROWS($B$3:B6),Rosters!$B$2:$D$163,3,0),"?")</f>
        <v>Zaid</v>
      </c>
      <c r="C6" s="8">
        <f>_xlfn.IFNA(VLOOKUP($B$1&amp;ROWS($C$3:C6),Rosters!$B$2:$E$163,4,0),"")</f>
        <v>5</v>
      </c>
      <c r="D6" s="8"/>
      <c r="E6" s="8">
        <v>0</v>
      </c>
      <c r="F6" s="8"/>
      <c r="G6" s="8"/>
      <c r="H6" s="9">
        <v>1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6" t="str">
        <f>_xlfn.IFNA(VLOOKUP($B$1&amp;ROWS($A$3:A7),Rosters!$B$2:$C$163,2,0),"?")</f>
        <v>Charles</v>
      </c>
      <c r="B7" s="6" t="str">
        <f>_xlfn.IFNA(VLOOKUP($B$1&amp;ROWS($B$3:B7),Rosters!$B$2:$D$163,3,0),"?")</f>
        <v>Nann</v>
      </c>
      <c r="C7" s="6">
        <f>_xlfn.IFNA(VLOOKUP($B$1&amp;ROWS($C$3:C7),Rosters!$B$2:$E$163,4,0),"")</f>
        <v>7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Marqus</v>
      </c>
      <c r="B8" s="8" t="str">
        <f>_xlfn.IFNA(VLOOKUP($B$1&amp;ROWS($B$3:B8),Rosters!$B$2:$D$163,3,0),"?")</f>
        <v>Gilson</v>
      </c>
      <c r="C8" s="8">
        <f>_xlfn.IFNA(VLOOKUP($B$1&amp;ROWS($C$3:C8),Rosters!$B$2:$E$163,4,0),"")</f>
        <v>24</v>
      </c>
      <c r="D8" s="8"/>
      <c r="E8" s="8">
        <v>0</v>
      </c>
      <c r="F8" s="8"/>
      <c r="G8" s="8"/>
      <c r="H8" s="9">
        <v>1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Ray</v>
      </c>
      <c r="B9" s="6" t="str">
        <f>_xlfn.IFNA(VLOOKUP($B$1&amp;ROWS($B$3:B9),Rosters!$B$2:$D$163,3,0),"?")</f>
        <v>Gallegos</v>
      </c>
      <c r="C9" s="6">
        <f>_xlfn.IFNA(VLOOKUP($B$1&amp;ROWS($C$3:C9),Rosters!$B$2:$E$163,4,0),"")</f>
        <v>8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Colton</v>
      </c>
      <c r="B10" s="8" t="str">
        <f>_xlfn.IFNA(VLOOKUP($B$1&amp;ROWS($B$3:B10),Rosters!$B$2:$D$163,3,0),"?")</f>
        <v>Burgon</v>
      </c>
      <c r="C10" s="8">
        <f>_xlfn.IFNA(VLOOKUP($B$1&amp;ROWS($C$3:C10),Rosters!$B$2:$E$163,4,0),"")</f>
        <v>20</v>
      </c>
      <c r="D10" s="8"/>
      <c r="E10" s="9">
        <v>4</v>
      </c>
      <c r="F10" s="8"/>
      <c r="G10" s="8"/>
      <c r="H10" s="9">
        <v>5</v>
      </c>
      <c r="I10" s="8"/>
      <c r="J10" s="8"/>
      <c r="K10" s="9">
        <v>1</v>
      </c>
      <c r="L10" s="8"/>
      <c r="M10" s="8"/>
      <c r="N10" s="9">
        <v>4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Thomas</v>
      </c>
      <c r="B11" s="6" t="str">
        <f>_xlfn.IFNA(VLOOKUP($B$1&amp;ROWS($B$3:B11),Rosters!$B$2:$D$163,3,0),"?")</f>
        <v>Bullock</v>
      </c>
      <c r="C11" s="6">
        <f>_xlfn.IFNA(VLOOKUP($B$1&amp;ROWS($C$3:C11),Rosters!$B$2:$E$163,4,0),"")</f>
        <v>22</v>
      </c>
      <c r="D11" s="6"/>
      <c r="E11" s="7">
        <v>2</v>
      </c>
      <c r="F11" s="6"/>
      <c r="G11" s="6"/>
      <c r="H11" s="7">
        <v>3</v>
      </c>
      <c r="I11" s="6"/>
      <c r="J11" s="6"/>
      <c r="K11" s="7">
        <v>2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Tyler</v>
      </c>
      <c r="B12" s="8" t="str">
        <f>_xlfn.IFNA(VLOOKUP($B$1&amp;ROWS($B$3:B12),Rosters!$B$2:$D$163,3,0),"?")</f>
        <v>Burgess</v>
      </c>
      <c r="C12" s="8">
        <f>_xlfn.IFNA(VLOOKUP($B$1&amp;ROWS($C$3:C12),Rosters!$B$2:$E$163,4,0),"")</f>
        <v>23</v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Kentrell</v>
      </c>
      <c r="B13" s="6" t="str">
        <f>_xlfn.IFNA(VLOOKUP($B$1&amp;ROWS($B$3:B13),Rosters!$B$2:$D$163,3,0),"?")</f>
        <v>Barkley</v>
      </c>
      <c r="C13" s="6">
        <f>_xlfn.IFNA(VLOOKUP($B$1&amp;ROWS($C$3:C13),Rosters!$B$2:$E$163,4,0),"")</f>
        <v>12</v>
      </c>
      <c r="D13" s="6"/>
      <c r="E13" s="7">
        <v>2</v>
      </c>
      <c r="F13" s="6"/>
      <c r="G13" s="6"/>
      <c r="H13" s="7">
        <v>5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Brenden</v>
      </c>
      <c r="B14" s="8" t="str">
        <f>_xlfn.IFNA(VLOOKUP($B$1&amp;ROWS($B$3:B14),Rosters!$B$2:$D$163,3,0),"?")</f>
        <v>Morris</v>
      </c>
      <c r="C14" s="8">
        <f>_xlfn.IFNA(VLOOKUP($B$1&amp;ROWS($C$3:C14),Rosters!$B$2:$E$163,4,0),"")</f>
        <v>23</v>
      </c>
      <c r="D14" s="8"/>
      <c r="E14" s="9">
        <v>1</v>
      </c>
      <c r="F14" s="8"/>
      <c r="G14" s="8"/>
      <c r="H14" s="9">
        <v>14</v>
      </c>
      <c r="I14" s="8"/>
      <c r="J14" s="8"/>
      <c r="K14" s="9">
        <v>2</v>
      </c>
      <c r="L14" s="8"/>
      <c r="M14" s="8"/>
      <c r="N14" s="9">
        <v>2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7">
        <v>0</v>
      </c>
      <c r="I15" s="6"/>
      <c r="J15" s="6"/>
      <c r="K15" s="7">
        <v>0</v>
      </c>
      <c r="L15" s="6"/>
      <c r="M15" s="6"/>
      <c r="N15" s="7">
        <v>2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 t="str">
        <f>_xlfn.IFNA(VLOOKUP($B$1&amp;ROWS($C$3:C16),Rosters!$B$2:$E$163,4,0),"")</f>
        <v/>
      </c>
      <c r="D16" s="8"/>
      <c r="E16" s="8">
        <v>0</v>
      </c>
      <c r="F16" s="8"/>
      <c r="G16" s="8"/>
      <c r="H16" s="9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13</v>
      </c>
      <c r="F18" s="8"/>
      <c r="G18" s="8"/>
      <c r="H18" s="8">
        <f>SUM(H3:H17)</f>
        <v>37</v>
      </c>
      <c r="I18" s="8"/>
      <c r="J18" s="8"/>
      <c r="K18" s="8">
        <f>SUM(K3:K17)</f>
        <v>7</v>
      </c>
      <c r="L18" s="8"/>
      <c r="M18" s="8"/>
      <c r="N18" s="8">
        <f>SUM(N3:N17)</f>
        <v>10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15</v>
      </c>
      <c r="B19" s="5" t="s">
        <v>16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10" t="s">
        <v>17</v>
      </c>
      <c r="K20" s="2" t="s">
        <v>8</v>
      </c>
      <c r="N20" s="2" t="s">
        <v>9</v>
      </c>
    </row>
    <row r="21" spans="1:26" ht="15.75" customHeight="1" x14ac:dyDescent="0.2">
      <c r="A21" s="6" t="str">
        <f>_xlfn.IFNA(VLOOKUP($B$19&amp;ROWS($A$21:A21),Rosters!$B$2:$C$163,2,0),"?")</f>
        <v>Casdon</v>
      </c>
      <c r="B21" s="6" t="str">
        <f>_xlfn.IFNA(VLOOKUP($B$19&amp;ROWS($B$21:B21),Rosters!$B$2:$D$163,3,0),"?")</f>
        <v>Jardine</v>
      </c>
      <c r="C21" s="6">
        <f>_xlfn.IFNA(VLOOKUP($B$19&amp;ROWS($C$21:C21),Rosters!$B$2:$E$163,4,0),"")</f>
        <v>22</v>
      </c>
      <c r="D21" s="6"/>
      <c r="E21" s="7">
        <v>2</v>
      </c>
      <c r="F21" s="6"/>
      <c r="G21" s="6"/>
      <c r="H21" s="7">
        <v>7</v>
      </c>
      <c r="I21" s="6"/>
      <c r="J21" s="6"/>
      <c r="K21" s="7">
        <v>3</v>
      </c>
      <c r="L21" s="6"/>
      <c r="M21" s="6"/>
      <c r="N21" s="7">
        <v>4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/>
      <c r="Z21" s="8"/>
    </row>
    <row r="22" spans="1:26" ht="15.75" customHeight="1" x14ac:dyDescent="0.2">
      <c r="A22" s="2" t="str">
        <f>_xlfn.IFNA(VLOOKUP($B$19&amp;ROWS($A$21:A22),Rosters!$B$2:$C$163,2,0),"?")</f>
        <v>Rex</v>
      </c>
      <c r="B22" s="2" t="str">
        <f>_xlfn.IFNA(VLOOKUP($B$19&amp;ROWS($B$21:B22),Rosters!$B$2:$D$163,3,0),"?")</f>
        <v>Sunderland</v>
      </c>
      <c r="C22" s="2">
        <f>_xlfn.IFNA(VLOOKUP($B$19&amp;ROWS($C$21:C22),Rosters!$B$2:$E$163,4,0),"")</f>
        <v>13</v>
      </c>
      <c r="D22" s="8"/>
      <c r="E22" s="8">
        <v>0</v>
      </c>
      <c r="F22" s="8"/>
      <c r="G22" s="8"/>
      <c r="H22" s="9">
        <v>2</v>
      </c>
      <c r="I22" s="8"/>
      <c r="J22" s="8"/>
      <c r="K22" s="9">
        <v>2</v>
      </c>
      <c r="L22" s="8"/>
      <c r="M22" s="8"/>
      <c r="N22" s="9">
        <v>1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</row>
    <row r="23" spans="1:26" ht="15.75" customHeight="1" x14ac:dyDescent="0.2">
      <c r="A23" s="6" t="str">
        <f>_xlfn.IFNA(VLOOKUP($B$19&amp;ROWS($A$21:A23),Rosters!$B$2:$C$163,2,0),"?")</f>
        <v>Steve</v>
      </c>
      <c r="B23" s="6" t="str">
        <f>_xlfn.IFNA(VLOOKUP($B$19&amp;ROWS($B$21:B23),Rosters!$B$2:$D$163,3,0),"?")</f>
        <v>Panos</v>
      </c>
      <c r="C23" s="6">
        <f>_xlfn.IFNA(VLOOKUP($B$19&amp;ROWS($C$21:C23),Rosters!$B$2:$E$163,4,0),"")</f>
        <v>0</v>
      </c>
      <c r="D23" s="6"/>
      <c r="E23" s="7">
        <v>1</v>
      </c>
      <c r="F23" s="6"/>
      <c r="G23" s="6"/>
      <c r="H23" s="6">
        <v>0</v>
      </c>
      <c r="I23" s="6"/>
      <c r="J23" s="6"/>
      <c r="K23" s="6">
        <v>0</v>
      </c>
      <c r="L23" s="6"/>
      <c r="M23" s="6"/>
      <c r="N23" s="7">
        <v>1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/>
      <c r="Z23" s="8"/>
    </row>
    <row r="24" spans="1:26" ht="15.75" customHeight="1" x14ac:dyDescent="0.2">
      <c r="A24" s="2" t="str">
        <f>_xlfn.IFNA(VLOOKUP($B$19&amp;ROWS($A$21:A24),Rosters!$B$2:$C$163,2,0),"?")</f>
        <v>James</v>
      </c>
      <c r="B24" s="2" t="str">
        <f>_xlfn.IFNA(VLOOKUP($B$19&amp;ROWS($B$21:B24),Rosters!$B$2:$D$163,3,0),"?")</f>
        <v>Walljasper</v>
      </c>
      <c r="C24" s="2">
        <f>_xlfn.IFNA(VLOOKUP($B$19&amp;ROWS($C$21:C24),Rosters!$B$2:$E$163,4,0),"")</f>
        <v>1</v>
      </c>
      <c r="D24" s="8"/>
      <c r="E24" s="8">
        <v>0</v>
      </c>
      <c r="F24" s="8"/>
      <c r="G24" s="8"/>
      <c r="H24" s="9">
        <v>3</v>
      </c>
      <c r="I24" s="8"/>
      <c r="J24" s="8"/>
      <c r="K24" s="9">
        <v>1</v>
      </c>
      <c r="L24" s="8"/>
      <c r="M24" s="8"/>
      <c r="N24" s="9">
        <v>3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</row>
    <row r="25" spans="1:26" ht="15.75" customHeight="1" x14ac:dyDescent="0.2">
      <c r="A25" s="6" t="str">
        <f>_xlfn.IFNA(VLOOKUP($B$19&amp;ROWS($A$21:A25),Rosters!$B$2:$C$163,2,0),"?")</f>
        <v>Wil</v>
      </c>
      <c r="B25" s="6" t="str">
        <f>_xlfn.IFNA(VLOOKUP($B$19&amp;ROWS($B$21:B25),Rosters!$B$2:$D$163,3,0),"?")</f>
        <v>Carter</v>
      </c>
      <c r="C25" s="6">
        <f>_xlfn.IFNA(VLOOKUP($B$19&amp;ROWS($C$21:C25),Rosters!$B$2:$E$163,4,0),"")</f>
        <v>15</v>
      </c>
      <c r="D25" s="6"/>
      <c r="E25" s="7">
        <v>1</v>
      </c>
      <c r="F25" s="6"/>
      <c r="G25" s="6"/>
      <c r="H25" s="7">
        <v>11</v>
      </c>
      <c r="I25" s="6"/>
      <c r="J25" s="6"/>
      <c r="K25" s="6">
        <v>0</v>
      </c>
      <c r="L25" s="6"/>
      <c r="M25" s="6"/>
      <c r="N25" s="7">
        <v>7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Drew</v>
      </c>
      <c r="B26" s="2" t="str">
        <f>_xlfn.IFNA(VLOOKUP($B$19&amp;ROWS($B$21:B26),Rosters!$B$2:$D$163,3,0),"?")</f>
        <v>Lokeni</v>
      </c>
      <c r="C26" s="2">
        <f>_xlfn.IFNA(VLOOKUP($B$19&amp;ROWS($C$21:C26),Rosters!$B$2:$E$163,4,0),"")</f>
        <v>7</v>
      </c>
      <c r="D26" s="8"/>
      <c r="E26" s="8">
        <v>0</v>
      </c>
      <c r="F26" s="8"/>
      <c r="G26" s="8"/>
      <c r="H26" s="9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Mason</v>
      </c>
      <c r="B27" s="6" t="str">
        <f>_xlfn.IFNA(VLOOKUP($B$19&amp;ROWS($B$21:B27),Rosters!$B$2:$D$163,3,0),"?")</f>
        <v>Sawyer</v>
      </c>
      <c r="C27" s="6">
        <f>_xlfn.IFNA(VLOOKUP($B$19&amp;ROWS($C$21:C27),Rosters!$B$2:$E$163,4,0),"")</f>
        <v>4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Adam</v>
      </c>
      <c r="B28" s="2" t="str">
        <f>_xlfn.IFNA(VLOOKUP($B$19&amp;ROWS($B$21:B28),Rosters!$B$2:$D$163,3,0),"?")</f>
        <v>Egan</v>
      </c>
      <c r="C28" s="2">
        <f>_xlfn.IFNA(VLOOKUP($B$19&amp;ROWS($C$21:C28),Rosters!$B$2:$E$163,4,0),"")</f>
        <v>13</v>
      </c>
      <c r="D28" s="8"/>
      <c r="E28" s="8">
        <v>0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Tony</v>
      </c>
      <c r="B29" s="6" t="str">
        <f>_xlfn.IFNA(VLOOKUP($B$19&amp;ROWS($B$21:B29),Rosters!$B$2:$D$163,3,0),"?")</f>
        <v>Roberts</v>
      </c>
      <c r="C29" s="6">
        <f>_xlfn.IFNA(VLOOKUP($B$19&amp;ROWS($C$21:C29),Rosters!$B$2:$E$163,4,0),"")</f>
        <v>21</v>
      </c>
      <c r="D29" s="6"/>
      <c r="E29" s="7">
        <v>1</v>
      </c>
      <c r="F29" s="6"/>
      <c r="G29" s="6"/>
      <c r="H29" s="7">
        <v>1</v>
      </c>
      <c r="I29" s="6"/>
      <c r="J29" s="6"/>
      <c r="K29" s="6">
        <v>0</v>
      </c>
      <c r="L29" s="6"/>
      <c r="M29" s="6"/>
      <c r="N29" s="7">
        <v>3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13" t="s">
        <v>217</v>
      </c>
      <c r="B30" s="13" t="s">
        <v>218</v>
      </c>
      <c r="C30" s="2">
        <v>10</v>
      </c>
      <c r="D30" s="8"/>
      <c r="E30" s="8">
        <v>0</v>
      </c>
      <c r="F30" s="8"/>
      <c r="G30" s="8"/>
      <c r="H30" s="9">
        <v>7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?</v>
      </c>
      <c r="B31" s="6" t="str">
        <f>_xlfn.IFNA(VLOOKUP($B$19&amp;ROWS($B$21:B31),Rosters!$B$2:$D$163,3,0),"?")</f>
        <v>?</v>
      </c>
      <c r="C31" s="6" t="str">
        <f>_xlfn.IFNA(VLOOKUP($B$19&amp;ROWS($C$21:C31),Rosters!$B$2:$E$163,4,0),"")</f>
        <v/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2" t="str">
        <f>_xlfn.IFNA(VLOOKUP($B$19&amp;ROWS($C$21:C32),Rosters!$B$2:$E$163,4,0),"")</f>
        <v/>
      </c>
      <c r="D32" s="8"/>
      <c r="E32" s="8">
        <v>0</v>
      </c>
      <c r="F32" s="8"/>
      <c r="G32" s="8"/>
      <c r="H32" s="8">
        <v>0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5</v>
      </c>
      <c r="H36" s="2">
        <f>SUM(H21:H35)</f>
        <v>31</v>
      </c>
      <c r="K36" s="2">
        <f>SUM(K21:K35)</f>
        <v>6</v>
      </c>
      <c r="N36" s="2">
        <f>SUM(N21:N35)</f>
        <v>19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18</v>
      </c>
      <c r="B1" s="11" t="s">
        <v>19</v>
      </c>
      <c r="C1" s="2" t="s">
        <v>2</v>
      </c>
      <c r="D1" s="2" t="s">
        <v>3</v>
      </c>
      <c r="E1" s="2" t="s">
        <v>20</v>
      </c>
      <c r="G1" s="11" t="s">
        <v>21</v>
      </c>
    </row>
    <row r="2" spans="1:7" ht="15.75" customHeight="1" x14ac:dyDescent="0.2">
      <c r="A2" s="2" t="s">
        <v>16</v>
      </c>
      <c r="B2" s="11" t="str">
        <f t="shared" ref="B2:B102" si="0">A2&amp;COUNTIF($A$2:$A2,A2)</f>
        <v>Team Egan1</v>
      </c>
      <c r="C2" s="2" t="s">
        <v>22</v>
      </c>
      <c r="D2" s="2" t="s">
        <v>23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16</v>
      </c>
      <c r="B3" s="11" t="str">
        <f t="shared" si="0"/>
        <v>Team Egan2</v>
      </c>
      <c r="C3" s="2" t="s">
        <v>24</v>
      </c>
      <c r="D3" s="2" t="s">
        <v>25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16</v>
      </c>
      <c r="B4" s="11" t="str">
        <f t="shared" si="0"/>
        <v>Team Egan3</v>
      </c>
      <c r="C4" s="2" t="s">
        <v>26</v>
      </c>
      <c r="D4" s="2" t="s">
        <v>27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16</v>
      </c>
      <c r="B5" s="11" t="str">
        <f t="shared" si="0"/>
        <v>Team Egan4</v>
      </c>
      <c r="C5" s="2" t="s">
        <v>28</v>
      </c>
      <c r="D5" s="2" t="s">
        <v>29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16</v>
      </c>
      <c r="B6" s="11" t="str">
        <f t="shared" si="0"/>
        <v>Team Egan5</v>
      </c>
      <c r="C6" s="2" t="s">
        <v>30</v>
      </c>
      <c r="D6" s="2" t="s">
        <v>31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16</v>
      </c>
      <c r="B7" s="11" t="str">
        <f t="shared" si="0"/>
        <v>Team Egan6</v>
      </c>
      <c r="C7" s="2" t="s">
        <v>32</v>
      </c>
      <c r="D7" s="2" t="s">
        <v>33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16</v>
      </c>
      <c r="B8" s="11" t="str">
        <f t="shared" si="0"/>
        <v>Team Egan7</v>
      </c>
      <c r="C8" s="2" t="s">
        <v>34</v>
      </c>
      <c r="D8" s="2" t="s">
        <v>35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16</v>
      </c>
      <c r="B9" s="11" t="str">
        <f t="shared" si="0"/>
        <v>Team Egan8</v>
      </c>
      <c r="C9" s="2" t="s">
        <v>36</v>
      </c>
      <c r="D9" s="2" t="s">
        <v>37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16</v>
      </c>
      <c r="B10" s="11" t="str">
        <f t="shared" si="0"/>
        <v>Team Egan9</v>
      </c>
      <c r="C10" s="2" t="s">
        <v>38</v>
      </c>
      <c r="D10" s="2" t="s">
        <v>39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40</v>
      </c>
      <c r="B11" s="11" t="str">
        <f t="shared" si="0"/>
        <v>Team Covington1</v>
      </c>
      <c r="C11" s="2" t="s">
        <v>41</v>
      </c>
      <c r="D11" s="2" t="s">
        <v>42</v>
      </c>
      <c r="E11" s="2">
        <v>34</v>
      </c>
      <c r="G11" s="11"/>
    </row>
    <row r="12" spans="1:7" ht="15.75" customHeight="1" x14ac:dyDescent="0.2">
      <c r="A12" s="2" t="s">
        <v>40</v>
      </c>
      <c r="B12" s="11" t="str">
        <f t="shared" si="0"/>
        <v>Team Covington2</v>
      </c>
      <c r="C12" s="2" t="s">
        <v>43</v>
      </c>
      <c r="D12" s="2" t="s">
        <v>44</v>
      </c>
      <c r="E12" s="2">
        <v>4</v>
      </c>
      <c r="G12" s="11"/>
    </row>
    <row r="13" spans="1:7" ht="15.75" customHeight="1" x14ac:dyDescent="0.2">
      <c r="A13" s="2" t="s">
        <v>40</v>
      </c>
      <c r="B13" s="11" t="str">
        <f t="shared" si="0"/>
        <v>Team Covington3</v>
      </c>
      <c r="C13" s="2" t="s">
        <v>45</v>
      </c>
      <c r="D13" s="2" t="s">
        <v>46</v>
      </c>
      <c r="E13" s="2">
        <v>21</v>
      </c>
      <c r="G13" s="11"/>
    </row>
    <row r="14" spans="1:7" ht="15.75" customHeight="1" x14ac:dyDescent="0.2">
      <c r="A14" s="2" t="s">
        <v>40</v>
      </c>
      <c r="B14" s="11" t="str">
        <f t="shared" si="0"/>
        <v>Team Covington4</v>
      </c>
      <c r="C14" s="2" t="s">
        <v>47</v>
      </c>
      <c r="D14" s="2" t="s">
        <v>48</v>
      </c>
      <c r="E14" s="2">
        <v>87</v>
      </c>
      <c r="G14" s="11"/>
    </row>
    <row r="15" spans="1:7" ht="15.75" customHeight="1" x14ac:dyDescent="0.2">
      <c r="A15" s="2" t="s">
        <v>40</v>
      </c>
      <c r="B15" s="11" t="str">
        <f t="shared" si="0"/>
        <v>Team Covington5</v>
      </c>
      <c r="C15" s="2" t="s">
        <v>49</v>
      </c>
      <c r="D15" s="2" t="s">
        <v>50</v>
      </c>
      <c r="E15" s="2">
        <v>23</v>
      </c>
      <c r="G15" s="11"/>
    </row>
    <row r="16" spans="1:7" ht="15.75" customHeight="1" x14ac:dyDescent="0.2">
      <c r="A16" s="2" t="s">
        <v>40</v>
      </c>
      <c r="B16" s="11" t="str">
        <f t="shared" si="0"/>
        <v>Team Covington6</v>
      </c>
      <c r="C16" s="2" t="s">
        <v>51</v>
      </c>
      <c r="D16" s="2" t="s">
        <v>52</v>
      </c>
      <c r="E16" s="2">
        <v>2</v>
      </c>
      <c r="G16" s="11"/>
    </row>
    <row r="17" spans="1:7" ht="15.75" customHeight="1" x14ac:dyDescent="0.2">
      <c r="A17" s="2" t="s">
        <v>40</v>
      </c>
      <c r="B17" s="11" t="str">
        <f t="shared" si="0"/>
        <v>Team Covington7</v>
      </c>
      <c r="C17" s="2" t="s">
        <v>53</v>
      </c>
      <c r="D17" s="2" t="s">
        <v>54</v>
      </c>
      <c r="E17" s="2">
        <v>10</v>
      </c>
      <c r="G17" s="11"/>
    </row>
    <row r="18" spans="1:7" ht="15.75" customHeight="1" x14ac:dyDescent="0.2">
      <c r="A18" s="2" t="s">
        <v>40</v>
      </c>
      <c r="B18" s="11" t="str">
        <f t="shared" si="0"/>
        <v>Team Covington8</v>
      </c>
      <c r="C18" s="2" t="s">
        <v>55</v>
      </c>
      <c r="D18" s="2" t="s">
        <v>56</v>
      </c>
      <c r="E18" s="2">
        <v>25</v>
      </c>
      <c r="G18" s="11"/>
    </row>
    <row r="19" spans="1:7" ht="15.75" customHeight="1" x14ac:dyDescent="0.2">
      <c r="A19" s="2" t="s">
        <v>40</v>
      </c>
      <c r="B19" s="11" t="str">
        <f t="shared" si="0"/>
        <v>Team Covington9</v>
      </c>
      <c r="C19" s="2" t="s">
        <v>57</v>
      </c>
      <c r="D19" s="2" t="s">
        <v>58</v>
      </c>
      <c r="E19" s="2">
        <v>3</v>
      </c>
      <c r="G19" s="11"/>
    </row>
    <row r="20" spans="1:7" ht="15.75" customHeight="1" x14ac:dyDescent="0.2">
      <c r="A20" s="2" t="s">
        <v>40</v>
      </c>
      <c r="B20" s="11" t="str">
        <f t="shared" si="0"/>
        <v>Team Covington10</v>
      </c>
      <c r="C20" s="2" t="s">
        <v>58</v>
      </c>
      <c r="D20" s="2" t="s">
        <v>59</v>
      </c>
      <c r="E20" s="2">
        <v>33</v>
      </c>
      <c r="G20" s="11"/>
    </row>
    <row r="21" spans="1:7" ht="15.75" customHeight="1" x14ac:dyDescent="0.2">
      <c r="A21" s="2" t="s">
        <v>40</v>
      </c>
      <c r="B21" s="11" t="str">
        <f t="shared" si="0"/>
        <v>Team Covington11</v>
      </c>
      <c r="C21" s="2" t="s">
        <v>60</v>
      </c>
      <c r="D21" s="2" t="s">
        <v>61</v>
      </c>
      <c r="E21" s="2">
        <v>16</v>
      </c>
      <c r="G21" s="11"/>
    </row>
    <row r="22" spans="1:7" ht="15.75" customHeight="1" x14ac:dyDescent="0.2">
      <c r="A22" s="2" t="s">
        <v>40</v>
      </c>
      <c r="B22" s="11" t="str">
        <f t="shared" si="0"/>
        <v>Team Covington12</v>
      </c>
      <c r="C22" s="2" t="s">
        <v>43</v>
      </c>
      <c r="D22" s="2" t="s">
        <v>62</v>
      </c>
      <c r="E22" s="2">
        <v>14</v>
      </c>
      <c r="G22" s="11"/>
    </row>
    <row r="23" spans="1:7" ht="15.75" customHeight="1" x14ac:dyDescent="0.2">
      <c r="A23" s="2" t="s">
        <v>63</v>
      </c>
      <c r="B23" s="11" t="str">
        <f t="shared" si="0"/>
        <v>Team Drisdom1</v>
      </c>
      <c r="C23" s="2" t="s">
        <v>64</v>
      </c>
      <c r="D23" s="2" t="s">
        <v>65</v>
      </c>
      <c r="E23" s="2">
        <v>7</v>
      </c>
      <c r="G23" s="11"/>
    </row>
    <row r="24" spans="1:7" ht="15.75" customHeight="1" x14ac:dyDescent="0.2">
      <c r="A24" s="2" t="s">
        <v>63</v>
      </c>
      <c r="B24" s="11" t="str">
        <f t="shared" si="0"/>
        <v>Team Drisdom2</v>
      </c>
      <c r="C24" s="2" t="s">
        <v>66</v>
      </c>
      <c r="D24" s="2" t="s">
        <v>67</v>
      </c>
      <c r="E24" s="2">
        <v>5</v>
      </c>
      <c r="G24" s="11"/>
    </row>
    <row r="25" spans="1:7" ht="15.75" customHeight="1" x14ac:dyDescent="0.2">
      <c r="A25" s="2" t="s">
        <v>63</v>
      </c>
      <c r="B25" s="11" t="str">
        <f t="shared" si="0"/>
        <v>Team Drisdom3</v>
      </c>
      <c r="C25" s="2" t="s">
        <v>68</v>
      </c>
      <c r="D25" s="2" t="s">
        <v>50</v>
      </c>
      <c r="E25" s="2">
        <v>10</v>
      </c>
      <c r="G25" s="11"/>
    </row>
    <row r="26" spans="1:7" ht="15.75" customHeight="1" x14ac:dyDescent="0.2">
      <c r="A26" s="2" t="s">
        <v>63</v>
      </c>
      <c r="B26" s="11" t="str">
        <f t="shared" si="0"/>
        <v>Team Drisdom4</v>
      </c>
      <c r="C26" s="2" t="s">
        <v>69</v>
      </c>
      <c r="D26" s="2" t="s">
        <v>70</v>
      </c>
      <c r="E26" s="2">
        <v>11</v>
      </c>
      <c r="G26" s="11"/>
    </row>
    <row r="27" spans="1:7" ht="15.75" customHeight="1" x14ac:dyDescent="0.2">
      <c r="A27" s="2" t="s">
        <v>63</v>
      </c>
      <c r="B27" s="11" t="str">
        <f t="shared" si="0"/>
        <v>Team Drisdom5</v>
      </c>
      <c r="C27" s="2" t="s">
        <v>71</v>
      </c>
      <c r="D27" s="2" t="s">
        <v>70</v>
      </c>
      <c r="E27" s="2">
        <v>2</v>
      </c>
      <c r="G27" s="11"/>
    </row>
    <row r="28" spans="1:7" ht="15.75" customHeight="1" x14ac:dyDescent="0.2">
      <c r="A28" s="2" t="s">
        <v>63</v>
      </c>
      <c r="B28" s="11" t="str">
        <f t="shared" si="0"/>
        <v>Team Drisdom6</v>
      </c>
      <c r="C28" s="2" t="s">
        <v>55</v>
      </c>
      <c r="D28" s="2" t="s">
        <v>72</v>
      </c>
      <c r="E28" s="2">
        <v>0</v>
      </c>
      <c r="G28" s="11"/>
    </row>
    <row r="29" spans="1:7" ht="15.75" customHeight="1" x14ac:dyDescent="0.2">
      <c r="A29" s="2" t="s">
        <v>63</v>
      </c>
      <c r="B29" s="11" t="str">
        <f t="shared" si="0"/>
        <v>Team Drisdom7</v>
      </c>
      <c r="C29" s="2" t="s">
        <v>73</v>
      </c>
      <c r="D29" s="2" t="s">
        <v>65</v>
      </c>
      <c r="E29" s="2">
        <v>13</v>
      </c>
      <c r="G29" s="11"/>
    </row>
    <row r="30" spans="1:7" ht="15.75" customHeight="1" x14ac:dyDescent="0.2">
      <c r="A30" s="2" t="s">
        <v>63</v>
      </c>
      <c r="B30" s="11" t="str">
        <f t="shared" si="0"/>
        <v>Team Drisdom8</v>
      </c>
      <c r="C30" s="2" t="s">
        <v>74</v>
      </c>
      <c r="D30" s="2" t="s">
        <v>75</v>
      </c>
      <c r="E30" s="2">
        <v>1</v>
      </c>
      <c r="G30" s="11"/>
    </row>
    <row r="31" spans="1:7" ht="15.75" customHeight="1" x14ac:dyDescent="0.2">
      <c r="A31" s="2" t="s">
        <v>63</v>
      </c>
      <c r="B31" s="11" t="str">
        <f t="shared" si="0"/>
        <v>Team Drisdom9</v>
      </c>
      <c r="C31" s="2" t="s">
        <v>76</v>
      </c>
      <c r="D31" s="2" t="s">
        <v>77</v>
      </c>
      <c r="E31" s="2">
        <v>4</v>
      </c>
      <c r="G31" s="11"/>
    </row>
    <row r="32" spans="1:7" ht="15.75" customHeight="1" x14ac:dyDescent="0.2">
      <c r="A32" s="2" t="s">
        <v>63</v>
      </c>
      <c r="B32" s="11" t="str">
        <f t="shared" si="0"/>
        <v>Team Drisdom10</v>
      </c>
      <c r="C32" s="2" t="s">
        <v>78</v>
      </c>
      <c r="D32" s="2" t="s">
        <v>79</v>
      </c>
      <c r="E32" s="2">
        <v>6</v>
      </c>
      <c r="G32" s="11"/>
    </row>
    <row r="33" spans="1:7" ht="15.75" customHeight="1" x14ac:dyDescent="0.2">
      <c r="A33" s="2" t="s">
        <v>63</v>
      </c>
      <c r="B33" s="11" t="str">
        <f t="shared" si="0"/>
        <v>Team Drisdom11</v>
      </c>
      <c r="C33" s="2" t="s">
        <v>80</v>
      </c>
      <c r="D33" s="2" t="s">
        <v>81</v>
      </c>
      <c r="E33" s="2">
        <v>20</v>
      </c>
      <c r="G33" s="11"/>
    </row>
    <row r="34" spans="1:7" ht="15.75" customHeight="1" x14ac:dyDescent="0.2">
      <c r="A34" s="2" t="s">
        <v>14</v>
      </c>
      <c r="B34" s="11" t="str">
        <f t="shared" si="0"/>
        <v>Team Bullock1</v>
      </c>
      <c r="C34" s="2" t="s">
        <v>82</v>
      </c>
      <c r="D34" s="2" t="s">
        <v>83</v>
      </c>
      <c r="E34" s="2">
        <v>3</v>
      </c>
      <c r="G34" s="11"/>
    </row>
    <row r="35" spans="1:7" ht="15.75" customHeight="1" x14ac:dyDescent="0.2">
      <c r="A35" s="2" t="s">
        <v>14</v>
      </c>
      <c r="B35" s="11" t="str">
        <f t="shared" si="0"/>
        <v>Team Bullock2</v>
      </c>
      <c r="C35" s="2" t="s">
        <v>84</v>
      </c>
      <c r="D35" s="2" t="s">
        <v>85</v>
      </c>
      <c r="E35" s="2">
        <v>21</v>
      </c>
      <c r="G35" s="11"/>
    </row>
    <row r="36" spans="1:7" ht="15.75" customHeight="1" x14ac:dyDescent="0.2">
      <c r="A36" s="2" t="s">
        <v>14</v>
      </c>
      <c r="B36" s="11" t="str">
        <f t="shared" si="0"/>
        <v>Team Bullock3</v>
      </c>
      <c r="C36" s="2" t="s">
        <v>86</v>
      </c>
      <c r="D36" s="2" t="s">
        <v>87</v>
      </c>
      <c r="E36" s="2">
        <v>15</v>
      </c>
      <c r="G36" s="11"/>
    </row>
    <row r="37" spans="1:7" ht="15.75" customHeight="1" x14ac:dyDescent="0.2">
      <c r="A37" s="2" t="s">
        <v>14</v>
      </c>
      <c r="B37" s="11" t="str">
        <f t="shared" si="0"/>
        <v>Team Bullock4</v>
      </c>
      <c r="C37" s="2" t="s">
        <v>88</v>
      </c>
      <c r="D37" s="2" t="s">
        <v>89</v>
      </c>
      <c r="E37" s="2">
        <v>5</v>
      </c>
      <c r="G37" s="11"/>
    </row>
    <row r="38" spans="1:7" ht="15.75" customHeight="1" x14ac:dyDescent="0.2">
      <c r="A38" s="2" t="s">
        <v>14</v>
      </c>
      <c r="B38" s="11" t="str">
        <f t="shared" si="0"/>
        <v>Team Bullock5</v>
      </c>
      <c r="C38" s="2" t="s">
        <v>90</v>
      </c>
      <c r="D38" s="2" t="s">
        <v>91</v>
      </c>
      <c r="E38" s="2">
        <v>7</v>
      </c>
      <c r="G38" s="11"/>
    </row>
    <row r="39" spans="1:7" ht="15.75" customHeight="1" x14ac:dyDescent="0.2">
      <c r="A39" s="2" t="s">
        <v>14</v>
      </c>
      <c r="B39" s="11" t="str">
        <f t="shared" si="0"/>
        <v>Team Bullock6</v>
      </c>
      <c r="C39" s="2" t="s">
        <v>92</v>
      </c>
      <c r="D39" s="2" t="s">
        <v>93</v>
      </c>
      <c r="E39" s="2">
        <v>24</v>
      </c>
      <c r="G39" s="11"/>
    </row>
    <row r="40" spans="1:7" ht="15.75" customHeight="1" x14ac:dyDescent="0.2">
      <c r="A40" s="2" t="s">
        <v>14</v>
      </c>
      <c r="B40" s="11" t="str">
        <f t="shared" si="0"/>
        <v>Team Bullock7</v>
      </c>
      <c r="C40" s="2" t="s">
        <v>94</v>
      </c>
      <c r="D40" s="2" t="s">
        <v>95</v>
      </c>
      <c r="E40" s="2">
        <v>8</v>
      </c>
      <c r="G40" s="11"/>
    </row>
    <row r="41" spans="1:7" ht="15.75" customHeight="1" x14ac:dyDescent="0.2">
      <c r="A41" s="2" t="s">
        <v>14</v>
      </c>
      <c r="B41" s="11" t="str">
        <f t="shared" si="0"/>
        <v>Team Bullock8</v>
      </c>
      <c r="C41" s="2" t="s">
        <v>96</v>
      </c>
      <c r="D41" s="2" t="s">
        <v>97</v>
      </c>
      <c r="E41" s="2">
        <v>20</v>
      </c>
      <c r="G41" s="11"/>
    </row>
    <row r="42" spans="1:7" ht="15.75" customHeight="1" x14ac:dyDescent="0.2">
      <c r="A42" s="2" t="s">
        <v>14</v>
      </c>
      <c r="B42" s="11" t="str">
        <f t="shared" si="0"/>
        <v>Team Bullock9</v>
      </c>
      <c r="C42" s="2" t="s">
        <v>98</v>
      </c>
      <c r="D42" s="2" t="s">
        <v>99</v>
      </c>
      <c r="E42" s="2">
        <v>22</v>
      </c>
      <c r="G42" s="11"/>
    </row>
    <row r="43" spans="1:7" ht="15.75" customHeight="1" x14ac:dyDescent="0.2">
      <c r="A43" s="2" t="s">
        <v>14</v>
      </c>
      <c r="B43" s="11" t="str">
        <f t="shared" si="0"/>
        <v>Team Bullock10</v>
      </c>
      <c r="C43" s="2" t="s">
        <v>100</v>
      </c>
      <c r="D43" s="2" t="s">
        <v>101</v>
      </c>
      <c r="E43" s="2">
        <v>23</v>
      </c>
      <c r="G43" s="11"/>
    </row>
    <row r="44" spans="1:7" ht="15.75" customHeight="1" x14ac:dyDescent="0.2">
      <c r="A44" s="2" t="s">
        <v>14</v>
      </c>
      <c r="B44" s="11" t="str">
        <f t="shared" si="0"/>
        <v>Team Bullock11</v>
      </c>
      <c r="C44" s="2" t="s">
        <v>102</v>
      </c>
      <c r="D44" s="2" t="s">
        <v>103</v>
      </c>
      <c r="E44" s="2">
        <v>12</v>
      </c>
      <c r="G44" s="11"/>
    </row>
    <row r="45" spans="1:7" ht="15.75" customHeight="1" x14ac:dyDescent="0.2">
      <c r="A45" s="2" t="s">
        <v>14</v>
      </c>
      <c r="B45" s="11" t="str">
        <f t="shared" si="0"/>
        <v>Team Bullock12</v>
      </c>
      <c r="C45" s="2" t="s">
        <v>104</v>
      </c>
      <c r="D45" s="2" t="s">
        <v>105</v>
      </c>
      <c r="E45" s="2">
        <v>23</v>
      </c>
      <c r="G45" s="11"/>
    </row>
    <row r="46" spans="1:7" ht="15.75" customHeight="1" x14ac:dyDescent="0.2">
      <c r="A46" s="2" t="s">
        <v>106</v>
      </c>
      <c r="B46" s="11" t="str">
        <f t="shared" si="0"/>
        <v>Team Erickson1</v>
      </c>
      <c r="C46" s="2" t="s">
        <v>107</v>
      </c>
      <c r="D46" s="2" t="s">
        <v>108</v>
      </c>
      <c r="E46" s="2">
        <v>20</v>
      </c>
      <c r="G46" s="11"/>
    </row>
    <row r="47" spans="1:7" ht="15.75" customHeight="1" x14ac:dyDescent="0.2">
      <c r="A47" s="2" t="s">
        <v>106</v>
      </c>
      <c r="B47" s="11" t="str">
        <f t="shared" si="0"/>
        <v>Team Erickson2</v>
      </c>
      <c r="C47" s="2" t="s">
        <v>109</v>
      </c>
      <c r="D47" s="2" t="s">
        <v>110</v>
      </c>
      <c r="E47" s="2">
        <v>3</v>
      </c>
      <c r="G47" s="11"/>
    </row>
    <row r="48" spans="1:7" ht="15.75" customHeight="1" x14ac:dyDescent="0.2">
      <c r="A48" s="2" t="s">
        <v>106</v>
      </c>
      <c r="B48" s="11" t="str">
        <f t="shared" si="0"/>
        <v>Team Erickson3</v>
      </c>
      <c r="C48" s="2" t="s">
        <v>111</v>
      </c>
      <c r="D48" s="2" t="s">
        <v>112</v>
      </c>
      <c r="E48" s="2">
        <v>5</v>
      </c>
      <c r="G48" s="11"/>
    </row>
    <row r="49" spans="1:7" ht="15.75" customHeight="1" x14ac:dyDescent="0.2">
      <c r="A49" s="2" t="s">
        <v>106</v>
      </c>
      <c r="B49" s="11" t="str">
        <f t="shared" si="0"/>
        <v>Team Erickson4</v>
      </c>
      <c r="C49" s="2" t="s">
        <v>113</v>
      </c>
      <c r="D49" s="2" t="s">
        <v>114</v>
      </c>
      <c r="E49" s="2">
        <v>30</v>
      </c>
      <c r="G49" s="11"/>
    </row>
    <row r="50" spans="1:7" ht="15.75" customHeight="1" x14ac:dyDescent="0.2">
      <c r="A50" s="2" t="s">
        <v>106</v>
      </c>
      <c r="B50" s="11" t="str">
        <f t="shared" si="0"/>
        <v>Team Erickson5</v>
      </c>
      <c r="C50" s="2" t="s">
        <v>115</v>
      </c>
      <c r="D50" s="2" t="s">
        <v>116</v>
      </c>
      <c r="E50" s="2">
        <v>4</v>
      </c>
      <c r="G50" s="11"/>
    </row>
    <row r="51" spans="1:7" ht="15.75" customHeight="1" x14ac:dyDescent="0.2">
      <c r="A51" s="2" t="s">
        <v>106</v>
      </c>
      <c r="B51" s="11" t="str">
        <f t="shared" si="0"/>
        <v>Team Erickson6</v>
      </c>
      <c r="C51" s="2" t="s">
        <v>107</v>
      </c>
      <c r="D51" s="2" t="s">
        <v>117</v>
      </c>
      <c r="E51" s="2">
        <v>13</v>
      </c>
      <c r="G51" s="11"/>
    </row>
    <row r="52" spans="1:7" ht="15.75" customHeight="1" x14ac:dyDescent="0.2">
      <c r="A52" s="2" t="s">
        <v>106</v>
      </c>
      <c r="B52" s="11" t="str">
        <f t="shared" si="0"/>
        <v>Team Erickson7</v>
      </c>
      <c r="C52" s="2" t="s">
        <v>118</v>
      </c>
      <c r="D52" s="2" t="s">
        <v>119</v>
      </c>
      <c r="E52" s="2">
        <v>0</v>
      </c>
      <c r="G52" s="11"/>
    </row>
    <row r="53" spans="1:7" ht="15.75" customHeight="1" x14ac:dyDescent="0.2">
      <c r="A53" s="2" t="s">
        <v>106</v>
      </c>
      <c r="B53" s="11" t="str">
        <f t="shared" si="0"/>
        <v>Team Erickson8</v>
      </c>
      <c r="C53" s="2" t="s">
        <v>120</v>
      </c>
      <c r="D53" s="2" t="s">
        <v>121</v>
      </c>
      <c r="E53" s="2">
        <v>35</v>
      </c>
      <c r="G53" s="11"/>
    </row>
    <row r="54" spans="1:7" ht="15.75" customHeight="1" x14ac:dyDescent="0.2">
      <c r="A54" s="2" t="s">
        <v>122</v>
      </c>
      <c r="B54" s="11" t="str">
        <f t="shared" si="0"/>
        <v>Team Joyce1</v>
      </c>
      <c r="C54" s="2" t="s">
        <v>123</v>
      </c>
      <c r="D54" s="2" t="s">
        <v>124</v>
      </c>
      <c r="E54" s="2">
        <v>34</v>
      </c>
      <c r="G54" s="11"/>
    </row>
    <row r="55" spans="1:7" ht="15.75" customHeight="1" x14ac:dyDescent="0.2">
      <c r="A55" s="2" t="s">
        <v>122</v>
      </c>
      <c r="B55" s="11" t="str">
        <f t="shared" si="0"/>
        <v>Team Joyce2</v>
      </c>
      <c r="C55" s="2" t="s">
        <v>125</v>
      </c>
      <c r="D55" s="2" t="s">
        <v>126</v>
      </c>
      <c r="E55" s="2">
        <v>0</v>
      </c>
      <c r="G55" s="11"/>
    </row>
    <row r="56" spans="1:7" ht="15.75" customHeight="1" x14ac:dyDescent="0.2">
      <c r="A56" s="2" t="s">
        <v>122</v>
      </c>
      <c r="B56" s="11" t="str">
        <f t="shared" si="0"/>
        <v>Team Joyce3</v>
      </c>
      <c r="C56" s="2" t="s">
        <v>127</v>
      </c>
      <c r="D56" s="2" t="s">
        <v>128</v>
      </c>
      <c r="E56" s="2">
        <v>23</v>
      </c>
      <c r="G56" s="11"/>
    </row>
    <row r="57" spans="1:7" ht="15.75" customHeight="1" x14ac:dyDescent="0.2">
      <c r="A57" s="2" t="s">
        <v>122</v>
      </c>
      <c r="B57" s="11" t="str">
        <f t="shared" si="0"/>
        <v>Team Joyce4</v>
      </c>
      <c r="C57" s="2" t="s">
        <v>129</v>
      </c>
      <c r="D57" s="2" t="s">
        <v>130</v>
      </c>
      <c r="E57" s="2">
        <v>3</v>
      </c>
      <c r="G57" s="11"/>
    </row>
    <row r="58" spans="1:7" ht="15.75" customHeight="1" x14ac:dyDescent="0.2">
      <c r="A58" s="2" t="s">
        <v>122</v>
      </c>
      <c r="B58" s="11" t="str">
        <f t="shared" si="0"/>
        <v>Team Joyce5</v>
      </c>
      <c r="C58" s="2" t="s">
        <v>131</v>
      </c>
      <c r="D58" s="2" t="s">
        <v>132</v>
      </c>
      <c r="E58" s="2">
        <v>35</v>
      </c>
      <c r="G58" s="11"/>
    </row>
    <row r="59" spans="1:7" ht="15.75" customHeight="1" x14ac:dyDescent="0.2">
      <c r="A59" s="2" t="s">
        <v>122</v>
      </c>
      <c r="B59" s="11" t="str">
        <f t="shared" si="0"/>
        <v>Team Joyce6</v>
      </c>
      <c r="C59" s="2" t="s">
        <v>133</v>
      </c>
      <c r="D59" s="2" t="s">
        <v>134</v>
      </c>
      <c r="E59" s="2">
        <v>31</v>
      </c>
      <c r="G59" s="11"/>
    </row>
    <row r="60" spans="1:7" ht="15.75" customHeight="1" x14ac:dyDescent="0.2">
      <c r="A60" s="2" t="s">
        <v>122</v>
      </c>
      <c r="B60" s="11" t="str">
        <f t="shared" si="0"/>
        <v>Team Joyce7</v>
      </c>
      <c r="C60" s="2" t="s">
        <v>135</v>
      </c>
      <c r="D60" s="2" t="s">
        <v>136</v>
      </c>
      <c r="E60" s="2">
        <v>21</v>
      </c>
      <c r="G60" s="11"/>
    </row>
    <row r="61" spans="1:7" ht="15.75" customHeight="1" x14ac:dyDescent="0.2">
      <c r="A61" s="2" t="s">
        <v>122</v>
      </c>
      <c r="B61" s="11" t="str">
        <f t="shared" si="0"/>
        <v>Team Joyce8</v>
      </c>
      <c r="C61" s="2" t="s">
        <v>137</v>
      </c>
      <c r="D61" s="2" t="s">
        <v>138</v>
      </c>
      <c r="E61" s="2">
        <v>11</v>
      </c>
      <c r="G61" s="11"/>
    </row>
    <row r="62" spans="1:7" ht="15.75" customHeight="1" x14ac:dyDescent="0.2">
      <c r="A62" s="2" t="s">
        <v>122</v>
      </c>
      <c r="B62" s="11" t="str">
        <f t="shared" si="0"/>
        <v>Team Joyce9</v>
      </c>
      <c r="C62" s="2" t="s">
        <v>139</v>
      </c>
      <c r="D62" s="2" t="s">
        <v>140</v>
      </c>
      <c r="E62" s="2">
        <v>24</v>
      </c>
      <c r="G62" s="11"/>
    </row>
    <row r="63" spans="1:7" ht="15.75" customHeight="1" x14ac:dyDescent="0.2">
      <c r="A63" s="2" t="s">
        <v>122</v>
      </c>
      <c r="B63" s="11" t="str">
        <f t="shared" si="0"/>
        <v>Team Joyce10</v>
      </c>
      <c r="C63" s="2" t="s">
        <v>141</v>
      </c>
      <c r="D63" s="2" t="s">
        <v>142</v>
      </c>
      <c r="E63" s="2">
        <v>1</v>
      </c>
      <c r="G63" s="11"/>
    </row>
    <row r="64" spans="1:7" ht="15.75" customHeight="1" x14ac:dyDescent="0.2">
      <c r="A64" s="2" t="s">
        <v>122</v>
      </c>
      <c r="B64" s="11" t="str">
        <f t="shared" si="0"/>
        <v>Team Joyce11</v>
      </c>
      <c r="C64" s="2" t="s">
        <v>143</v>
      </c>
      <c r="D64" s="2" t="s">
        <v>144</v>
      </c>
      <c r="E64" s="2">
        <v>10</v>
      </c>
      <c r="G64" s="11"/>
    </row>
    <row r="65" spans="1:7" ht="15.75" customHeight="1" x14ac:dyDescent="0.2">
      <c r="A65" s="2" t="s">
        <v>145</v>
      </c>
      <c r="B65" s="11" t="str">
        <f t="shared" si="0"/>
        <v>Team Berger1</v>
      </c>
      <c r="C65" s="2" t="s">
        <v>146</v>
      </c>
      <c r="D65" s="2" t="s">
        <v>77</v>
      </c>
      <c r="E65" s="2">
        <v>60</v>
      </c>
      <c r="G65" s="11"/>
    </row>
    <row r="66" spans="1:7" ht="15.75" customHeight="1" x14ac:dyDescent="0.2">
      <c r="A66" s="2" t="s">
        <v>145</v>
      </c>
      <c r="B66" s="11" t="str">
        <f t="shared" si="0"/>
        <v>Team Berger2</v>
      </c>
      <c r="C66" s="2" t="s">
        <v>147</v>
      </c>
      <c r="D66" s="2" t="s">
        <v>148</v>
      </c>
      <c r="E66" s="12">
        <v>7</v>
      </c>
      <c r="G66" s="11"/>
    </row>
    <row r="67" spans="1:7" ht="15.75" customHeight="1" x14ac:dyDescent="0.2">
      <c r="A67" s="2" t="s">
        <v>145</v>
      </c>
      <c r="B67" s="11" t="str">
        <f t="shared" si="0"/>
        <v>Team Berger3</v>
      </c>
      <c r="C67" s="2" t="s">
        <v>149</v>
      </c>
      <c r="D67" s="2" t="s">
        <v>150</v>
      </c>
      <c r="E67" s="2">
        <v>12</v>
      </c>
      <c r="G67" s="11"/>
    </row>
    <row r="68" spans="1:7" ht="15.75" customHeight="1" x14ac:dyDescent="0.2">
      <c r="A68" s="2" t="s">
        <v>145</v>
      </c>
      <c r="B68" s="11" t="str">
        <f t="shared" si="0"/>
        <v>Team Berger4</v>
      </c>
      <c r="C68" s="2" t="s">
        <v>151</v>
      </c>
      <c r="D68" s="2" t="s">
        <v>152</v>
      </c>
      <c r="E68" s="2">
        <v>99</v>
      </c>
      <c r="G68" s="11"/>
    </row>
    <row r="69" spans="1:7" ht="15.75" customHeight="1" x14ac:dyDescent="0.2">
      <c r="A69" s="2" t="s">
        <v>145</v>
      </c>
      <c r="B69" s="11" t="str">
        <f t="shared" si="0"/>
        <v>Team Berger5</v>
      </c>
      <c r="C69" s="2" t="s">
        <v>153</v>
      </c>
      <c r="D69" s="2" t="s">
        <v>154</v>
      </c>
      <c r="E69" s="2">
        <v>33</v>
      </c>
      <c r="G69" s="11"/>
    </row>
    <row r="70" spans="1:7" ht="15.75" customHeight="1" x14ac:dyDescent="0.2">
      <c r="A70" s="2" t="s">
        <v>145</v>
      </c>
      <c r="B70" s="11" t="str">
        <f t="shared" si="0"/>
        <v>Team Berger6</v>
      </c>
      <c r="C70" s="2" t="s">
        <v>155</v>
      </c>
      <c r="D70" s="2" t="s">
        <v>156</v>
      </c>
      <c r="E70" s="2">
        <v>24</v>
      </c>
      <c r="G70" s="11"/>
    </row>
    <row r="71" spans="1:7" ht="15.75" customHeight="1" x14ac:dyDescent="0.2">
      <c r="A71" s="2" t="s">
        <v>145</v>
      </c>
      <c r="B71" s="11" t="str">
        <f t="shared" si="0"/>
        <v>Team Berger7</v>
      </c>
      <c r="C71" s="2" t="s">
        <v>157</v>
      </c>
      <c r="D71" s="2" t="s">
        <v>158</v>
      </c>
      <c r="E71" s="2">
        <v>21</v>
      </c>
      <c r="G71" s="11"/>
    </row>
    <row r="72" spans="1:7" ht="15.75" customHeight="1" x14ac:dyDescent="0.2">
      <c r="A72" s="2" t="s">
        <v>145</v>
      </c>
      <c r="B72" s="11" t="str">
        <f t="shared" si="0"/>
        <v>Team Berger8</v>
      </c>
      <c r="C72" s="2" t="s">
        <v>159</v>
      </c>
      <c r="D72" s="2" t="s">
        <v>160</v>
      </c>
      <c r="E72" s="2">
        <v>15</v>
      </c>
      <c r="G72" s="11"/>
    </row>
    <row r="73" spans="1:7" ht="15.75" customHeight="1" x14ac:dyDescent="0.2">
      <c r="A73" s="2" t="s">
        <v>145</v>
      </c>
      <c r="B73" s="11" t="str">
        <f t="shared" si="0"/>
        <v>Team Berger9</v>
      </c>
      <c r="C73" s="2" t="s">
        <v>161</v>
      </c>
      <c r="D73" s="2" t="s">
        <v>162</v>
      </c>
      <c r="E73" s="2">
        <v>2</v>
      </c>
      <c r="G73" s="11"/>
    </row>
    <row r="74" spans="1:7" ht="15.75" customHeight="1" x14ac:dyDescent="0.2">
      <c r="A74" s="2" t="s">
        <v>145</v>
      </c>
      <c r="B74" s="11" t="str">
        <f t="shared" si="0"/>
        <v>Team Berger10</v>
      </c>
      <c r="C74" s="2" t="s">
        <v>163</v>
      </c>
      <c r="D74" s="2" t="s">
        <v>164</v>
      </c>
      <c r="E74" s="2">
        <v>6</v>
      </c>
      <c r="G74" s="11"/>
    </row>
    <row r="75" spans="1:7" ht="15.75" customHeight="1" x14ac:dyDescent="0.2">
      <c r="A75" s="2" t="s">
        <v>145</v>
      </c>
      <c r="B75" s="11" t="str">
        <f t="shared" si="0"/>
        <v>Team Berger11</v>
      </c>
      <c r="C75" s="2" t="s">
        <v>165</v>
      </c>
      <c r="D75" s="2" t="s">
        <v>166</v>
      </c>
      <c r="G75" s="11"/>
    </row>
    <row r="76" spans="1:7" ht="15.75" customHeight="1" x14ac:dyDescent="0.2">
      <c r="A76" s="2" t="s">
        <v>167</v>
      </c>
      <c r="B76" s="11" t="str">
        <f t="shared" si="0"/>
        <v>Team Stan1</v>
      </c>
      <c r="C76" s="2" t="s">
        <v>168</v>
      </c>
      <c r="D76" s="2" t="s">
        <v>114</v>
      </c>
      <c r="E76" s="2">
        <v>0</v>
      </c>
      <c r="G76" s="11"/>
    </row>
    <row r="77" spans="1:7" ht="15.75" customHeight="1" x14ac:dyDescent="0.2">
      <c r="A77" s="2" t="s">
        <v>167</v>
      </c>
      <c r="B77" s="11" t="str">
        <f t="shared" si="0"/>
        <v>Team Stan2</v>
      </c>
      <c r="C77" s="2" t="s">
        <v>169</v>
      </c>
      <c r="D77" s="2" t="s">
        <v>170</v>
      </c>
      <c r="E77" s="2">
        <v>32</v>
      </c>
      <c r="G77" s="11"/>
    </row>
    <row r="78" spans="1:7" ht="15.75" customHeight="1" x14ac:dyDescent="0.2">
      <c r="A78" s="2" t="s">
        <v>167</v>
      </c>
      <c r="B78" s="11" t="str">
        <f t="shared" si="0"/>
        <v>Team Stan3</v>
      </c>
      <c r="C78" s="2" t="s">
        <v>171</v>
      </c>
      <c r="D78" s="2" t="s">
        <v>172</v>
      </c>
      <c r="E78" s="2">
        <v>1</v>
      </c>
      <c r="G78" s="11"/>
    </row>
    <row r="79" spans="1:7" ht="15.75" customHeight="1" x14ac:dyDescent="0.2">
      <c r="A79" s="2" t="s">
        <v>167</v>
      </c>
      <c r="B79" s="11" t="str">
        <f t="shared" si="0"/>
        <v>Team Stan4</v>
      </c>
      <c r="C79" s="2" t="s">
        <v>173</v>
      </c>
      <c r="D79" s="2" t="s">
        <v>174</v>
      </c>
      <c r="E79" s="2">
        <v>5</v>
      </c>
      <c r="G79" s="11"/>
    </row>
    <row r="80" spans="1:7" ht="15.75" customHeight="1" x14ac:dyDescent="0.2">
      <c r="A80" s="2" t="s">
        <v>167</v>
      </c>
      <c r="B80" s="11" t="str">
        <f t="shared" si="0"/>
        <v>Team Stan5</v>
      </c>
      <c r="C80" s="2" t="s">
        <v>175</v>
      </c>
      <c r="D80" s="2" t="s">
        <v>176</v>
      </c>
      <c r="E80" s="2">
        <v>2</v>
      </c>
      <c r="G80" s="11"/>
    </row>
    <row r="81" spans="1:7" ht="15.75" customHeight="1" x14ac:dyDescent="0.2">
      <c r="A81" s="2" t="s">
        <v>167</v>
      </c>
      <c r="B81" s="11" t="str">
        <f t="shared" si="0"/>
        <v>Team Stan6</v>
      </c>
      <c r="C81" s="2" t="s">
        <v>177</v>
      </c>
      <c r="D81" s="2" t="s">
        <v>178</v>
      </c>
      <c r="E81" s="2">
        <v>11</v>
      </c>
      <c r="G81" s="11"/>
    </row>
    <row r="82" spans="1:7" ht="15.75" customHeight="1" x14ac:dyDescent="0.2">
      <c r="A82" s="2" t="s">
        <v>167</v>
      </c>
      <c r="B82" s="11" t="str">
        <f t="shared" si="0"/>
        <v>Team Stan7</v>
      </c>
      <c r="C82" s="2" t="s">
        <v>179</v>
      </c>
      <c r="D82" s="2" t="s">
        <v>180</v>
      </c>
      <c r="E82" s="2">
        <v>20</v>
      </c>
      <c r="G82" s="11"/>
    </row>
    <row r="83" spans="1:7" ht="15.75" customHeight="1" x14ac:dyDescent="0.2">
      <c r="A83" s="2" t="s">
        <v>167</v>
      </c>
      <c r="B83" s="11" t="str">
        <f t="shared" si="0"/>
        <v>Team Stan8</v>
      </c>
      <c r="C83" s="2" t="s">
        <v>181</v>
      </c>
      <c r="D83" s="2" t="s">
        <v>182</v>
      </c>
      <c r="E83" s="2">
        <v>59</v>
      </c>
      <c r="G83" s="11"/>
    </row>
    <row r="84" spans="1:7" ht="15.75" customHeight="1" x14ac:dyDescent="0.2">
      <c r="A84" s="2" t="s">
        <v>167</v>
      </c>
      <c r="B84" s="11" t="str">
        <f t="shared" si="0"/>
        <v>Team Stan9</v>
      </c>
      <c r="C84" s="2" t="s">
        <v>183</v>
      </c>
      <c r="D84" s="2" t="s">
        <v>184</v>
      </c>
      <c r="E84" s="2">
        <v>35</v>
      </c>
      <c r="G84" s="11"/>
    </row>
    <row r="85" spans="1:7" ht="15.75" customHeight="1" x14ac:dyDescent="0.2">
      <c r="A85" s="2" t="s">
        <v>167</v>
      </c>
      <c r="B85" s="11" t="str">
        <f t="shared" si="0"/>
        <v>Team Stan10</v>
      </c>
      <c r="C85" s="2" t="s">
        <v>185</v>
      </c>
      <c r="D85" s="2" t="s">
        <v>186</v>
      </c>
      <c r="E85" s="2">
        <v>3</v>
      </c>
      <c r="G85" s="11"/>
    </row>
    <row r="86" spans="1:7" ht="15.75" customHeight="1" x14ac:dyDescent="0.2">
      <c r="A86" s="2" t="s">
        <v>167</v>
      </c>
      <c r="B86" s="11" t="str">
        <f t="shared" si="0"/>
        <v>Team Stan11</v>
      </c>
      <c r="C86" s="2" t="s">
        <v>187</v>
      </c>
      <c r="D86" s="2" t="s">
        <v>188</v>
      </c>
      <c r="E86" s="2">
        <v>20</v>
      </c>
      <c r="G86" s="11"/>
    </row>
    <row r="87" spans="1:7" ht="15.75" customHeight="1" x14ac:dyDescent="0.2">
      <c r="A87" s="2" t="s">
        <v>167</v>
      </c>
      <c r="B87" s="11" t="str">
        <f t="shared" si="0"/>
        <v>Team Stan12</v>
      </c>
      <c r="C87" s="2" t="s">
        <v>189</v>
      </c>
      <c r="D87" s="2" t="s">
        <v>190</v>
      </c>
      <c r="E87" s="2">
        <v>24</v>
      </c>
      <c r="G87" s="11"/>
    </row>
    <row r="88" spans="1:7" ht="15.75" customHeight="1" x14ac:dyDescent="0.2">
      <c r="A88" s="2" t="s">
        <v>167</v>
      </c>
      <c r="B88" s="11" t="str">
        <f t="shared" si="0"/>
        <v>Team Stan13</v>
      </c>
      <c r="C88" s="2" t="s">
        <v>191</v>
      </c>
      <c r="D88" s="2" t="s">
        <v>192</v>
      </c>
      <c r="G88" s="11"/>
    </row>
    <row r="89" spans="1:7" ht="15.75" customHeight="1" x14ac:dyDescent="0.2">
      <c r="A89" s="2" t="s">
        <v>193</v>
      </c>
      <c r="B89" s="11" t="str">
        <f t="shared" si="0"/>
        <v>Team Humpherys1</v>
      </c>
      <c r="C89" s="2" t="s">
        <v>194</v>
      </c>
      <c r="D89" s="2" t="s">
        <v>195</v>
      </c>
      <c r="E89" s="2">
        <v>23</v>
      </c>
      <c r="G89" s="11"/>
    </row>
    <row r="90" spans="1:7" ht="15.75" customHeight="1" x14ac:dyDescent="0.2">
      <c r="A90" s="2" t="s">
        <v>193</v>
      </c>
      <c r="B90" s="11" t="str">
        <f t="shared" si="0"/>
        <v>Team Humpherys2</v>
      </c>
      <c r="C90" s="2" t="s">
        <v>196</v>
      </c>
      <c r="D90" s="2" t="s">
        <v>197</v>
      </c>
      <c r="E90" s="2">
        <v>20</v>
      </c>
      <c r="G90" s="11"/>
    </row>
    <row r="91" spans="1:7" ht="15.75" customHeight="1" x14ac:dyDescent="0.2">
      <c r="A91" s="2" t="s">
        <v>193</v>
      </c>
      <c r="B91" s="11" t="str">
        <f t="shared" si="0"/>
        <v>Team Humpherys3</v>
      </c>
      <c r="C91" s="2" t="s">
        <v>198</v>
      </c>
      <c r="D91" s="2" t="s">
        <v>126</v>
      </c>
      <c r="E91" s="2">
        <v>13</v>
      </c>
      <c r="G91" s="11"/>
    </row>
    <row r="92" spans="1:7" ht="15.75" customHeight="1" x14ac:dyDescent="0.2">
      <c r="A92" s="2" t="s">
        <v>193</v>
      </c>
      <c r="B92" s="11" t="str">
        <f t="shared" si="0"/>
        <v>Team Humpherys4</v>
      </c>
      <c r="C92" s="2" t="s">
        <v>118</v>
      </c>
      <c r="D92" s="2" t="s">
        <v>199</v>
      </c>
      <c r="E92" s="2">
        <v>11</v>
      </c>
      <c r="G92" s="11"/>
    </row>
    <row r="93" spans="1:7" ht="15.75" customHeight="1" x14ac:dyDescent="0.2">
      <c r="A93" s="2" t="s">
        <v>193</v>
      </c>
      <c r="B93" s="11" t="str">
        <f t="shared" si="0"/>
        <v>Team Humpherys5</v>
      </c>
      <c r="C93" s="2" t="s">
        <v>200</v>
      </c>
      <c r="D93" s="2" t="s">
        <v>201</v>
      </c>
      <c r="E93" s="2">
        <v>3</v>
      </c>
      <c r="G93" s="11"/>
    </row>
    <row r="94" spans="1:7" ht="15.75" customHeight="1" x14ac:dyDescent="0.2">
      <c r="A94" s="2" t="s">
        <v>193</v>
      </c>
      <c r="B94" s="11" t="str">
        <f t="shared" si="0"/>
        <v>Team Humpherys6</v>
      </c>
      <c r="C94" s="2" t="s">
        <v>202</v>
      </c>
      <c r="D94" s="2" t="s">
        <v>203</v>
      </c>
      <c r="E94" s="2">
        <v>55</v>
      </c>
      <c r="G94" s="11"/>
    </row>
    <row r="95" spans="1:7" ht="15.75" customHeight="1" x14ac:dyDescent="0.2">
      <c r="A95" s="2" t="s">
        <v>193</v>
      </c>
      <c r="B95" s="11" t="str">
        <f t="shared" si="0"/>
        <v>Team Humpherys7</v>
      </c>
      <c r="C95" s="2" t="s">
        <v>204</v>
      </c>
      <c r="D95" s="2" t="s">
        <v>177</v>
      </c>
      <c r="E95" s="2">
        <v>99</v>
      </c>
      <c r="G95" s="11"/>
    </row>
    <row r="96" spans="1:7" ht="15.75" customHeight="1" x14ac:dyDescent="0.2">
      <c r="A96" s="2" t="s">
        <v>193</v>
      </c>
      <c r="B96" s="11" t="str">
        <f t="shared" si="0"/>
        <v>Team Humpherys8</v>
      </c>
      <c r="C96" s="2" t="s">
        <v>205</v>
      </c>
      <c r="D96" s="2" t="s">
        <v>206</v>
      </c>
      <c r="E96" s="2">
        <v>22</v>
      </c>
      <c r="G96" s="11"/>
    </row>
    <row r="97" spans="1:7" ht="15.75" customHeight="1" x14ac:dyDescent="0.2">
      <c r="A97" s="2" t="s">
        <v>193</v>
      </c>
      <c r="B97" s="11" t="str">
        <f t="shared" si="0"/>
        <v>Team Humpherys9</v>
      </c>
      <c r="C97" s="2" t="s">
        <v>207</v>
      </c>
      <c r="D97" s="2" t="s">
        <v>208</v>
      </c>
      <c r="E97" s="2">
        <v>32</v>
      </c>
      <c r="G97" s="11"/>
    </row>
    <row r="98" spans="1:7" ht="15.75" customHeight="1" x14ac:dyDescent="0.2">
      <c r="A98" s="2" t="s">
        <v>193</v>
      </c>
      <c r="B98" s="11" t="str">
        <f t="shared" si="0"/>
        <v>Team Humpherys10</v>
      </c>
      <c r="C98" s="2" t="s">
        <v>209</v>
      </c>
      <c r="D98" s="2" t="s">
        <v>210</v>
      </c>
      <c r="E98" s="2">
        <v>31</v>
      </c>
      <c r="G98" s="11"/>
    </row>
    <row r="99" spans="1:7" ht="15.75" customHeight="1" x14ac:dyDescent="0.2">
      <c r="A99" s="2" t="s">
        <v>193</v>
      </c>
      <c r="B99" s="11" t="str">
        <f t="shared" si="0"/>
        <v>Team Humpherys11</v>
      </c>
      <c r="C99" s="2" t="s">
        <v>135</v>
      </c>
      <c r="D99" s="2" t="s">
        <v>114</v>
      </c>
      <c r="E99" s="2">
        <v>5</v>
      </c>
      <c r="G99" s="11"/>
    </row>
    <row r="100" spans="1:7" ht="15.75" customHeight="1" x14ac:dyDescent="0.2">
      <c r="A100" s="2" t="s">
        <v>193</v>
      </c>
      <c r="B100" s="11" t="str">
        <f t="shared" si="0"/>
        <v>Team Humpherys12</v>
      </c>
      <c r="C100" s="2" t="s">
        <v>211</v>
      </c>
      <c r="D100" s="2" t="s">
        <v>212</v>
      </c>
      <c r="E100" s="2">
        <v>9</v>
      </c>
      <c r="G100" s="11"/>
    </row>
    <row r="101" spans="1:7" ht="15.75" customHeight="1" x14ac:dyDescent="0.2">
      <c r="A101" s="2" t="s">
        <v>193</v>
      </c>
      <c r="B101" s="11" t="str">
        <f t="shared" si="0"/>
        <v>Team Humpherys13</v>
      </c>
      <c r="C101" s="2" t="s">
        <v>213</v>
      </c>
      <c r="D101" s="2" t="s">
        <v>214</v>
      </c>
      <c r="E101" s="2">
        <v>4</v>
      </c>
      <c r="G101" s="11"/>
    </row>
    <row r="102" spans="1:7" ht="15.75" customHeight="1" x14ac:dyDescent="0.2">
      <c r="A102" s="2" t="s">
        <v>193</v>
      </c>
      <c r="B102" s="11" t="str">
        <f t="shared" si="0"/>
        <v>Team Humpherys14</v>
      </c>
      <c r="C102" s="2" t="s">
        <v>215</v>
      </c>
      <c r="D102" s="2" t="s">
        <v>216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2022-06-30T18:12:45Z</dcterms:modified>
</cp:coreProperties>
</file>