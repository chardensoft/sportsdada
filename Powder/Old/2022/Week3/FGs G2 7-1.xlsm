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2T200157Z-001/"/>
    </mc:Choice>
  </mc:AlternateContent>
  <xr:revisionPtr revIDLastSave="0" documentId="13_ncr:1_{53CD101E-8181-0E41-9700-6C14D71D70E8}" xr6:coauthVersionLast="47" xr6:coauthVersionMax="47" xr10:uidLastSave="{00000000-0000-0000-0000-000000000000}"/>
  <bookViews>
    <workbookView xWindow="46480" yWindow="-3100" windowWidth="20720" windowHeight="210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L18" i="2" s="1"/>
  <c r="N38" i="1"/>
  <c r="N20" i="1"/>
  <c r="K38" i="1"/>
  <c r="K20" i="1"/>
  <c r="H38" i="1"/>
  <c r="H20" i="1"/>
  <c r="E38" i="1"/>
  <c r="E20" i="1"/>
  <c r="L37" i="2" l="1"/>
  <c r="K37" i="2"/>
  <c r="J37" i="2"/>
  <c r="K18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C35" i="1"/>
  <c r="H34" i="2" s="1"/>
  <c r="A33" i="1"/>
  <c r="F32" i="2" s="1"/>
  <c r="B30" i="1"/>
  <c r="G29" i="2" s="1"/>
  <c r="C27" i="1"/>
  <c r="H26" i="2" s="1"/>
  <c r="A25" i="1"/>
  <c r="F24" i="2" s="1"/>
  <c r="A16" i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H9" i="2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<sst xmlns="http://schemas.openxmlformats.org/spreadsheetml/2006/main" count="356" uniqueCount="222">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</sst>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11" sqref="H1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Drisdom</v>
      </c>
    </row>
    <row r="2" spans="2:12" x14ac:dyDescent="0.2">
      <c r="B2" t="str">
        <f>G1</f>
        <v>Team Drisdom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112</v>
      </c>
      <c r="C3" s="3" t="s">
        <v>13</v>
      </c>
      <c r="D3" s="4">
        <f>I37</f>
        <v>102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10</v>
      </c>
      <c r="J3" t="str">
        <f>SUM('Stats G2'!H5+'Stats G2'!N5)&amp;"-"&amp;SUM('Stats G2'!E5+'Stats G2'!K5)</f>
        <v>3-8</v>
      </c>
      <c r="K3" t="str">
        <f>SUM('Stats G2'!N5)&amp;"-"&amp;SUM('Stats G2'!K5)</f>
        <v>1-4</v>
      </c>
      <c r="L3" t="str">
        <f>SUM('Stats G2'!T5)&amp;"-"&amp;SUM('Stats G2'!Q5)</f>
        <v>3-3</v>
      </c>
    </row>
    <row r="4" spans="2:12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6</v>
      </c>
      <c r="J4" t="str">
        <f>SUM('Stats G2'!H6+'Stats G2'!N6)&amp;"-"&amp;SUM('Stats G2'!E6+'Stats G2'!K6)</f>
        <v>3-7</v>
      </c>
      <c r="K4" t="str">
        <f>SUM('Stats G2'!N6)&amp;"-"&amp;SUM('Stats G2'!K6)</f>
        <v>0-4</v>
      </c>
      <c r="L4" t="str">
        <f>SUM('Stats G2'!T6)&amp;"-"&amp;SUM('Stats G2'!Q6)</f>
        <v>0-0</v>
      </c>
    </row>
    <row r="5" spans="2:12" x14ac:dyDescent="0.2">
      <c r="F5" t="str">
        <f>'Stats G2'!A7</f>
        <v>Tre</v>
      </c>
      <c r="G5" t="str">
        <f>'Stats G2'!B7</f>
        <v>Smith</v>
      </c>
      <c r="H5">
        <f>'Stats G2'!C7</f>
        <v>10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17</v>
      </c>
      <c r="J6" t="str">
        <f>SUM('Stats G2'!H8+'Stats G2'!N8)&amp;"-"&amp;SUM('Stats G2'!E8+'Stats G2'!K8)</f>
        <v>6-13</v>
      </c>
      <c r="K6" t="str">
        <f>SUM('Stats G2'!N8)&amp;"-"&amp;SUM('Stats G2'!K8)</f>
        <v>5-12</v>
      </c>
      <c r="L6" t="str">
        <f>SUM('Stats G2'!T8)&amp;"-"&amp;SUM('Stats G2'!Q8)</f>
        <v>0-0</v>
      </c>
    </row>
    <row r="7" spans="2:12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38</v>
      </c>
      <c r="J7" t="str">
        <f>SUM('Stats G2'!H9+'Stats G2'!N9)&amp;"-"&amp;SUM('Stats G2'!E9+'Stats G2'!K9)</f>
        <v>16-25</v>
      </c>
      <c r="K7" t="str">
        <f>SUM('Stats G2'!N9)&amp;"-"&amp;SUM('Stats G2'!K9)</f>
        <v>1-5</v>
      </c>
      <c r="L7" t="str">
        <f>SUM('Stats G2'!T9)&amp;"-"&amp;SUM('Stats G2'!Q9)</f>
        <v>5-7</v>
      </c>
    </row>
    <row r="8" spans="2:12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Shaun</v>
      </c>
      <c r="G9" t="str">
        <f>'Stats G2'!B11</f>
        <v>Green</v>
      </c>
      <c r="H9">
        <f>'Stats G2'!C11</f>
        <v>8</v>
      </c>
      <c r="I9">
        <f>'Stats G2'!H11*2+'Stats G2'!N11*3+'Stats G2'!T11</f>
        <v>24</v>
      </c>
      <c r="J9" t="str">
        <f>SUM('Stats G2'!H11+'Stats G2'!N11)&amp;"-"&amp;SUM('Stats G2'!E11+'Stats G2'!K11)</f>
        <v>8-17</v>
      </c>
      <c r="K9" t="str">
        <f>SUM('Stats G2'!N11)&amp;"-"&amp;SUM('Stats G2'!K11)</f>
        <v>4-10</v>
      </c>
      <c r="L9" t="str">
        <f>SUM('Stats G2'!T11)&amp;"-"&amp;SUM('Stats G2'!Q11)</f>
        <v>4-4</v>
      </c>
    </row>
    <row r="10" spans="2:12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14</v>
      </c>
      <c r="J10" t="str">
        <f>SUM('Stats G2'!H12+'Stats G2'!N12)&amp;"-"&amp;SUM('Stats G2'!E12+'Stats G2'!K12)</f>
        <v>7-9</v>
      </c>
      <c r="K10" t="str">
        <f>SUM('Stats G2'!N12)&amp;"-"&amp;SUM('Stats G2'!K12)</f>
        <v>0-1</v>
      </c>
      <c r="L10" t="str">
        <f>SUM('Stats G2'!T12)&amp;"-"&amp;SUM('Stats G2'!Q12)</f>
        <v>0-2</v>
      </c>
    </row>
    <row r="11" spans="2:12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">
        <v>104</v>
      </c>
      <c r="G14" t="s">
        <v>75</v>
      </c>
      <c r="H14">
        <f>'Stats G2'!C16</f>
        <v>3</v>
      </c>
      <c r="I14">
        <f>'Stats G2'!H16*2+'Stats G2'!N16*3+'Stats G2'!T16</f>
        <v>3</v>
      </c>
      <c r="J14" t="str">
        <f>SUM('Stats G2'!H16+'Stats G2'!N16)&amp;"-"&amp;SUM('Stats G2'!E16+'Stats G2'!K16)</f>
        <v>1-5</v>
      </c>
      <c r="K14" t="str">
        <f>SUM('Stats G2'!N16)&amp;"-"&amp;SUM('Stats G2'!K16)</f>
        <v>0-3</v>
      </c>
      <c r="L14" t="str">
        <f>SUM('Stats G2'!T16)&amp;"-"&amp;SUM('Stats G2'!Q16)</f>
        <v>1-2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112</v>
      </c>
      <c r="J18" t="str">
        <f>SUM('Stats G2'!H20+'Stats G2'!N20)&amp;"-"&amp;SUM('Stats G2'!E20+'Stats G2'!K20)</f>
        <v>44-84</v>
      </c>
      <c r="K18" t="str">
        <f>SUM('Stats G2'!N20)&amp;"-"&amp;SUM('Stats G2'!K20)</f>
        <v>11-39</v>
      </c>
      <c r="L18" t="str">
        <f>SUM('Stats G2'!T20)&amp;"-"&amp;SUM('Stats G2'!Q20)</f>
        <v>13-18</v>
      </c>
    </row>
    <row r="20" spans="6:12" x14ac:dyDescent="0.2">
      <c r="F20" t="s">
        <v>11</v>
      </c>
      <c r="G20" t="str">
        <f>'Stats G2'!B21</f>
        <v>Team Stan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3</v>
      </c>
      <c r="J22" t="str">
        <f>SUM('Stats G2'!H23+'Stats G2'!N23)&amp;"-"&amp;SUM('Stats G2'!E23+'Stats G2'!K23)</f>
        <v>1-5</v>
      </c>
      <c r="K22" t="str">
        <f>SUM('Stats G2'!N23)&amp;"-"&amp;SUM('Stats G2'!K23)</f>
        <v>0-2</v>
      </c>
      <c r="L22" t="str">
        <f>SUM('Stats G2'!T23)&amp;"-"&amp;SUM('Stats G2'!Q23)</f>
        <v>1-2</v>
      </c>
    </row>
    <row r="23" spans="6:12" x14ac:dyDescent="0.2">
      <c r="F23" t="str">
        <f>'Stats G2'!A24</f>
        <v>Ronald</v>
      </c>
      <c r="G23" t="str">
        <f>'Stats G2'!B24</f>
        <v>Leach</v>
      </c>
      <c r="H23">
        <f>'Stats G2'!C24</f>
        <v>32</v>
      </c>
      <c r="I23">
        <f>'Stats G2'!H24*2+'Stats G2'!N24*3+'Stats G2'!T24</f>
        <v>6</v>
      </c>
      <c r="J23" t="str">
        <f>SUM('Stats G2'!H24+'Stats G2'!N24)&amp;"-"&amp;SUM('Stats G2'!E24+'Stats G2'!K24)</f>
        <v>3-5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Brendan</v>
      </c>
      <c r="G24" t="str">
        <f>'Stats G2'!B25</f>
        <v>Bailey</v>
      </c>
      <c r="H24">
        <f>'Stats G2'!C25</f>
        <v>1</v>
      </c>
      <c r="I24">
        <f>'Stats G2'!H25*2+'Stats G2'!N25*3+'Stats G2'!T25</f>
        <v>28</v>
      </c>
      <c r="J24" t="str">
        <f>SUM('Stats G2'!H25+'Stats G2'!N25)&amp;"-"&amp;SUM('Stats G2'!E25+'Stats G2'!K25)</f>
        <v>10-19</v>
      </c>
      <c r="K24" t="str">
        <f>SUM('Stats G2'!N25)&amp;"-"&amp;SUM('Stats G2'!K25)</f>
        <v>6-10</v>
      </c>
      <c r="L24" t="str">
        <f>SUM('Stats G2'!T25)&amp;"-"&amp;SUM('Stats G2'!Q25)</f>
        <v>2-5</v>
      </c>
    </row>
    <row r="25" spans="6:12" x14ac:dyDescent="0.2">
      <c r="F25" t="str">
        <f>'Stats G2'!A26</f>
        <v>Zahir</v>
      </c>
      <c r="G25" t="str">
        <f>'Stats G2'!B26</f>
        <v>Porter</v>
      </c>
      <c r="H25">
        <f>'Stats G2'!C26</f>
        <v>5</v>
      </c>
      <c r="I25">
        <f>'Stats G2'!H26*2+'Stats G2'!N26*3+'Stats G2'!T26</f>
        <v>25</v>
      </c>
      <c r="J25" t="str">
        <f>SUM('Stats G2'!H26+'Stats G2'!N26)&amp;"-"&amp;SUM('Stats G2'!E26+'Stats G2'!K26)</f>
        <v>10-27</v>
      </c>
      <c r="K25" t="str">
        <f>SUM('Stats G2'!N26)&amp;"-"&amp;SUM('Stats G2'!K26)</f>
        <v>3-10</v>
      </c>
      <c r="L25" t="str">
        <f>SUM('Stats G2'!T26)&amp;"-"&amp;SUM('Stats G2'!Q26)</f>
        <v>2-3</v>
      </c>
    </row>
    <row r="26" spans="6:12" x14ac:dyDescent="0.2">
      <c r="F26" t="str">
        <f>'Stats G2'!A27</f>
        <v>Eli</v>
      </c>
      <c r="G26" t="str">
        <f>'Stats G2'!B27</f>
        <v>Davy</v>
      </c>
      <c r="H26">
        <f>'Stats G2'!C27</f>
        <v>2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Anthony</v>
      </c>
      <c r="G27" t="str">
        <f>'Stats G2'!B28</f>
        <v>Cox</v>
      </c>
      <c r="H27">
        <f>'Stats G2'!C28</f>
        <v>11</v>
      </c>
      <c r="I27">
        <f>'Stats G2'!H28*2+'Stats G2'!N28*3+'Stats G2'!T28</f>
        <v>10</v>
      </c>
      <c r="J27" t="str">
        <f>SUM('Stats G2'!H28+'Stats G2'!N28)&amp;"-"&amp;SUM('Stats G2'!E28+'Stats G2'!K28)</f>
        <v>4-7</v>
      </c>
      <c r="K27" t="str">
        <f>SUM('Stats G2'!N28)&amp;"-"&amp;SUM('Stats G2'!K28)</f>
        <v>2-2</v>
      </c>
      <c r="L27" t="str">
        <f>SUM('Stats G2'!T28)&amp;"-"&amp;SUM('Stats G2'!Q28)</f>
        <v>0-0</v>
      </c>
    </row>
    <row r="28" spans="6:12" x14ac:dyDescent="0.2">
      <c r="F28" t="str">
        <f>'Stats G2'!A29</f>
        <v>Xavier</v>
      </c>
      <c r="G28" t="str">
        <f>'Stats G2'!B29</f>
        <v>Sneed</v>
      </c>
      <c r="H28">
        <f>'Stats G2'!C29</f>
        <v>20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Rayjon</v>
      </c>
      <c r="G29" t="str">
        <f>'Stats G2'!B30</f>
        <v>Tucker</v>
      </c>
      <c r="H29">
        <f>'Stats G2'!C30</f>
        <v>59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Branden</v>
      </c>
      <c r="G30" t="str">
        <f>'Stats G2'!B31</f>
        <v>Carlon</v>
      </c>
      <c r="H30">
        <f>'Stats G2'!C31</f>
        <v>35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Quae</v>
      </c>
      <c r="G31" t="str">
        <f>'Stats G2'!B32</f>
        <v>Furlow</v>
      </c>
      <c r="H31">
        <f>'Stats G2'!C32</f>
        <v>3</v>
      </c>
      <c r="I31">
        <f>'Stats G2'!H32*2+'Stats G2'!N32*3+'Stats G2'!T32</f>
        <v>9</v>
      </c>
      <c r="J31" t="str">
        <f>SUM('Stats G2'!H32+'Stats G2'!N32)&amp;"-"&amp;SUM('Stats G2'!E32+'Stats G2'!K32)</f>
        <v>4-10</v>
      </c>
      <c r="K31" t="str">
        <f>SUM('Stats G2'!N32)&amp;"-"&amp;SUM('Stats G2'!K32)</f>
        <v>0-2</v>
      </c>
      <c r="L31" t="str">
        <f>SUM('Stats G2'!T32)&amp;"-"&amp;SUM('Stats G2'!Q32)</f>
        <v>1-1</v>
      </c>
    </row>
    <row r="32" spans="6:12" x14ac:dyDescent="0.2">
      <c r="F32" t="str">
        <f>'Stats G2'!A33</f>
        <v>Ibe</v>
      </c>
      <c r="G32" t="str">
        <f>'Stats G2'!B33</f>
        <v>Gerlach</v>
      </c>
      <c r="H32">
        <f>'Stats G2'!C33</f>
        <v>20</v>
      </c>
      <c r="I32">
        <f>'Stats G2'!H33*2+'Stats G2'!N33*3+'Stats G2'!T33</f>
        <v>7</v>
      </c>
      <c r="J32" t="str">
        <f>SUM('Stats G2'!H33+'Stats G2'!N33)&amp;"-"&amp;SUM('Stats G2'!E33+'Stats G2'!K33)</f>
        <v>2-9</v>
      </c>
      <c r="K32" t="str">
        <f>SUM('Stats G2'!N33)&amp;"-"&amp;SUM('Stats G2'!K33)</f>
        <v>0-3</v>
      </c>
      <c r="L32" t="str">
        <f>SUM('Stats G2'!T33)&amp;"-"&amp;SUM('Stats G2'!Q33)</f>
        <v>3-3</v>
      </c>
    </row>
    <row r="33" spans="6:12" x14ac:dyDescent="0.2">
      <c r="F33" t="str">
        <f>'Stats G2'!A34</f>
        <v>Justin</v>
      </c>
      <c r="G33" t="str">
        <f>'Stats G2'!B34</f>
        <v>Harmon</v>
      </c>
      <c r="H33">
        <f>'Stats G2'!C34</f>
        <v>1</v>
      </c>
      <c r="I33">
        <f>'Stats G2'!H34*2+'Stats G2'!N34*3+'Stats G2'!T34</f>
        <v>14</v>
      </c>
      <c r="J33" t="str">
        <f>SUM('Stats G2'!H34+'Stats G2'!N34)&amp;"-"&amp;SUM('Stats G2'!E34+'Stats G2'!K34)</f>
        <v>6-15</v>
      </c>
      <c r="K33" t="str">
        <f>SUM('Stats G2'!N34)&amp;"-"&amp;SUM('Stats G2'!K34)</f>
        <v>2-6</v>
      </c>
      <c r="L33" t="str">
        <f>SUM('Stats G2'!T34)&amp;"-"&amp;SUM('Stats G2'!Q34)</f>
        <v>0-0</v>
      </c>
    </row>
    <row r="34" spans="6:12" x14ac:dyDescent="0.2">
      <c r="F34" t="str">
        <f>'Stats G2'!A35</f>
        <v>KJ</v>
      </c>
      <c r="G34" t="str">
        <f>'Stats G2'!B35</f>
        <v>Cunningham</v>
      </c>
      <c r="H34">
        <f>'Stats G2'!C35</f>
        <v>0</v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102</v>
      </c>
      <c r="J37" t="str">
        <f>SUM('Stats G2'!H38+'Stats G2'!N38)&amp;"-"&amp;SUM('Stats G2'!E38+'Stats G2'!K38)</f>
        <v>40-97</v>
      </c>
      <c r="K37" t="str">
        <f>SUM('Stats G2'!N38)&amp;"-"&amp;SUM('Stats G2'!K38)</f>
        <v>13-35</v>
      </c>
      <c r="L37" t="str">
        <f>SUM('Stats G2'!T38)&amp;"-"&amp;SUM('Stats G2'!Q38)</f>
        <v>9-14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19" sqref="B19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68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 s="5">
        <v>4</v>
      </c>
      <c r="F5" s="5"/>
      <c r="G5" s="5"/>
      <c r="H5" s="5">
        <v>2</v>
      </c>
      <c r="I5" s="5"/>
      <c r="J5" s="5"/>
      <c r="K5" s="5">
        <v>4</v>
      </c>
      <c r="L5" s="5"/>
      <c r="M5" s="5"/>
      <c r="N5" s="5">
        <v>1</v>
      </c>
      <c r="O5" s="5"/>
      <c r="P5" s="5"/>
      <c r="Q5" s="5">
        <v>3</v>
      </c>
      <c r="R5" s="5"/>
      <c r="S5" s="5"/>
      <c r="T5" s="5">
        <v>3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 s="6">
        <v>3</v>
      </c>
      <c r="H6" s="6">
        <v>3</v>
      </c>
      <c r="K6" s="6">
        <v>4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Tre</v>
      </c>
      <c r="B7" s="5" t="str">
        <f>_xlfn.IFNA(VLOOKUP($B$3&amp;ROWS($B$5:B7),Rosters!$B$2:$D$163,3,0),"?")</f>
        <v>Smith</v>
      </c>
      <c r="C7" s="5">
        <f>_xlfn.IFNA(VLOOKUP($B$3&amp;ROWS($C$5:C7),Rosters!$B$2:$E$163,4,0),"")</f>
        <v>10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 s="6">
        <v>1</v>
      </c>
      <c r="H8" s="6">
        <v>1</v>
      </c>
      <c r="K8" s="6">
        <v>12</v>
      </c>
      <c r="N8" s="6">
        <v>5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 s="5">
        <v>20</v>
      </c>
      <c r="F9" s="5"/>
      <c r="G9" s="5"/>
      <c r="H9" s="5">
        <v>15</v>
      </c>
      <c r="I9" s="5"/>
      <c r="J9" s="5"/>
      <c r="K9" s="5">
        <v>5</v>
      </c>
      <c r="L9" s="5"/>
      <c r="M9" s="5"/>
      <c r="N9" s="5">
        <v>1</v>
      </c>
      <c r="O9" s="5"/>
      <c r="P9" s="5"/>
      <c r="Q9" s="5">
        <v>7</v>
      </c>
      <c r="R9" s="5"/>
      <c r="S9" s="5"/>
      <c r="T9" s="5">
        <v>5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v>8</v>
      </c>
      <c r="D11" s="5"/>
      <c r="E11" s="5">
        <v>7</v>
      </c>
      <c r="F11" s="5"/>
      <c r="G11" s="5"/>
      <c r="H11" s="5">
        <v>4</v>
      </c>
      <c r="I11" s="5"/>
      <c r="J11" s="5"/>
      <c r="K11" s="5">
        <v>10</v>
      </c>
      <c r="L11" s="5"/>
      <c r="M11" s="5"/>
      <c r="N11" s="5">
        <v>4</v>
      </c>
      <c r="O11" s="5"/>
      <c r="P11" s="5"/>
      <c r="Q11" s="5">
        <v>4</v>
      </c>
      <c r="R11" s="5"/>
      <c r="S11" s="5"/>
      <c r="T11" s="5">
        <v>4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 s="6">
        <v>8</v>
      </c>
      <c r="H12" s="6">
        <v>7</v>
      </c>
      <c r="K12" s="6">
        <v>1</v>
      </c>
      <c r="N12" s="6">
        <v>0</v>
      </c>
      <c r="Q12" s="6">
        <v>2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>
        <v>3</v>
      </c>
      <c r="E16" s="6">
        <v>2</v>
      </c>
      <c r="H16" s="6">
        <v>1</v>
      </c>
      <c r="K16" s="6">
        <v>3</v>
      </c>
      <c r="N16" s="6">
        <v>0</v>
      </c>
      <c r="Q16" s="6">
        <v>2</v>
      </c>
      <c r="T16" s="6">
        <v>1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45</v>
      </c>
      <c r="H20" s="6">
        <f>SUM(H5:H19)</f>
        <v>33</v>
      </c>
      <c r="K20" s="6">
        <f>SUM(K5:K19)</f>
        <v>39</v>
      </c>
      <c r="N20" s="6">
        <f>SUM(N5:N19)</f>
        <v>11</v>
      </c>
      <c r="Q20" s="6">
        <f>SUM(Q5:Q19)</f>
        <v>18</v>
      </c>
      <c r="T20" s="6">
        <f>SUM(T5:T19)</f>
        <v>13</v>
      </c>
      <c r="W20" s="6">
        <f>SUM(W5:W19)</f>
        <v>0</v>
      </c>
    </row>
    <row r="21" spans="1:24" x14ac:dyDescent="0.2">
      <c r="A21" s="2" t="s">
        <v>15</v>
      </c>
      <c r="B21" s="1" t="s">
        <v>171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Tone</v>
      </c>
      <c r="B23" s="5" t="str">
        <f>_xlfn.IFNA(VLOOKUP($B$21&amp;ROWS($B$23:B23),Rosters!$B$2:$D$163,3,0),"?")</f>
        <v>Anderson</v>
      </c>
      <c r="C23" s="5">
        <f>_xlfn.IFNA(VLOOKUP($B$21&amp;ROWS($C$23:C23),Rosters!$B$2:$E$163,4,0),"")</f>
        <v>0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2</v>
      </c>
      <c r="L23" s="5"/>
      <c r="M23" s="5"/>
      <c r="N23" s="5">
        <v>0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Ronald</v>
      </c>
      <c r="B24" t="str">
        <f>_xlfn.IFNA(VLOOKUP($B$21&amp;ROWS($B$23:B24),Rosters!$B$2:$D$163,3,0),"?")</f>
        <v>Leach</v>
      </c>
      <c r="C24">
        <f>_xlfn.IFNA(VLOOKUP($B$21&amp;ROWS($C$23:C24),Rosters!$B$2:$E$163,4,0),"")</f>
        <v>32</v>
      </c>
      <c r="D24" s="6"/>
      <c r="E24" s="6">
        <v>5</v>
      </c>
      <c r="F24" s="6"/>
      <c r="G24" s="6"/>
      <c r="H24" s="6">
        <v>3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Brendan</v>
      </c>
      <c r="B25" s="5" t="str">
        <f>_xlfn.IFNA(VLOOKUP($B$21&amp;ROWS($B$23:B25),Rosters!$B$2:$D$163,3,0),"?")</f>
        <v>Bailey</v>
      </c>
      <c r="C25" s="5">
        <f>_xlfn.IFNA(VLOOKUP($B$21&amp;ROWS($C$23:C25),Rosters!$B$2:$E$163,4,0),"")</f>
        <v>1</v>
      </c>
      <c r="D25" s="5"/>
      <c r="E25" s="5">
        <v>9</v>
      </c>
      <c r="F25" s="5"/>
      <c r="G25" s="5"/>
      <c r="H25" s="5">
        <v>4</v>
      </c>
      <c r="I25" s="5"/>
      <c r="J25" s="5"/>
      <c r="K25" s="5">
        <v>10</v>
      </c>
      <c r="L25" s="5"/>
      <c r="M25" s="5"/>
      <c r="N25" s="5">
        <v>6</v>
      </c>
      <c r="O25" s="5"/>
      <c r="P25" s="5"/>
      <c r="Q25" s="5">
        <v>5</v>
      </c>
      <c r="R25" s="5"/>
      <c r="S25" s="5"/>
      <c r="T25" s="5">
        <v>2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Zahir</v>
      </c>
      <c r="B26" t="str">
        <f>_xlfn.IFNA(VLOOKUP($B$21&amp;ROWS($B$23:B26),Rosters!$B$2:$D$163,3,0),"?")</f>
        <v>Porter</v>
      </c>
      <c r="C26">
        <f>_xlfn.IFNA(VLOOKUP($B$21&amp;ROWS($C$23:C26),Rosters!$B$2:$E$163,4,0),"")</f>
        <v>5</v>
      </c>
      <c r="D26" s="6"/>
      <c r="E26" s="6">
        <v>17</v>
      </c>
      <c r="F26" s="6"/>
      <c r="G26" s="6"/>
      <c r="H26" s="6">
        <v>7</v>
      </c>
      <c r="I26" s="6"/>
      <c r="J26" s="6"/>
      <c r="K26" s="6">
        <v>10</v>
      </c>
      <c r="L26" s="6"/>
      <c r="M26" s="6"/>
      <c r="N26" s="6">
        <v>3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Eli</v>
      </c>
      <c r="B27" s="5" t="str">
        <f>_xlfn.IFNA(VLOOKUP($B$21&amp;ROWS($B$23:B27),Rosters!$B$2:$D$163,3,0),"?")</f>
        <v>Davy</v>
      </c>
      <c r="C27" s="5">
        <f>_xlfn.IFNA(VLOOKUP($B$21&amp;ROWS($C$23:C27),Rosters!$B$2:$E$163,4,0),"")</f>
        <v>2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Anthony</v>
      </c>
      <c r="B28" t="str">
        <f>_xlfn.IFNA(VLOOKUP($B$21&amp;ROWS($B$23:B28),Rosters!$B$2:$D$163,3,0),"?")</f>
        <v>Cox</v>
      </c>
      <c r="C28">
        <f>_xlfn.IFNA(VLOOKUP($B$21&amp;ROWS($C$23:C28),Rosters!$B$2:$E$163,4,0),"")</f>
        <v>11</v>
      </c>
      <c r="D28" s="6"/>
      <c r="E28" s="6">
        <v>5</v>
      </c>
      <c r="F28" s="6"/>
      <c r="G28" s="6"/>
      <c r="H28" s="6">
        <v>2</v>
      </c>
      <c r="I28" s="6"/>
      <c r="J28" s="6"/>
      <c r="K28" s="6">
        <v>2</v>
      </c>
      <c r="L28" s="6"/>
      <c r="M28" s="6"/>
      <c r="N28" s="6">
        <v>2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Xavier</v>
      </c>
      <c r="B29" s="5" t="str">
        <f>_xlfn.IFNA(VLOOKUP($B$21&amp;ROWS($B$23:B29),Rosters!$B$2:$D$163,3,0),"?")</f>
        <v>Sneed</v>
      </c>
      <c r="C29" s="5">
        <f>_xlfn.IFNA(VLOOKUP($B$21&amp;ROWS($C$23:C29),Rosters!$B$2:$E$163,4,0),"")</f>
        <v>20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Rayjon</v>
      </c>
      <c r="B30" t="str">
        <f>_xlfn.IFNA(VLOOKUP($B$21&amp;ROWS($B$23:B30),Rosters!$B$2:$D$163,3,0),"?")</f>
        <v>Tucker</v>
      </c>
      <c r="C30">
        <f>_xlfn.IFNA(VLOOKUP($B$21&amp;ROWS($C$23:C30),Rosters!$B$2:$E$163,4,0),"")</f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Branden</v>
      </c>
      <c r="B31" s="5" t="str">
        <f>_xlfn.IFNA(VLOOKUP($B$21&amp;ROWS($B$23:B31),Rosters!$B$2:$D$163,3,0),"?")</f>
        <v>Carlon</v>
      </c>
      <c r="C31" s="5">
        <f>_xlfn.IFNA(VLOOKUP($B$21&amp;ROWS($C$23:C31),Rosters!$B$2:$E$163,4,0),"")</f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Quae</v>
      </c>
      <c r="B32" t="str">
        <f>_xlfn.IFNA(VLOOKUP($B$21&amp;ROWS($B$23:B32),Rosters!$B$2:$D$163,3,0),"?")</f>
        <v>Furlow</v>
      </c>
      <c r="C32">
        <f>_xlfn.IFNA(VLOOKUP($B$21&amp;ROWS($C$23:C32),Rosters!$B$2:$E$163,4,0),"")</f>
        <v>3</v>
      </c>
      <c r="D32" s="6"/>
      <c r="E32" s="6">
        <v>8</v>
      </c>
      <c r="F32" s="6"/>
      <c r="G32" s="6"/>
      <c r="H32" s="6">
        <v>4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1</v>
      </c>
      <c r="R32" s="6"/>
      <c r="S32" s="6"/>
      <c r="T32" s="6">
        <v>1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Ibe</v>
      </c>
      <c r="B33" s="5" t="str">
        <f>_xlfn.IFNA(VLOOKUP($B$21&amp;ROWS($B$23:B33),Rosters!$B$2:$D$163,3,0),"?")</f>
        <v>Gerlach</v>
      </c>
      <c r="C33" s="5">
        <f>_xlfn.IFNA(VLOOKUP($B$21&amp;ROWS($C$23:C33),Rosters!$B$2:$E$163,4,0),"")</f>
        <v>20</v>
      </c>
      <c r="D33" s="5"/>
      <c r="E33" s="5">
        <v>6</v>
      </c>
      <c r="F33" s="5"/>
      <c r="G33" s="5"/>
      <c r="H33" s="5">
        <v>2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3</v>
      </c>
      <c r="R33" s="5"/>
      <c r="S33" s="5"/>
      <c r="T33" s="5">
        <v>3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Justin</v>
      </c>
      <c r="B34" t="str">
        <f>_xlfn.IFNA(VLOOKUP($B$21&amp;ROWS($B$23:B34),Rosters!$B$2:$D$163,3,0),"?")</f>
        <v>Harmon</v>
      </c>
      <c r="C34">
        <v>1</v>
      </c>
      <c r="D34" s="6"/>
      <c r="E34" s="6">
        <v>9</v>
      </c>
      <c r="F34" s="6"/>
      <c r="G34" s="6"/>
      <c r="H34" s="6">
        <v>4</v>
      </c>
      <c r="I34" s="6"/>
      <c r="J34" s="6"/>
      <c r="K34" s="6">
        <v>6</v>
      </c>
      <c r="L34" s="6"/>
      <c r="M34" s="6"/>
      <c r="N34" s="6">
        <v>2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KJ</v>
      </c>
      <c r="B35" s="5" t="str">
        <f>_xlfn.IFNA(VLOOKUP($B$21&amp;ROWS($B$23:B35),Rosters!$B$2:$D$163,3,0),"?")</f>
        <v>Cunningham</v>
      </c>
      <c r="C35" s="5">
        <f>_xlfn.IFNA(VLOOKUP($B$21&amp;ROWS($C$23:C35),Rosters!$B$2:$E$163,4,0),"")</f>
        <v>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62</v>
      </c>
      <c r="H38">
        <f>SUM(H23:H37)</f>
        <v>27</v>
      </c>
      <c r="K38">
        <f>SUM(K23:K37)</f>
        <v>35</v>
      </c>
      <c r="N38">
        <f>SUM(N23:N37)</f>
        <v>13</v>
      </c>
      <c r="Q38">
        <f>SUM(Q23:Q37)</f>
        <v>14</v>
      </c>
      <c r="T38">
        <f>SUM(T23:T37)</f>
        <v>9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2022-07-03T02:01:49Z</dcterms:modified>
</cp:coreProperties>
</file>