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6B3841A4-B9DF-C248-9F74-27BC39585DB2}" xr6:coauthVersionLast="47" xr6:coauthVersionMax="47" xr10:uidLastSave="{00000000-0000-0000-0000-000000000000}"/>
  <bookViews>
    <workbookView xWindow="0" yWindow="500" windowWidth="15480" windowHeight="153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O18" i="2"/>
  <c r="N37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22" i="2"/>
  <c r="M37" i="2"/>
  <c r="L37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N18" i="2"/>
  <c r="M18" i="2"/>
  <c r="L18" i="2"/>
  <c r="L4" i="2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N3" i="2"/>
  <c r="M3" i="2"/>
  <c r="L3" i="2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A11" i="1" s="1"/>
  <c r="F9" i="2" s="1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8" i="1" s="1"/>
  <c r="B8" i="3"/>
  <c r="B7" i="3"/>
  <c r="B6" i="3"/>
  <c r="B5" i="3"/>
  <c r="B4" i="3"/>
  <c r="B3" i="3"/>
  <c r="B2" i="3"/>
  <c r="C25" i="1" s="1"/>
  <c r="H24" i="2" s="1"/>
  <c r="I36" i="2"/>
  <c r="J36" i="2"/>
  <c r="K36" i="2"/>
  <c r="I23" i="2"/>
  <c r="J23" i="2"/>
  <c r="I24" i="2"/>
  <c r="J24" i="2"/>
  <c r="K24" i="2"/>
  <c r="I25" i="2"/>
  <c r="J25" i="2"/>
  <c r="K25" i="2" s="1"/>
  <c r="I26" i="2"/>
  <c r="J26" i="2"/>
  <c r="I27" i="2"/>
  <c r="J27" i="2"/>
  <c r="K27" i="2"/>
  <c r="I28" i="2"/>
  <c r="J28" i="2"/>
  <c r="K28" i="2" s="1"/>
  <c r="I29" i="2"/>
  <c r="J29" i="2"/>
  <c r="I30" i="2"/>
  <c r="J30" i="2"/>
  <c r="K30" i="2"/>
  <c r="I31" i="2"/>
  <c r="J31" i="2"/>
  <c r="I32" i="2"/>
  <c r="J32" i="2"/>
  <c r="K32" i="2"/>
  <c r="I33" i="2"/>
  <c r="J33" i="2"/>
  <c r="K33" i="2" s="1"/>
  <c r="I34" i="2"/>
  <c r="J34" i="2"/>
  <c r="K34" i="2"/>
  <c r="I35" i="2"/>
  <c r="J35" i="2"/>
  <c r="K35" i="2"/>
  <c r="J22" i="2"/>
  <c r="I22" i="2"/>
  <c r="I4" i="2"/>
  <c r="J4" i="2"/>
  <c r="K4" i="2" s="1"/>
  <c r="I5" i="2"/>
  <c r="J5" i="2"/>
  <c r="K5" i="2" s="1"/>
  <c r="I6" i="2"/>
  <c r="J6" i="2"/>
  <c r="K6" i="2" s="1"/>
  <c r="I7" i="2"/>
  <c r="J7" i="2"/>
  <c r="K7" i="2"/>
  <c r="I8" i="2"/>
  <c r="J8" i="2"/>
  <c r="K8" i="2" s="1"/>
  <c r="I9" i="2"/>
  <c r="J9" i="2"/>
  <c r="I10" i="2"/>
  <c r="J10" i="2"/>
  <c r="I11" i="2"/>
  <c r="J11" i="2"/>
  <c r="I12" i="2"/>
  <c r="J12" i="2"/>
  <c r="K12" i="2"/>
  <c r="I13" i="2"/>
  <c r="J13" i="2"/>
  <c r="I14" i="2"/>
  <c r="J14" i="2"/>
  <c r="K14" i="2" s="1"/>
  <c r="I15" i="2"/>
  <c r="J15" i="2"/>
  <c r="K15" i="2"/>
  <c r="I16" i="2"/>
  <c r="J16" i="2"/>
  <c r="K16" i="2"/>
  <c r="I17" i="2"/>
  <c r="K17" i="2" s="1"/>
  <c r="J17" i="2"/>
  <c r="J3" i="2"/>
  <c r="K3" i="2" s="1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6" i="2" l="1"/>
  <c r="K29" i="2"/>
  <c r="K22" i="2"/>
  <c r="K23" i="2"/>
  <c r="K31" i="2"/>
  <c r="I37" i="2"/>
  <c r="D3" i="2" s="1"/>
  <c r="K10" i="2"/>
  <c r="K9" i="2"/>
  <c r="K11" i="2"/>
  <c r="K13" i="2"/>
  <c r="J18" i="2"/>
  <c r="I18" i="2"/>
  <c r="B3" i="2" s="1"/>
  <c r="B10" i="1"/>
  <c r="G8" i="2" s="1"/>
  <c r="A19" i="1"/>
  <c r="C8" i="1"/>
  <c r="H6" i="2" s="1"/>
  <c r="F31" i="2"/>
  <c r="C17" i="1"/>
  <c r="H15" i="2" s="1"/>
  <c r="C9" i="1"/>
  <c r="H7" i="2" s="1"/>
  <c r="B37" i="1"/>
  <c r="G36" i="2" s="1"/>
  <c r="C30" i="1"/>
  <c r="H29" i="2" s="1"/>
  <c r="C34" i="1"/>
  <c r="H33" i="2" s="1"/>
  <c r="B14" i="1"/>
  <c r="G12" i="2" s="1"/>
  <c r="C13" i="1"/>
  <c r="H11" i="2" s="1"/>
  <c r="A24" i="1"/>
  <c r="F23" i="2" s="1"/>
  <c r="A36" i="1"/>
  <c r="F35" i="2" s="1"/>
  <c r="B33" i="1"/>
  <c r="G32" i="2" s="1"/>
  <c r="A28" i="1"/>
  <c r="F27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13" i="1"/>
  <c r="F11" i="2" s="1"/>
  <c r="A30" i="1"/>
  <c r="F29" i="2" s="1"/>
  <c r="B29" i="1"/>
  <c r="G28" i="2" s="1"/>
  <c r="A15" i="1"/>
  <c r="F13" i="2" s="1"/>
  <c r="A7" i="1"/>
  <c r="F5" i="2" s="1"/>
  <c r="B6" i="1"/>
  <c r="G4" i="2" s="1"/>
  <c r="B5" i="1"/>
  <c r="B12" i="1"/>
  <c r="G10" i="2" s="1"/>
  <c r="C19" i="1"/>
  <c r="H17" i="2" s="1"/>
  <c r="C11" i="1"/>
  <c r="H9" i="2" s="1"/>
  <c r="C24" i="1"/>
  <c r="H23" i="2" s="1"/>
  <c r="B35" i="1"/>
  <c r="G34" i="2" s="1"/>
  <c r="H31" i="2"/>
  <c r="B27" i="1"/>
  <c r="G26" i="2" s="1"/>
  <c r="A5" i="1"/>
  <c r="A12" i="1"/>
  <c r="F10" i="2" s="1"/>
  <c r="B19" i="1"/>
  <c r="G17" i="2" s="1"/>
  <c r="B11" i="1"/>
  <c r="G9" i="2" s="1"/>
  <c r="C18" i="1"/>
  <c r="H16" i="2" s="1"/>
  <c r="C10" i="1"/>
  <c r="H8" i="2" s="1"/>
  <c r="C37" i="1"/>
  <c r="H36" i="2" s="1"/>
  <c r="A35" i="1"/>
  <c r="F34" i="2" s="1"/>
  <c r="G31" i="2"/>
  <c r="C29" i="1"/>
  <c r="H28" i="2" s="1"/>
  <c r="A27" i="1"/>
  <c r="F26" i="2" s="1"/>
  <c r="C26" i="1"/>
  <c r="H25" i="2" s="1"/>
  <c r="A18" i="1"/>
  <c r="F16" i="2" s="1"/>
  <c r="B17" i="1"/>
  <c r="G15" i="2" s="1"/>
  <c r="C16" i="1"/>
  <c r="H14" i="2" s="1"/>
  <c r="A37" i="1"/>
  <c r="F36" i="2" s="1"/>
  <c r="C31" i="1"/>
  <c r="H30" i="2" s="1"/>
  <c r="A29" i="1"/>
  <c r="F28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0" i="1"/>
  <c r="F8" i="2" s="1"/>
  <c r="B9" i="1"/>
  <c r="G7" i="2" s="1"/>
  <c r="A23" i="1"/>
  <c r="F22" i="2" s="1"/>
  <c r="B34" i="1"/>
  <c r="G33" i="2" s="1"/>
  <c r="B26" i="1"/>
  <c r="G25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F17" i="2"/>
  <c r="G16" i="2"/>
  <c r="G3" i="2"/>
  <c r="F3" i="2"/>
  <c r="K37" i="2" l="1"/>
  <c r="K18" i="2"/>
</calcChain>
</file>

<file path=xl/sharedStrings.xml><?xml version="1.0" encoding="utf-8"?>
<sst xmlns="http://schemas.openxmlformats.org/spreadsheetml/2006/main" count="493" uniqueCount="275">
  <si>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</si>
  <si>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</si>
  <si>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</si>
  <si>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</si>
  <si>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</si>
  <si>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</si>
  <si>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</si>
  <si>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</si>
  <si>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</si>
  <si>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</si>
  <si>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</si>
  <si>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</si>
  <si>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</si>
  <si>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</si>
  <si>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</si>
  <si>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</si>
  <si>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</si>
  <si>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</si>
  <si>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</si>
  <si>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</si>
  <si>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</si>
  <si>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</si>
  <si>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</si>
  <si>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</si>
  <si>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</si>
  <si>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</si>
  <si>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</si>
  <si>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</si>
  <si>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</si>
  <si>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</si>
  <si>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</si>
  <si>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</si>
  <si>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</si>
  <si>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</si>
  <si>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</si>
  <si>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</si>
  <si>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</si>
  <si>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</si>
  <si>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</si>
  <si>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</si>
  <si>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</si>
  <si>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</si>
  <si>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</si>
  <si>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</si>
  <si>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</si>
  <si>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</si>
  <si>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</si>
  <si>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</si>
  <si>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</si>
  <si>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</si>
  <si>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</si>
  <si>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</si>
  <si>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</si>
  <si>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</si>
  <si>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</si>
  <si>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</si>
  <si>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</si>
  <si>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</si>
  <si>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</si>
  <si>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</si>
  <si>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</si>
  <si>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</si>
  <si>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</si>
  <si>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</si>
  <si>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</si>
  <si>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</si>
  <si>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</si>
  <si>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</si>
  <si>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</si>
  <si>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</si>
  <si>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</si>
  <si>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</si>
  <si>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</si>
  <si>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</si>
  <si>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</si>
  <si>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</si>
  <si>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</si>
  <si>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</si>
  <si>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</si>
  <si>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</si>
  <si>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</si>
  <si>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</si>
  <si>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</si>
  <si>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</si>
  <si>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</si>
  <si>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</si>
  <si>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</si>
  <si>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</si>
  <si>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</si>
  <si>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</si>
  <si>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</si>
  <si>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</si>
  <si>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</si>
  <si>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</si>
  <si>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</si>
  <si>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</si>
  <si>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</si>
  <si>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</si>
  <si>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</si>
  <si>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</si>
  <si>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</si>
  <si>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</si>
  <si>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</si>
  <si>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</si>
  <si>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</si>
  <si>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</si>
  <si>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</si>
  <si>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</si>
  <si>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</si>
  <si>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</si>
  <si>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</si>
  <si>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</si>
  <si>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</si>
  <si>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</si>
  <si>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</si>
  <si>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</si>
  <si>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</si>
  <si>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</si>
  <si>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</si>
  <si>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</si>
  <si>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</si>
  <si>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</si>
  <si>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</si>
  <si>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</si>
  <si>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</si>
  <si>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</si>
  <si>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</si>
  <si>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</si>
  <si>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</si>
  <si>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</si>
  <si>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</si>
  <si>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</si>
  <si>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</si>
  <si>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</si>
  <si>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</si>
  <si>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</si>
  <si>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</si>
  <si>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</si>
  <si>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</si>
  <si>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</si>
  <si>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</si>
  <si>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</si>
  <si>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</si>
  <si>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</si>
  <si>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</si>
  <si>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</si>
  <si>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</si>
  <si>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</si>
  <si>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</si>
  <si>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</si>
  <si>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</si>
  <si>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</si>
  <si>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</si>
  <si>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</si>
  <si>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</si>
  <si>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</si>
  <si>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</si>
  <si>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</si>
  <si>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</si>
  <si>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</si>
  <si>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</si>
  <si>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</si>
  <si>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</si>
  <si>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</si>
  <si>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</si>
  <si>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</si>
  <si>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</si>
  <si>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</si>
  <si>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</si>
  <si>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</si>
  <si>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</si>
  <si>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</si>
  <si>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</si>
  <si>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</si>
  <si>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</si>
  <si>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</si>
  <si>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</si>
  <si>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</si>
  <si>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</si>
  <si>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</si>
  <si>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</si>
  <si>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</si>
  <si>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</si>
  <si>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</si>
  <si>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</si>
  <si>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</si>
  <si>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</si>
  <si>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</si>
  <si>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</si>
  <si>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</si>
  <si>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</si>
  <si>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</si>
  <si>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</si>
  <si>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</si>
  <si>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</si>
  <si>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</si>
  <si>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</si>
  <si>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</si>
  <si>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</si>
  <si>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</si>
  <si>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</si>
  <si>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</si>
  <si>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</si>
  <si>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</si>
  <si>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</si>
  <si>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</si>
  <si>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</si>
  <si>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</si>
  <si>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</si>
  <si>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</si>
  <si>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</si>
  <si>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</si>
  <si>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</si>
  <si>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</si>
  <si>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</si>
  <si>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</si>
  <si>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</si>
  <si>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</si>
  <si>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</si>
  <si>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</si>
  <si>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</si>
  <si>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</si>
  <si>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</si>
  <si>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</si>
  <si>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</si>
  <si>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</si>
  <si>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</si>
  <si>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</si>
  <si>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</si>
  <si>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</si>
  <si>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</si>
  <si>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</si>
  <si>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</si>
  <si>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</si>
  <si>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</si>
  <si>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</si>
  <si>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</si>
  <si>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</si>
  <si>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</si>
  <si>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</si>
  <si>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</si>
  <si>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</si>
  <si>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</si>
  <si>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</si>
  <si>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</si>
  <si>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</si>
  <si>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</si>
  <si>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</si>
  <si>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</si>
  <si>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</si>
  <si>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</si>
  <si>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</si>
  <si>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</si>
  <si>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</si>
  <si>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</si>
  <si>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</si>
  <si>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</si>
  <si>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</si>
  <si>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</si>
  <si>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</si>
  <si>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</si>
  <si>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</si>
  <si>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</si>
  <si>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OREB</t>
  </si>
  <si>
    <t>DREB</t>
  </si>
  <si>
    <t>TREB</t>
  </si>
  <si>
    <t>00</t>
  </si>
  <si>
    <t>TJ</t>
  </si>
  <si>
    <t>joyce</t>
  </si>
  <si>
    <t>fulton</t>
  </si>
  <si>
    <t>AST</t>
  </si>
  <si>
    <t>BLK</t>
  </si>
  <si>
    <t>STL</t>
  </si>
  <si>
    <t>TO</t>
  </si>
  <si>
    <t>TimeOuts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</si>
</sst>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workbookViewId="0">
      <selection activeCell="J18" sqref="J18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262</v>
      </c>
      <c r="F1" t="s">
        <v>3</v>
      </c>
      <c r="G1" t="str">
        <f>'Stats G2'!B3</f>
        <v>joyce</v>
      </c>
    </row>
    <row r="2" spans="2:15" x14ac:dyDescent="0.2">
      <c r="B2" t="str">
        <f>G1</f>
        <v>joyce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263</v>
      </c>
      <c r="J2" t="s">
        <v>264</v>
      </c>
      <c r="K2" t="s">
        <v>265</v>
      </c>
      <c r="L2" t="s">
        <v>270</v>
      </c>
      <c r="M2" t="s">
        <v>272</v>
      </c>
      <c r="N2" t="s">
        <v>271</v>
      </c>
      <c r="O2" t="s">
        <v>274</v>
      </c>
    </row>
    <row r="3" spans="2:15" x14ac:dyDescent="0.2">
      <c r="B3">
        <f>I18</f>
        <v>16</v>
      </c>
      <c r="C3" s="3" t="s">
        <v>6</v>
      </c>
      <c r="D3" s="4">
        <f>I37</f>
        <v>3</v>
      </c>
      <c r="F3" t="str">
        <f>'Stats G2'!A5</f>
        <v>Neema</v>
      </c>
      <c r="G3" t="str">
        <f>'Stats G2'!B5</f>
        <v>Namdar</v>
      </c>
      <c r="H3">
        <f>'Stats G2'!C5</f>
        <v>0</v>
      </c>
      <c r="I3">
        <f>'Stats G2'!E5</f>
        <v>0</v>
      </c>
      <c r="J3">
        <f>'Stats G2'!H5</f>
        <v>5</v>
      </c>
      <c r="K3">
        <f>J3+I3</f>
        <v>5</v>
      </c>
      <c r="L3">
        <f>'Stats G2'!K5</f>
        <v>9</v>
      </c>
      <c r="M3">
        <f>'Stats G2'!N5</f>
        <v>0</v>
      </c>
      <c r="N3">
        <f>'Stats G2'!Q5</f>
        <v>1</v>
      </c>
    </row>
    <row r="4" spans="2:15" x14ac:dyDescent="0.2">
      <c r="F4" t="str">
        <f>'Stats G2'!A6</f>
        <v>Sam</v>
      </c>
      <c r="G4" t="str">
        <f>'Stats G2'!B6</f>
        <v>Velez</v>
      </c>
      <c r="H4">
        <f>'Stats G2'!C6</f>
        <v>1</v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0</v>
      </c>
      <c r="N4">
        <f>'Stats G2'!Q6</f>
        <v>0</v>
      </c>
    </row>
    <row r="5" spans="2:15" x14ac:dyDescent="0.2">
      <c r="F5" t="str">
        <f>'Stats G2'!A7</f>
        <v>Tyus</v>
      </c>
      <c r="G5" t="str">
        <f>'Stats G2'!B7</f>
        <v>Jefferson</v>
      </c>
      <c r="H5">
        <f>'Stats G2'!C7</f>
        <v>3</v>
      </c>
      <c r="I5">
        <f>'Stats G2'!E7</f>
        <v>0</v>
      </c>
      <c r="J5">
        <f>'Stats G2'!H7</f>
        <v>6</v>
      </c>
      <c r="K5">
        <f t="shared" si="0"/>
        <v>6</v>
      </c>
      <c r="L5">
        <f>'Stats G2'!K7</f>
        <v>0</v>
      </c>
      <c r="M5">
        <f>'Stats G2'!N7</f>
        <v>0</v>
      </c>
      <c r="N5">
        <f>'Stats G2'!Q7</f>
        <v>4</v>
      </c>
    </row>
    <row r="6" spans="2:15" x14ac:dyDescent="0.2">
      <c r="F6" t="str">
        <f>'Stats G2'!A8</f>
        <v>Frank</v>
      </c>
      <c r="G6" t="str">
        <f>'Stats G2'!B8</f>
        <v>Jackson</v>
      </c>
      <c r="H6">
        <f>'Stats G2'!C8</f>
        <v>5</v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  <c r="N6">
        <f>'Stats G2'!Q8</f>
        <v>0</v>
      </c>
    </row>
    <row r="7" spans="2:15" x14ac:dyDescent="0.2">
      <c r="F7" t="str">
        <f>'Stats G2'!A9</f>
        <v>Trey</v>
      </c>
      <c r="G7" t="str">
        <f>'Stats G2'!B9</f>
        <v>Kennedy</v>
      </c>
      <c r="H7">
        <f>'Stats G2'!C9</f>
        <v>10</v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  <c r="N7">
        <f>'Stats G2'!Q9</f>
        <v>0</v>
      </c>
    </row>
    <row r="8" spans="2:15" x14ac:dyDescent="0.2">
      <c r="F8" t="str">
        <f>'Stats G2'!A10</f>
        <v>Will</v>
      </c>
      <c r="G8" t="str">
        <f>'Stats G2'!B10</f>
        <v>Joyce</v>
      </c>
      <c r="H8">
        <f>'Stats G2'!C10</f>
        <v>11</v>
      </c>
      <c r="I8">
        <f>'Stats G2'!E10</f>
        <v>1</v>
      </c>
      <c r="J8">
        <f>'Stats G2'!H10</f>
        <v>0</v>
      </c>
      <c r="K8">
        <f t="shared" si="0"/>
        <v>1</v>
      </c>
      <c r="L8">
        <f>'Stats G2'!K10</f>
        <v>1</v>
      </c>
      <c r="M8">
        <f>'Stats G2'!N10</f>
        <v>0</v>
      </c>
      <c r="N8">
        <f>'Stats G2'!Q10</f>
        <v>0</v>
      </c>
    </row>
    <row r="9" spans="2:15" x14ac:dyDescent="0.2">
      <c r="F9" t="str">
        <f>'Stats G2'!A11</f>
        <v xml:space="preserve">Jael </v>
      </c>
      <c r="G9" t="str">
        <f>'Stats G2'!B11</f>
        <v>Vaughn</v>
      </c>
      <c r="H9">
        <f>'Stats G2'!C11</f>
        <v>12</v>
      </c>
      <c r="I9">
        <f>'Stats G2'!E11</f>
        <v>2</v>
      </c>
      <c r="J9">
        <f>'Stats G2'!H11</f>
        <v>6</v>
      </c>
      <c r="K9">
        <f t="shared" si="0"/>
        <v>8</v>
      </c>
      <c r="L9">
        <f>'Stats G2'!K11</f>
        <v>6</v>
      </c>
      <c r="M9">
        <f>'Stats G2'!N11</f>
        <v>1</v>
      </c>
      <c r="N9">
        <f>'Stats G2'!Q11</f>
        <v>1</v>
      </c>
    </row>
    <row r="10" spans="2:15" x14ac:dyDescent="0.2">
      <c r="F10" t="str">
        <f>'Stats G2'!A12</f>
        <v>Fardaws</v>
      </c>
      <c r="G10" t="str">
        <f>'Stats G2'!B12</f>
        <v>Aimaq</v>
      </c>
      <c r="H10">
        <f>'Stats G2'!C12</f>
        <v>21</v>
      </c>
      <c r="I10">
        <f>'Stats G2'!E12</f>
        <v>5</v>
      </c>
      <c r="J10">
        <f>'Stats G2'!H12</f>
        <v>8</v>
      </c>
      <c r="K10">
        <f t="shared" si="0"/>
        <v>13</v>
      </c>
      <c r="L10">
        <f>'Stats G2'!K12</f>
        <v>3</v>
      </c>
      <c r="M10">
        <f>'Stats G2'!N12</f>
        <v>0</v>
      </c>
      <c r="N10">
        <f>'Stats G2'!Q12</f>
        <v>1</v>
      </c>
    </row>
    <row r="11" spans="2:15" x14ac:dyDescent="0.2">
      <c r="F11" t="str">
        <f>'Stats G2'!A13</f>
        <v xml:space="preserve">Yoeli </v>
      </c>
      <c r="G11" t="str">
        <f>'Stats G2'!B13</f>
        <v>Childs</v>
      </c>
      <c r="H11">
        <f>'Stats G2'!C13</f>
        <v>22</v>
      </c>
      <c r="I11">
        <f>'Stats G2'!E13</f>
        <v>4</v>
      </c>
      <c r="J11">
        <f>'Stats G2'!H13</f>
        <v>12</v>
      </c>
      <c r="K11">
        <f t="shared" si="0"/>
        <v>16</v>
      </c>
      <c r="L11">
        <f>'Stats G2'!K13</f>
        <v>1</v>
      </c>
      <c r="M11">
        <f>'Stats G2'!N13</f>
        <v>1</v>
      </c>
      <c r="N11">
        <f>'Stats G2'!Q13</f>
        <v>1</v>
      </c>
    </row>
    <row r="12" spans="2:15" x14ac:dyDescent="0.2">
      <c r="F12" t="str">
        <f>'Stats G2'!A14</f>
        <v>Nicholas</v>
      </c>
      <c r="G12" t="str">
        <f>'Stats G2'!B14</f>
        <v>Paulos</v>
      </c>
      <c r="H12">
        <f>'Stats G2'!C14</f>
        <v>31</v>
      </c>
      <c r="I12">
        <f>'Stats G2'!E14</f>
        <v>0</v>
      </c>
      <c r="J12">
        <f>'Stats G2'!H14</f>
        <v>3</v>
      </c>
      <c r="K12">
        <f t="shared" si="0"/>
        <v>3</v>
      </c>
      <c r="L12">
        <f>'Stats G2'!K14</f>
        <v>0</v>
      </c>
      <c r="M12">
        <f>'Stats G2'!N14</f>
        <v>0</v>
      </c>
      <c r="N12">
        <f>'Stats G2'!Q14</f>
        <v>1</v>
      </c>
    </row>
    <row r="13" spans="2:15" x14ac:dyDescent="0.2">
      <c r="F13" t="str">
        <f>'Stats G2'!A15</f>
        <v>Zac</v>
      </c>
      <c r="G13" t="str">
        <f>'Stats G2'!B15</f>
        <v>Seljaas</v>
      </c>
      <c r="H13">
        <f>'Stats G2'!C15</f>
        <v>99</v>
      </c>
      <c r="I13">
        <f>'Stats G2'!E15</f>
        <v>4</v>
      </c>
      <c r="J13">
        <f>'Stats G2'!H15</f>
        <v>2</v>
      </c>
      <c r="K13">
        <f t="shared" si="0"/>
        <v>6</v>
      </c>
      <c r="L13">
        <f>'Stats G2'!K15</f>
        <v>4</v>
      </c>
      <c r="M13">
        <f>'Stats G2'!N15</f>
        <v>0</v>
      </c>
      <c r="N13">
        <f>'Stats G2'!Q15</f>
        <v>0</v>
      </c>
    </row>
    <row r="14" spans="2:15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  <c r="N14">
        <f>'Stats G2'!Q16</f>
        <v>0</v>
      </c>
    </row>
    <row r="15" spans="2:15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 t="shared" si="0"/>
        <v>0</v>
      </c>
      <c r="L15">
        <f>'Stats G2'!K17</f>
        <v>0</v>
      </c>
      <c r="M15">
        <f>'Stats G2'!N17</f>
        <v>0</v>
      </c>
      <c r="N15">
        <f>'Stats G2'!Q17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  <c r="N16">
        <f>'Stats G2'!Q18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  <c r="N17">
        <f>'Stats G2'!Q19</f>
        <v>0</v>
      </c>
    </row>
    <row r="18" spans="6:15" x14ac:dyDescent="0.2">
      <c r="H18" s="2" t="s">
        <v>5</v>
      </c>
      <c r="I18">
        <f>SUM(I3:I17)</f>
        <v>16</v>
      </c>
      <c r="J18">
        <f>SUM(J3:J17)</f>
        <v>42</v>
      </c>
      <c r="K18">
        <f>SUM(K3:K17)</f>
        <v>58</v>
      </c>
      <c r="L18">
        <f>SUM(L3:L17)</f>
        <v>24</v>
      </c>
      <c r="M18">
        <f>SUM(M3:M17)</f>
        <v>2</v>
      </c>
      <c r="N18">
        <f>SUM(N3:N17)</f>
        <v>9</v>
      </c>
      <c r="O18">
        <f>'Stats G2'!W4+'Stats G2'!X4</f>
        <v>4</v>
      </c>
    </row>
    <row r="20" spans="6:15" x14ac:dyDescent="0.2">
      <c r="F20" t="s">
        <v>4</v>
      </c>
      <c r="G20" t="str">
        <f>'Stats G2'!B21</f>
        <v>fulton</v>
      </c>
    </row>
    <row r="21" spans="6:15" x14ac:dyDescent="0.2">
      <c r="F21" t="s">
        <v>1</v>
      </c>
      <c r="G21" t="s">
        <v>2</v>
      </c>
      <c r="H21" t="s">
        <v>0</v>
      </c>
      <c r="I21" t="s">
        <v>263</v>
      </c>
      <c r="J21" t="s">
        <v>264</v>
      </c>
      <c r="K21" t="s">
        <v>265</v>
      </c>
      <c r="L21" t="s">
        <v>270</v>
      </c>
      <c r="M21" t="s">
        <v>272</v>
      </c>
      <c r="N21" t="s">
        <v>271</v>
      </c>
      <c r="O21" t="s">
        <v>274</v>
      </c>
    </row>
    <row r="22" spans="6:15" x14ac:dyDescent="0.2">
      <c r="F22" t="str">
        <f>'Stats G2'!A23</f>
        <v>Connor</v>
      </c>
      <c r="G22" t="str">
        <f>'Stats G2'!B23</f>
        <v>Fulton</v>
      </c>
      <c r="H22">
        <f>'Stats G2'!C23</f>
        <v>1</v>
      </c>
      <c r="I22">
        <f>'Stats G2'!E23</f>
        <v>0</v>
      </c>
      <c r="J22">
        <f>'Stats G2'!H23</f>
        <v>5</v>
      </c>
      <c r="K22">
        <f>J22+I22</f>
        <v>5</v>
      </c>
      <c r="L22">
        <f>'Stats G2'!K23</f>
        <v>0</v>
      </c>
      <c r="M22">
        <f>'Stats G2'!N23</f>
        <v>0</v>
      </c>
      <c r="N22">
        <f>'Stats G2'!Q23</f>
        <v>1</v>
      </c>
    </row>
    <row r="23" spans="6:15" x14ac:dyDescent="0.2">
      <c r="F23" t="str">
        <f>'Stats G2'!A24</f>
        <v>Tanner</v>
      </c>
      <c r="G23" t="str">
        <f>'Stats G2'!B24</f>
        <v>Nygren</v>
      </c>
      <c r="H23">
        <f>'Stats G2'!C24</f>
        <v>2</v>
      </c>
      <c r="I23">
        <f>'Stats G2'!E24</f>
        <v>1</v>
      </c>
      <c r="J23">
        <f>'Stats G2'!H24</f>
        <v>2</v>
      </c>
      <c r="K23">
        <f t="shared" ref="K23:K35" si="1">J23+I23</f>
        <v>3</v>
      </c>
      <c r="L23">
        <f>'Stats G2'!K24</f>
        <v>3</v>
      </c>
      <c r="M23">
        <f>'Stats G2'!N24</f>
        <v>0</v>
      </c>
      <c r="N23">
        <f>'Stats G2'!Q24</f>
        <v>2</v>
      </c>
    </row>
    <row r="24" spans="6:15" x14ac:dyDescent="0.2">
      <c r="F24" t="str">
        <f>'Stats G2'!A25</f>
        <v xml:space="preserve">Conner </v>
      </c>
      <c r="G24" t="str">
        <f>'Stats G2'!B25</f>
        <v>Toolson</v>
      </c>
      <c r="H24">
        <f>'Stats G2'!C25</f>
        <v>5</v>
      </c>
      <c r="I24">
        <f>'Stats G2'!E25</f>
        <v>0</v>
      </c>
      <c r="J24">
        <f>'Stats G2'!H25</f>
        <v>0</v>
      </c>
      <c r="K24">
        <f t="shared" si="1"/>
        <v>0</v>
      </c>
      <c r="L24">
        <f>'Stats G2'!K25</f>
        <v>0</v>
      </c>
      <c r="M24">
        <f>'Stats G2'!N25</f>
        <v>0</v>
      </c>
      <c r="N24">
        <f>'Stats G2'!Q25</f>
        <v>0</v>
      </c>
    </row>
    <row r="25" spans="6:15" x14ac:dyDescent="0.2">
      <c r="F25" t="str">
        <f>'Stats G2'!A26</f>
        <v>Dalton</v>
      </c>
      <c r="G25" t="str">
        <f>'Stats G2'!B26</f>
        <v>Nixon</v>
      </c>
      <c r="H25">
        <f>'Stats G2'!C26</f>
        <v>6</v>
      </c>
      <c r="I25">
        <f>'Stats G2'!E26</f>
        <v>0</v>
      </c>
      <c r="J25">
        <f>'Stats G2'!H26</f>
        <v>4</v>
      </c>
      <c r="K25">
        <f t="shared" si="1"/>
        <v>4</v>
      </c>
      <c r="L25">
        <f>'Stats G2'!K26</f>
        <v>2</v>
      </c>
      <c r="M25">
        <f>'Stats G2'!N26</f>
        <v>2</v>
      </c>
      <c r="N25">
        <f>'Stats G2'!Q26</f>
        <v>2</v>
      </c>
    </row>
    <row r="26" spans="6:15" x14ac:dyDescent="0.2">
      <c r="F26" t="str">
        <f>'Stats G2'!A27</f>
        <v>Connor</v>
      </c>
      <c r="G26" t="str">
        <f>'Stats G2'!B27</f>
        <v>Harding</v>
      </c>
      <c r="H26">
        <f>'Stats G2'!C27</f>
        <v>11</v>
      </c>
      <c r="I26">
        <f>'Stats G2'!E27</f>
        <v>0</v>
      </c>
      <c r="J26">
        <f>'Stats G2'!H27</f>
        <v>7</v>
      </c>
      <c r="K26">
        <f t="shared" si="1"/>
        <v>7</v>
      </c>
      <c r="L26">
        <f>'Stats G2'!K27</f>
        <v>2</v>
      </c>
      <c r="M26">
        <f>'Stats G2'!N27</f>
        <v>0</v>
      </c>
      <c r="N26">
        <f>'Stats G2'!Q27</f>
        <v>0</v>
      </c>
    </row>
    <row r="27" spans="6:15" x14ac:dyDescent="0.2">
      <c r="F27" t="str">
        <f>'Stats G2'!A28</f>
        <v>Colby</v>
      </c>
      <c r="G27" t="str">
        <f>'Stats G2'!B28</f>
        <v>Leifson</v>
      </c>
      <c r="H27">
        <f>'Stats G2'!C28</f>
        <v>13</v>
      </c>
      <c r="I27">
        <f>'Stats G2'!E28</f>
        <v>0</v>
      </c>
      <c r="J27">
        <f>'Stats G2'!H28</f>
        <v>0</v>
      </c>
      <c r="K27">
        <f t="shared" si="1"/>
        <v>0</v>
      </c>
      <c r="L27">
        <f>'Stats G2'!K28</f>
        <v>0</v>
      </c>
      <c r="M27">
        <f>'Stats G2'!N28</f>
        <v>0</v>
      </c>
      <c r="N27">
        <f>'Stats G2'!Q28</f>
        <v>0</v>
      </c>
    </row>
    <row r="28" spans="6:15" x14ac:dyDescent="0.2">
      <c r="F28" t="str">
        <f>'Stats G2'!A29</f>
        <v>Ibe</v>
      </c>
      <c r="G28" t="str">
        <f>'Stats G2'!B29</f>
        <v>Gerlach</v>
      </c>
      <c r="H28">
        <f>'Stats G2'!C29</f>
        <v>20</v>
      </c>
      <c r="I28">
        <f>'Stats G2'!E29</f>
        <v>0</v>
      </c>
      <c r="J28">
        <f>'Stats G2'!H29</f>
        <v>2</v>
      </c>
      <c r="K28">
        <f t="shared" si="1"/>
        <v>2</v>
      </c>
      <c r="L28">
        <f>'Stats G2'!K29</f>
        <v>0</v>
      </c>
      <c r="M28">
        <f>'Stats G2'!N29</f>
        <v>0</v>
      </c>
      <c r="N28">
        <f>'Stats G2'!Q29</f>
        <v>2</v>
      </c>
    </row>
    <row r="29" spans="6:15" x14ac:dyDescent="0.2">
      <c r="F29" t="str">
        <f>'Stats G2'!A30</f>
        <v>Trevor</v>
      </c>
      <c r="G29" t="str">
        <f>'Stats G2'!B30</f>
        <v>Thompson</v>
      </c>
      <c r="H29">
        <f>'Stats G2'!C30</f>
        <v>23</v>
      </c>
      <c r="I29">
        <f>'Stats G2'!E30</f>
        <v>1</v>
      </c>
      <c r="J29">
        <f>'Stats G2'!H30</f>
        <v>9</v>
      </c>
      <c r="K29">
        <f t="shared" si="1"/>
        <v>10</v>
      </c>
      <c r="L29">
        <f>'Stats G2'!K30</f>
        <v>5</v>
      </c>
      <c r="M29">
        <f>'Stats G2'!N30</f>
        <v>1</v>
      </c>
      <c r="N29">
        <f>'Stats G2'!Q30</f>
        <v>0</v>
      </c>
    </row>
    <row r="30" spans="6:15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G2'!E31</f>
        <v>0</v>
      </c>
      <c r="J30">
        <f>'Stats G2'!H31</f>
        <v>0</v>
      </c>
      <c r="K30">
        <f t="shared" si="1"/>
        <v>0</v>
      </c>
      <c r="L30">
        <f>'Stats G2'!K31</f>
        <v>0</v>
      </c>
      <c r="M30">
        <f>'Stats G2'!N31</f>
        <v>0</v>
      </c>
      <c r="N30">
        <f>'Stats G2'!Q31</f>
        <v>0</v>
      </c>
    </row>
    <row r="31" spans="6:15" x14ac:dyDescent="0.2">
      <c r="F31" t="str">
        <f>'Stats G2'!A32</f>
        <v xml:space="preserve">Conner </v>
      </c>
      <c r="G31" t="str">
        <f>'Stats G2'!B32</f>
        <v>Toolson</v>
      </c>
      <c r="H31">
        <f>'Stats G2'!C32</f>
        <v>0</v>
      </c>
      <c r="I31">
        <f>'Stats G2'!E32</f>
        <v>1</v>
      </c>
      <c r="J31">
        <f>'Stats G2'!H32</f>
        <v>6</v>
      </c>
      <c r="K31">
        <f t="shared" si="1"/>
        <v>7</v>
      </c>
      <c r="L31">
        <f>'Stats G2'!K32</f>
        <v>2</v>
      </c>
      <c r="M31">
        <f>'Stats G2'!N32</f>
        <v>0</v>
      </c>
      <c r="N31">
        <f>'Stats G2'!Q32</f>
        <v>1</v>
      </c>
    </row>
    <row r="32" spans="6:15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1"/>
        <v>0</v>
      </c>
      <c r="L32">
        <f>'Stats G2'!K33</f>
        <v>0</v>
      </c>
      <c r="M32">
        <f>'Stats G2'!N33</f>
        <v>0</v>
      </c>
      <c r="N32">
        <f>'Stats G2'!Q33</f>
        <v>0</v>
      </c>
    </row>
    <row r="33" spans="6:15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1"/>
        <v>0</v>
      </c>
      <c r="L33">
        <f>'Stats G2'!K34</f>
        <v>0</v>
      </c>
      <c r="M33">
        <f>'Stats G2'!N34</f>
        <v>0</v>
      </c>
      <c r="N33">
        <f>'Stats G2'!Q34</f>
        <v>0</v>
      </c>
    </row>
    <row r="34" spans="6:15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1"/>
        <v>0</v>
      </c>
      <c r="L34">
        <f>'Stats G2'!K35</f>
        <v>0</v>
      </c>
      <c r="M34">
        <f>'Stats G2'!N35</f>
        <v>0</v>
      </c>
      <c r="N34">
        <f>'Stats G2'!Q35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</f>
        <v>0</v>
      </c>
      <c r="M35">
        <f>'Stats G2'!N36</f>
        <v>0</v>
      </c>
      <c r="N35">
        <f>'Stats G2'!Q36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J36+I36</f>
        <v>0</v>
      </c>
      <c r="L36">
        <f>'Stats G2'!K37</f>
        <v>0</v>
      </c>
      <c r="M36">
        <f>'Stats G2'!N37</f>
        <v>0</v>
      </c>
      <c r="N36">
        <f>'Stats G2'!Q37</f>
        <v>0</v>
      </c>
    </row>
    <row r="37" spans="6:15" x14ac:dyDescent="0.2">
      <c r="H37" s="2" t="s">
        <v>5</v>
      </c>
      <c r="I37">
        <f>SUM(I22:I36)</f>
        <v>3</v>
      </c>
      <c r="J37">
        <f>SUM(J22:J36)</f>
        <v>35</v>
      </c>
      <c r="K37">
        <f>SUM(K22:K36)</f>
        <v>38</v>
      </c>
      <c r="L37">
        <f>SUM(L22:L36)</f>
        <v>14</v>
      </c>
      <c r="M37">
        <f>SUM(M22:M36)</f>
        <v>3</v>
      </c>
      <c r="N37">
        <f>SUM(N22:N36)</f>
        <v>8</v>
      </c>
      <c r="O37">
        <f>'Stats G2'!W22+'Stats G2'!X22</f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I3" workbookViewId="0">
      <selection activeCell="K5" sqref="K5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4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4" hidden="1" x14ac:dyDescent="0.2"/>
    <row r="3" spans="1:24" x14ac:dyDescent="0.2">
      <c r="A3" s="2" t="s">
        <v>7</v>
      </c>
      <c r="B3" s="1" t="s">
        <v>268</v>
      </c>
    </row>
    <row r="4" spans="1:24" x14ac:dyDescent="0.2">
      <c r="A4" t="s">
        <v>1</v>
      </c>
      <c r="B4" t="s">
        <v>2</v>
      </c>
      <c r="C4" t="s">
        <v>0</v>
      </c>
      <c r="E4" t="s">
        <v>263</v>
      </c>
      <c r="H4" t="s">
        <v>264</v>
      </c>
      <c r="K4" t="s">
        <v>270</v>
      </c>
      <c r="N4" t="s">
        <v>271</v>
      </c>
      <c r="Q4" t="s">
        <v>272</v>
      </c>
      <c r="V4" t="s">
        <v>273</v>
      </c>
      <c r="W4">
        <v>2</v>
      </c>
      <c r="X4">
        <v>2</v>
      </c>
    </row>
    <row r="5" spans="1:24" s="6" customFormat="1" x14ac:dyDescent="0.2">
      <c r="A5" s="5" t="str">
        <f>_xlfn.IFNA(VLOOKUP($B$3&amp;ROWS($A$5:A5),Rosters!$B$2:$C$162,2,0),"?")</f>
        <v>Neema</v>
      </c>
      <c r="B5" s="5" t="str">
        <f>_xlfn.IFNA(VLOOKUP($B$3&amp;ROWS($B$5:B5),Rosters!$B$2:$D$162,3,0),"?")</f>
        <v>Namdar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5</v>
      </c>
      <c r="I5" s="5"/>
      <c r="J5" s="5"/>
      <c r="K5" s="5">
        <v>9</v>
      </c>
      <c r="L5" s="5"/>
      <c r="M5" s="5"/>
      <c r="N5" s="5">
        <v>0</v>
      </c>
      <c r="O5" s="5"/>
      <c r="P5" s="5"/>
      <c r="Q5" s="5">
        <v>1</v>
      </c>
      <c r="R5" s="5"/>
      <c r="S5" s="5"/>
      <c r="T5" s="5">
        <v>0</v>
      </c>
      <c r="U5" s="5"/>
    </row>
    <row r="6" spans="1:24" s="6" customFormat="1" x14ac:dyDescent="0.2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Velez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4" s="6" customFormat="1" x14ac:dyDescent="0.2">
      <c r="A7" s="5" t="str">
        <f>_xlfn.IFNA(VLOOKUP($B$3&amp;ROWS($A$5:A7),Rosters!$B$2:$C$162,2,0),"?")</f>
        <v>Tyus</v>
      </c>
      <c r="B7" s="5" t="str">
        <f>_xlfn.IFNA(VLOOKUP($B$3&amp;ROWS($B$5:B7),Rosters!$B$2:$D$162,3,0),"?")</f>
        <v>Jefferson</v>
      </c>
      <c r="C7" s="5">
        <f>_xlfn.IFNA(VLOOKUP($B$3&amp;ROWS($C$5:C7),Rosters!$B$2:$E$162,4,0),"")</f>
        <v>3</v>
      </c>
      <c r="D7" s="5"/>
      <c r="E7" s="5">
        <v>0</v>
      </c>
      <c r="F7" s="5"/>
      <c r="G7" s="5"/>
      <c r="H7" s="5">
        <v>6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4</v>
      </c>
      <c r="R7" s="5"/>
      <c r="S7" s="5"/>
      <c r="T7" s="5">
        <v>0</v>
      </c>
      <c r="U7" s="5"/>
    </row>
    <row r="8" spans="1:24" s="6" customFormat="1" x14ac:dyDescent="0.2">
      <c r="A8" s="6" t="str">
        <f>_xlfn.IFNA(VLOOKUP($B$3&amp;ROWS($A$5:A8),Rosters!$B$2:$C$162,2,0),"?")</f>
        <v>Frank</v>
      </c>
      <c r="B8" s="6" t="str">
        <f>_xlfn.IFNA(VLOOKUP($B$3&amp;ROWS($B$5:B8),Rosters!$B$2:$D$162,3,0),"?")</f>
        <v>Jackson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4" s="6" customFormat="1" x14ac:dyDescent="0.2">
      <c r="A9" s="5" t="str">
        <f>_xlfn.IFNA(VLOOKUP($B$3&amp;ROWS($A$5:A9),Rosters!$B$2:$C$162,2,0),"?")</f>
        <v>Trey</v>
      </c>
      <c r="B9" s="5" t="str">
        <f>_xlfn.IFNA(VLOOKUP($B$3&amp;ROWS($B$5:B9),Rosters!$B$2:$D$162,3,0),"?")</f>
        <v>Kennedy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4" s="6" customFormat="1" x14ac:dyDescent="0.2">
      <c r="A10" s="6" t="str">
        <f>_xlfn.IFNA(VLOOKUP($B$3&amp;ROWS($A$5:A10),Rosters!$B$2:$C$162,2,0),"?")</f>
        <v>Will</v>
      </c>
      <c r="B10" s="6" t="str">
        <f>_xlfn.IFNA(VLOOKUP($B$3&amp;ROWS($B$5:B10),Rosters!$B$2:$D$162,3,0),"?")</f>
        <v>Joyce</v>
      </c>
      <c r="C10" s="6">
        <f>_xlfn.IFNA(VLOOKUP($B$3&amp;ROWS($C$5:C10),Rosters!$B$2:$E$162,4,0),"")</f>
        <v>11</v>
      </c>
      <c r="E10" s="6">
        <v>1</v>
      </c>
      <c r="H10" s="6">
        <v>0</v>
      </c>
      <c r="K10" s="6">
        <v>1</v>
      </c>
      <c r="N10" s="6">
        <v>0</v>
      </c>
      <c r="Q10" s="6">
        <v>0</v>
      </c>
      <c r="T10" s="6">
        <v>0</v>
      </c>
    </row>
    <row r="11" spans="1:24" s="6" customFormat="1" x14ac:dyDescent="0.2">
      <c r="A11" s="5" t="str">
        <f>_xlfn.IFNA(VLOOKUP($B$3&amp;ROWS($A$5:A11),Rosters!$B$2:$C$162,2,0),"?")</f>
        <v xml:space="preserve">Jael </v>
      </c>
      <c r="B11" s="5" t="str">
        <f>_xlfn.IFNA(VLOOKUP($B$3&amp;ROWS($B$5:B11),Rosters!$B$2:$D$162,3,0),"?")</f>
        <v>Vaughn</v>
      </c>
      <c r="C11" s="5">
        <f>_xlfn.IFNA(VLOOKUP($B$3&amp;ROWS($C$5:C11),Rosters!$B$2:$E$162,4,0),"")</f>
        <v>12</v>
      </c>
      <c r="D11" s="5"/>
      <c r="E11" s="5">
        <v>2</v>
      </c>
      <c r="F11" s="5"/>
      <c r="G11" s="5"/>
      <c r="H11" s="5">
        <v>6</v>
      </c>
      <c r="I11" s="5"/>
      <c r="J11" s="5"/>
      <c r="K11" s="5">
        <v>6</v>
      </c>
      <c r="L11" s="5"/>
      <c r="M11" s="5"/>
      <c r="N11" s="5">
        <v>1</v>
      </c>
      <c r="O11" s="5"/>
      <c r="P11" s="5"/>
      <c r="Q11" s="5">
        <v>1</v>
      </c>
      <c r="R11" s="5"/>
      <c r="S11" s="5"/>
      <c r="T11" s="5">
        <v>0</v>
      </c>
      <c r="U11" s="5"/>
    </row>
    <row r="12" spans="1:24" s="6" customFormat="1" x14ac:dyDescent="0.2">
      <c r="A12" s="6" t="str">
        <f>_xlfn.IFNA(VLOOKUP($B$3&amp;ROWS($A$5:A12),Rosters!$B$2:$C$162,2,0),"?")</f>
        <v>Fardaws</v>
      </c>
      <c r="B12" s="6" t="str">
        <f>_xlfn.IFNA(VLOOKUP($B$3&amp;ROWS($B$5:B12),Rosters!$B$2:$D$162,3,0),"?")</f>
        <v>Aimaq</v>
      </c>
      <c r="C12" s="6">
        <f>_xlfn.IFNA(VLOOKUP($B$3&amp;ROWS($C$5:C12),Rosters!$B$2:$E$162,4,0),"")</f>
        <v>21</v>
      </c>
      <c r="E12" s="6">
        <v>5</v>
      </c>
      <c r="H12" s="6">
        <v>8</v>
      </c>
      <c r="K12" s="6">
        <v>3</v>
      </c>
      <c r="N12" s="6">
        <v>0</v>
      </c>
      <c r="Q12" s="6">
        <v>1</v>
      </c>
      <c r="T12" s="6">
        <v>0</v>
      </c>
    </row>
    <row r="13" spans="1:24" s="6" customFormat="1" x14ac:dyDescent="0.2">
      <c r="A13" s="5" t="str">
        <f>_xlfn.IFNA(VLOOKUP($B$3&amp;ROWS($A$5:A13),Rosters!$B$2:$C$162,2,0),"?")</f>
        <v xml:space="preserve">Yoeli </v>
      </c>
      <c r="B13" s="5" t="str">
        <f>_xlfn.IFNA(VLOOKUP($B$3&amp;ROWS($B$5:B13),Rosters!$B$2:$D$162,3,0),"?")</f>
        <v>Childs</v>
      </c>
      <c r="C13" s="5">
        <f>_xlfn.IFNA(VLOOKUP($B$3&amp;ROWS($C$5:C13),Rosters!$B$2:$E$162,4,0),"")</f>
        <v>22</v>
      </c>
      <c r="D13" s="5"/>
      <c r="E13" s="5">
        <v>4</v>
      </c>
      <c r="F13" s="5"/>
      <c r="G13" s="5"/>
      <c r="H13" s="5">
        <v>12</v>
      </c>
      <c r="I13" s="5"/>
      <c r="J13" s="5"/>
      <c r="K13" s="5">
        <v>1</v>
      </c>
      <c r="L13" s="5"/>
      <c r="M13" s="5"/>
      <c r="N13" s="5">
        <v>1</v>
      </c>
      <c r="O13" s="5"/>
      <c r="P13" s="5"/>
      <c r="Q13" s="5">
        <v>1</v>
      </c>
      <c r="R13" s="5"/>
      <c r="S13" s="5"/>
      <c r="T13" s="5">
        <v>0</v>
      </c>
      <c r="U13" s="5"/>
    </row>
    <row r="14" spans="1:24" s="6" customFormat="1" x14ac:dyDescent="0.2">
      <c r="A14" s="6" t="str">
        <f>_xlfn.IFNA(VLOOKUP($B$3&amp;ROWS($A$5:A14),Rosters!$B$2:$C$162,2,0),"?")</f>
        <v>Nicholas</v>
      </c>
      <c r="B14" s="6" t="str">
        <f>_xlfn.IFNA(VLOOKUP($B$3&amp;ROWS($B$5:B14),Rosters!$B$2:$D$162,3,0),"?")</f>
        <v>Paulos</v>
      </c>
      <c r="C14" s="6">
        <f>_xlfn.IFNA(VLOOKUP($B$3&amp;ROWS($C$5:C14),Rosters!$B$2:$E$162,4,0),"")</f>
        <v>31</v>
      </c>
      <c r="E14" s="6">
        <v>0</v>
      </c>
      <c r="H14" s="6">
        <v>3</v>
      </c>
      <c r="K14" s="6">
        <v>0</v>
      </c>
      <c r="N14" s="6">
        <v>0</v>
      </c>
      <c r="Q14" s="6">
        <v>1</v>
      </c>
      <c r="T14" s="6">
        <v>0</v>
      </c>
    </row>
    <row r="15" spans="1:24" s="6" customFormat="1" x14ac:dyDescent="0.2">
      <c r="A15" s="5" t="str">
        <f>_xlfn.IFNA(VLOOKUP($B$3&amp;ROWS($A$5:A15),Rosters!$B$2:$C$162,2,0),"?")</f>
        <v>Zac</v>
      </c>
      <c r="B15" s="5" t="str">
        <f>_xlfn.IFNA(VLOOKUP($B$3&amp;ROWS($B$5:B15),Rosters!$B$2:$D$162,3,0),"?")</f>
        <v>Seljaas</v>
      </c>
      <c r="C15" s="5">
        <f>_xlfn.IFNA(VLOOKUP($B$3&amp;ROWS($C$5:C15),Rosters!$B$2:$E$162,4,0),"")</f>
        <v>99</v>
      </c>
      <c r="D15" s="5"/>
      <c r="E15" s="5">
        <v>4</v>
      </c>
      <c r="F15" s="5"/>
      <c r="G15" s="5"/>
      <c r="H15" s="5">
        <v>2</v>
      </c>
      <c r="I15" s="5"/>
      <c r="J15" s="5"/>
      <c r="K15" s="5">
        <v>4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4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4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4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4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4" x14ac:dyDescent="0.2">
      <c r="E20">
        <f>SUM(E5:E19)</f>
        <v>16</v>
      </c>
      <c r="H20">
        <f>SUM(H5:H19)</f>
        <v>42</v>
      </c>
      <c r="K20">
        <f>SUM(K5:K19)</f>
        <v>24</v>
      </c>
      <c r="N20">
        <f>SUM(N5:N19)</f>
        <v>2</v>
      </c>
      <c r="Q20">
        <f>SUM(Q5:Q19)</f>
        <v>9</v>
      </c>
      <c r="T20">
        <f>SUM(T5:T19)</f>
        <v>0</v>
      </c>
    </row>
    <row r="21" spans="1:24" x14ac:dyDescent="0.2">
      <c r="A21" s="2" t="s">
        <v>8</v>
      </c>
      <c r="B21" s="1" t="s">
        <v>269</v>
      </c>
    </row>
    <row r="22" spans="1:24" x14ac:dyDescent="0.2">
      <c r="A22" t="s">
        <v>1</v>
      </c>
      <c r="B22" t="s">
        <v>2</v>
      </c>
      <c r="C22" t="s">
        <v>0</v>
      </c>
      <c r="E22" t="s">
        <v>263</v>
      </c>
      <c r="H22" t="s">
        <v>264</v>
      </c>
      <c r="K22" t="s">
        <v>270</v>
      </c>
      <c r="N22" t="s">
        <v>271</v>
      </c>
      <c r="Q22" t="s">
        <v>272</v>
      </c>
      <c r="V22" t="s">
        <v>273</v>
      </c>
      <c r="W22">
        <v>1</v>
      </c>
      <c r="X22">
        <v>2</v>
      </c>
    </row>
    <row r="23" spans="1:24" s="6" customFormat="1" x14ac:dyDescent="0.2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5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1</v>
      </c>
      <c r="R23" s="5"/>
      <c r="S23" s="5"/>
      <c r="T23" s="5">
        <v>0</v>
      </c>
      <c r="U23" s="5"/>
    </row>
    <row r="24" spans="1:24" s="6" customFormat="1" x14ac:dyDescent="0.2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1</v>
      </c>
      <c r="H24" s="6">
        <v>2</v>
      </c>
      <c r="K24" s="6">
        <v>3</v>
      </c>
      <c r="N24" s="6">
        <v>0</v>
      </c>
      <c r="Q24" s="6">
        <v>2</v>
      </c>
      <c r="T24" s="6">
        <v>0</v>
      </c>
    </row>
    <row r="25" spans="1:24" s="6" customFormat="1" x14ac:dyDescent="0.2">
      <c r="A25" s="5" t="str">
        <f>_xlfn.IFNA(VLOOKUP($B$21&amp;ROWS($A$23:A25),Rosters!$B$2:$C$162,2,0),"?")</f>
        <v xml:space="preserve">Conner </v>
      </c>
      <c r="B25" s="5" t="str">
        <f>_xlfn.IFNA(VLOOKUP($B$21&amp;ROWS($B$23:B25),Rosters!$B$2:$D$162,3,0),"?")</f>
        <v>Toolson</v>
      </c>
      <c r="C25" s="5">
        <f>_xlfn.IFNA(VLOOKUP($B$21&amp;ROWS($C$23:C25),Rosters!$B$2:$E$162,4,0),"")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4" s="6" customFormat="1" x14ac:dyDescent="0.2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0</v>
      </c>
      <c r="H26" s="6">
        <v>4</v>
      </c>
      <c r="K26" s="6">
        <v>2</v>
      </c>
      <c r="N26" s="6">
        <v>2</v>
      </c>
      <c r="Q26" s="6">
        <v>2</v>
      </c>
      <c r="T26" s="6">
        <v>0</v>
      </c>
    </row>
    <row r="27" spans="1:24" s="6" customFormat="1" x14ac:dyDescent="0.2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0</v>
      </c>
      <c r="F27" s="5"/>
      <c r="G27" s="5"/>
      <c r="H27" s="5">
        <v>7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4" s="6" customFormat="1" x14ac:dyDescent="0.2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4" s="6" customFormat="1" x14ac:dyDescent="0.2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0</v>
      </c>
      <c r="F29" s="5"/>
      <c r="G29" s="5"/>
      <c r="H29" s="5">
        <v>2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2</v>
      </c>
      <c r="R29" s="5"/>
      <c r="S29" s="5"/>
      <c r="T29" s="5">
        <v>0</v>
      </c>
      <c r="U29" s="5"/>
    </row>
    <row r="30" spans="1:24" s="6" customFormat="1" x14ac:dyDescent="0.2">
      <c r="A30" s="6" t="str">
        <f>_xlfn.IFNA(VLOOKUP($B$21&amp;ROWS($A$23:A30),Rosters!$B$2:$C$162,2,0),"?")</f>
        <v>Trevor</v>
      </c>
      <c r="B30" s="6" t="str">
        <f>_xlfn.IFNA(VLOOKUP($B$21&amp;ROWS($B$23:B30),Rosters!$B$2:$D$162,3,0),"?")</f>
        <v>Thompson</v>
      </c>
      <c r="C30" s="6">
        <f>_xlfn.IFNA(VLOOKUP($B$21&amp;ROWS($C$23:C30),Rosters!$B$2:$E$162,4,0),"")</f>
        <v>23</v>
      </c>
      <c r="E30" s="6">
        <v>1</v>
      </c>
      <c r="H30" s="6">
        <v>9</v>
      </c>
      <c r="K30" s="6">
        <v>5</v>
      </c>
      <c r="N30" s="6">
        <v>1</v>
      </c>
      <c r="Q30" s="6">
        <v>0</v>
      </c>
      <c r="T30" s="6">
        <v>0</v>
      </c>
    </row>
    <row r="31" spans="1:24" s="6" customFormat="1" x14ac:dyDescent="0.2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4" s="6" customFormat="1" x14ac:dyDescent="0.2">
      <c r="A32" s="6" t="s">
        <v>235</v>
      </c>
      <c r="B32" s="6" t="s">
        <v>236</v>
      </c>
      <c r="C32" s="6">
        <v>0</v>
      </c>
      <c r="E32" s="6">
        <v>1</v>
      </c>
      <c r="H32" s="6">
        <v>6</v>
      </c>
      <c r="K32" s="6">
        <v>2</v>
      </c>
      <c r="N32" s="6">
        <v>0</v>
      </c>
      <c r="Q32" s="6">
        <v>1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3</v>
      </c>
      <c r="H38">
        <f>SUM(H23:H37)</f>
        <v>35</v>
      </c>
      <c r="K38">
        <f>SUM(K23:K37)</f>
        <v>14</v>
      </c>
      <c r="N38">
        <f>SUM(N23:N37)</f>
        <v>3</v>
      </c>
      <c r="Q38">
        <f>SUM(Q23:Q37)</f>
        <v>8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sqref="A1:E143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259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45</v>
      </c>
      <c r="B14" t="str">
        <f>A14&amp;COUNTIF($A$2:$A14,A14)</f>
        <v>Roberts 1</v>
      </c>
      <c r="C14" t="s">
        <v>60</v>
      </c>
      <c r="D14" t="s">
        <v>61</v>
      </c>
      <c r="E14">
        <v>0</v>
      </c>
    </row>
    <row r="15" spans="1:5" x14ac:dyDescent="0.2">
      <c r="A15" t="s">
        <v>45</v>
      </c>
      <c r="B15" t="str">
        <f>A15&amp;COUNTIF($A$2:$A15,A15)</f>
        <v>Roberts 2</v>
      </c>
      <c r="C15" t="s">
        <v>48</v>
      </c>
      <c r="D15" t="s">
        <v>49</v>
      </c>
      <c r="E15">
        <v>1</v>
      </c>
    </row>
    <row r="16" spans="1:5" x14ac:dyDescent="0.2">
      <c r="A16" t="s">
        <v>45</v>
      </c>
      <c r="B16" t="str">
        <f>A16&amp;COUNTIF($A$2:$A16,A16)</f>
        <v>Roberts 3</v>
      </c>
      <c r="C16" t="s">
        <v>65</v>
      </c>
      <c r="D16" t="s">
        <v>66</v>
      </c>
      <c r="E16">
        <v>2</v>
      </c>
    </row>
    <row r="17" spans="1:5" x14ac:dyDescent="0.2">
      <c r="A17" t="s">
        <v>45</v>
      </c>
      <c r="B17" t="str">
        <f>A17&amp;COUNTIF($A$2:$A17,A17)</f>
        <v>Roberts 4</v>
      </c>
      <c r="C17" t="s">
        <v>58</v>
      </c>
      <c r="D17" t="s">
        <v>59</v>
      </c>
      <c r="E17">
        <v>5</v>
      </c>
    </row>
    <row r="18" spans="1:5" x14ac:dyDescent="0.2">
      <c r="A18" t="s">
        <v>45</v>
      </c>
      <c r="B18" t="str">
        <f>A18&amp;COUNTIF($A$2:$A18,A18)</f>
        <v>Roberts 5</v>
      </c>
      <c r="C18" t="s">
        <v>64</v>
      </c>
      <c r="D18" t="s">
        <v>21</v>
      </c>
      <c r="E18">
        <v>9</v>
      </c>
    </row>
    <row r="19" spans="1:5" x14ac:dyDescent="0.2">
      <c r="A19" t="s">
        <v>45</v>
      </c>
      <c r="B19" t="str">
        <f>A19&amp;COUNTIF($A$2:$A19,A19)</f>
        <v>Roberts 6</v>
      </c>
      <c r="C19" t="s">
        <v>67</v>
      </c>
      <c r="D19" t="s">
        <v>31</v>
      </c>
      <c r="E19">
        <v>9</v>
      </c>
    </row>
    <row r="20" spans="1:5" x14ac:dyDescent="0.2">
      <c r="A20" t="s">
        <v>45</v>
      </c>
      <c r="B20" t="str">
        <f>A20&amp;COUNTIF($A$2:$A20,A20)</f>
        <v>Roberts 7</v>
      </c>
      <c r="C20" t="s">
        <v>68</v>
      </c>
      <c r="D20" t="s">
        <v>69</v>
      </c>
      <c r="E20">
        <v>12</v>
      </c>
    </row>
    <row r="21" spans="1:5" x14ac:dyDescent="0.2">
      <c r="A21" t="s">
        <v>45</v>
      </c>
      <c r="B21" t="str">
        <f>A21&amp;COUNTIF($A$2:$A21,A21)</f>
        <v>Roberts 8</v>
      </c>
      <c r="C21" t="s">
        <v>46</v>
      </c>
      <c r="D21" t="s">
        <v>47</v>
      </c>
      <c r="E21">
        <v>13</v>
      </c>
    </row>
    <row r="22" spans="1:5" x14ac:dyDescent="0.2">
      <c r="A22" t="s">
        <v>45</v>
      </c>
      <c r="B22" t="str">
        <f>A22&amp;COUNTIF($A$2:$A22,A22)</f>
        <v>Roberts 9</v>
      </c>
      <c r="C22" t="s">
        <v>62</v>
      </c>
      <c r="D22" t="s">
        <v>63</v>
      </c>
      <c r="E22">
        <v>15</v>
      </c>
    </row>
    <row r="23" spans="1:5" x14ac:dyDescent="0.2">
      <c r="A23" t="s">
        <v>45</v>
      </c>
      <c r="B23" t="str">
        <f>A23&amp;COUNTIF($A$2:$A23,A23)</f>
        <v>Roberts 10</v>
      </c>
      <c r="C23" t="s">
        <v>52</v>
      </c>
      <c r="D23" t="s">
        <v>53</v>
      </c>
      <c r="E23">
        <v>21</v>
      </c>
    </row>
    <row r="24" spans="1:5" x14ac:dyDescent="0.2">
      <c r="A24" t="s">
        <v>45</v>
      </c>
      <c r="B24" t="str">
        <f>A24&amp;COUNTIF($A$2:$A24,A24)</f>
        <v>Roberts 11</v>
      </c>
      <c r="C24" t="s">
        <v>50</v>
      </c>
      <c r="D24" t="s">
        <v>51</v>
      </c>
      <c r="E24">
        <v>22</v>
      </c>
    </row>
    <row r="25" spans="1:5" x14ac:dyDescent="0.2">
      <c r="A25" t="s">
        <v>45</v>
      </c>
      <c r="B25" t="str">
        <f>A25&amp;COUNTIF($A$2:$A25,A25)</f>
        <v>Roberts 12</v>
      </c>
      <c r="C25" t="s">
        <v>56</v>
      </c>
      <c r="D25" t="s">
        <v>57</v>
      </c>
      <c r="E25">
        <v>23</v>
      </c>
    </row>
    <row r="26" spans="1:5" x14ac:dyDescent="0.2">
      <c r="A26" t="s">
        <v>45</v>
      </c>
      <c r="B26" t="str">
        <f>A26&amp;COUNTIF($A$2:$A26,A26)</f>
        <v>Roberts 13</v>
      </c>
      <c r="C26" t="s">
        <v>54</v>
      </c>
      <c r="D26" t="s">
        <v>55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86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95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114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158</v>
      </c>
      <c r="D65" t="s">
        <v>159</v>
      </c>
      <c r="E65" s="7" t="s">
        <v>266</v>
      </c>
    </row>
    <row r="66" spans="1:5" x14ac:dyDescent="0.2">
      <c r="A66" t="s">
        <v>14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139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178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86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198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213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229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146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244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2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2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2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2021-07-10T14:36:30Z</dcterms:modified>
</cp:coreProperties>
</file>