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4/"/>
    </mc:Choice>
  </mc:AlternateContent>
  <xr:revisionPtr revIDLastSave="0" documentId="13_ncr:1_{B56793AF-DED7-EE47-BCB9-6231E576460F}" xr6:coauthVersionLast="47" xr6:coauthVersionMax="47" xr10:uidLastSave="{00000000-0000-0000-0000-000000000000}"/>
  <bookViews>
    <workbookView xWindow="0" yWindow="500" windowWidth="13140" windowHeight="153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A30" i="1"/>
  <c r="F29" i="2" s="1"/>
  <c r="B19" i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<sst xmlns="http://schemas.openxmlformats.org/spreadsheetml/2006/main" count="489" uniqueCount="272">
  <si>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</si>
  <si>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</si>
  <si>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</si>
  <si>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</si>
  <si>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</si>
  <si>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</si>
  <si>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</si>
  <si>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</si>
  <si>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</si>
  <si>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</si>
  <si>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</si>
  <si>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</si>
  <si>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</si>
  <si>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</si>
  <si>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</si>
  <si>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</si>
  <si>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</si>
  <si>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</si>
  <si>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</si>
  <si>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</si>
  <si>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</si>
  <si>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</si>
  <si>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</si>
  <si>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</si>
  <si>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</si>
  <si>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</si>
  <si>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</si>
  <si>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</si>
  <si>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</si>
  <si>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</si>
  <si>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</si>
  <si>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</si>
  <si>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</si>
  <si>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</si>
  <si>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</si>
  <si>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</si>
  <si>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</si>
  <si>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</si>
  <si>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</si>
  <si>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</si>
  <si>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</si>
  <si>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</si>
  <si>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</si>
  <si>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</si>
  <si>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</si>
  <si>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</si>
  <si>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</si>
  <si>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</si>
  <si>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</si>
  <si>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</si>
  <si>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</si>
  <si>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</si>
  <si>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</si>
  <si>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</si>
  <si>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</si>
  <si>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</si>
  <si>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</si>
  <si>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</si>
  <si>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</si>
  <si>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</si>
  <si>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</si>
  <si>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</si>
  <si>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</si>
  <si>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</si>
  <si>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</si>
  <si>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</si>
  <si>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</si>
  <si>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</si>
  <si>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</si>
  <si>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</si>
  <si>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</si>
  <si>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</si>
  <si>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</si>
  <si>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</si>
  <si>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</si>
  <si>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</si>
  <si>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</si>
  <si>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</si>
  <si>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</si>
  <si>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</si>
  <si>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</si>
  <si>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</si>
  <si>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</si>
  <si>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</si>
  <si>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</si>
  <si>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</si>
  <si>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</si>
  <si>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</si>
  <si>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</si>
  <si>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</si>
  <si>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</si>
  <si>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</si>
  <si>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</si>
  <si>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</si>
  <si>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</si>
  <si>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</si>
  <si>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</si>
  <si>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</si>
  <si>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</si>
  <si>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</si>
  <si>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</si>
  <si>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</si>
  <si>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</si>
  <si>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</si>
  <si>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</si>
  <si>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</si>
  <si>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</si>
  <si>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</si>
  <si>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</si>
  <si>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</si>
  <si>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</si>
  <si>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</si>
  <si>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</si>
  <si>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</si>
  <si>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</si>
  <si>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</si>
  <si>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</si>
  <si>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</si>
  <si>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</si>
  <si>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</si>
  <si>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</si>
  <si>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</si>
  <si>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</si>
  <si>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</si>
  <si>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</si>
  <si>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</si>
  <si>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</si>
  <si>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</si>
  <si>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</si>
  <si>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</si>
  <si>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</si>
  <si>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</si>
  <si>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</si>
  <si>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</si>
  <si>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</si>
  <si>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</si>
  <si>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</si>
  <si>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</si>
  <si>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</si>
  <si>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</si>
  <si>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</si>
  <si>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</si>
  <si>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</si>
  <si>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</si>
  <si>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</si>
  <si>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</si>
  <si>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</si>
  <si>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</si>
  <si>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</si>
  <si>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</si>
  <si>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</si>
  <si>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</si>
  <si>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</si>
  <si>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</si>
  <si>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</si>
  <si>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</si>
  <si>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</si>
  <si>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</si>
  <si>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</si>
  <si>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</si>
  <si>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</si>
  <si>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</si>
  <si>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</si>
  <si>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</si>
  <si>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</si>
  <si>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</si>
  <si>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</si>
  <si>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</si>
  <si>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</si>
  <si>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</si>
  <si>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</si>
  <si>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</si>
  <si>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</si>
  <si>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</si>
  <si>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</si>
  <si>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</si>
  <si>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</si>
  <si>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</si>
  <si>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</si>
  <si>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</si>
  <si>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</si>
  <si>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</si>
  <si>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</si>
  <si>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</si>
  <si>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</si>
  <si>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</si>
  <si>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</si>
  <si>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</si>
  <si>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</si>
  <si>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</si>
  <si>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</si>
  <si>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</si>
  <si>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</si>
  <si>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</si>
  <si>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</si>
  <si>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</si>
  <si>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</si>
  <si>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</si>
  <si>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</si>
  <si>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</si>
  <si>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</si>
  <si>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</si>
  <si>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</si>
  <si>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</si>
  <si>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</si>
  <si>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</si>
  <si>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</si>
  <si>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</si>
  <si>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</si>
  <si>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</si>
  <si>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</si>
  <si>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</si>
  <si>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</si>
  <si>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</si>
  <si>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</si>
  <si>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</si>
  <si>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</si>
  <si>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</si>
  <si>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</si>
  <si>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</si>
  <si>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</si>
  <si>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</si>
  <si>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</si>
  <si>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</si>
  <si>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</si>
  <si>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</si>
  <si>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</si>
  <si>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</si>
  <si>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</si>
  <si>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</si>
  <si>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</si>
  <si>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</si>
  <si>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</si>
  <si>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</si>
  <si>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</si>
  <si>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</si>
  <si>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</si>
  <si>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</si>
  <si>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</si>
  <si>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</si>
  <si>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</si>
  <si>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</si>
  <si>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</si>
  <si>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</si>
  <si>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</si>
  <si>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</si>
  <si>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</si>
  <si>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</si>
  <si>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</si>
  <si>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</si>
  <si>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</si>
  <si>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</si>
  <si>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</si>
  <si>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</si>
  <si>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</si>
  <si>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</si>
  <si>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</si>
  <si>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</si>
  <si>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</si>
  <si>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</si>
  <si>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</si>
  <si>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</si>
  <si>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</si>
  <si>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</si>
  <si>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</si>
  <si>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</si>
  <si>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</si>
  <si>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</si>
  <si>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</si>
  <si>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Lewis</t>
  </si>
  <si>
    <t>?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</si>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</sst>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12" sqref="G12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Dastrop</v>
      </c>
    </row>
    <row r="2" spans="2:12" x14ac:dyDescent="0.2">
      <c r="B2" t="str">
        <f>G1</f>
        <v>Dastrop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250</v>
      </c>
      <c r="J2" t="s">
        <v>246</v>
      </c>
      <c r="K2" t="s">
        <v>247</v>
      </c>
      <c r="L2" t="s">
        <v>249</v>
      </c>
    </row>
    <row r="3" spans="2:12" x14ac:dyDescent="0.2">
      <c r="B3">
        <f>I18</f>
        <v>22</v>
      </c>
      <c r="C3" s="3" t="s">
        <v>6</v>
      </c>
      <c r="D3" s="4">
        <f>J37</f>
        <v>9</v>
      </c>
      <c r="F3" t="str">
        <f>'Stats G1'!A5</f>
        <v>Taylor</v>
      </c>
      <c r="G3" t="str">
        <f>'Stats G1'!B5</f>
        <v>Miller</v>
      </c>
      <c r="H3">
        <f>'Stats G1'!C5</f>
        <v>0</v>
      </c>
      <c r="I3">
        <f>'Stats G1'!E5</f>
        <v>8</v>
      </c>
      <c r="J3">
        <f>'Stats G1'!H5</f>
        <v>1</v>
      </c>
      <c r="K3">
        <f>'Stats G1'!K5</f>
        <v>0</v>
      </c>
    </row>
    <row r="4" spans="2:12" x14ac:dyDescent="0.2">
      <c r="F4" t="str">
        <f>'Stats G1'!A6</f>
        <v>Quae</v>
      </c>
      <c r="G4" t="str">
        <f>'Stats G1'!B6</f>
        <v>Furlow</v>
      </c>
      <c r="H4">
        <f>'Stats G1'!C6</f>
        <v>1</v>
      </c>
      <c r="I4">
        <f>'Stats G1'!E6</f>
        <v>0</v>
      </c>
      <c r="J4">
        <f>'Stats G1'!H6</f>
        <v>1</v>
      </c>
      <c r="K4">
        <f>'Stats G1'!K6</f>
        <v>0</v>
      </c>
    </row>
    <row r="5" spans="2:12" x14ac:dyDescent="0.2">
      <c r="F5" t="str">
        <f>'Stats G1'!A7</f>
        <v>Jordan</v>
      </c>
      <c r="G5" t="str">
        <f>'Stats G1'!B7</f>
        <v>Gazdik</v>
      </c>
      <c r="H5">
        <f>'Stats G1'!C7</f>
        <v>2</v>
      </c>
      <c r="I5">
        <f>'Stats G1'!E7</f>
        <v>0</v>
      </c>
      <c r="J5">
        <f>'Stats G1'!H7</f>
        <v>0</v>
      </c>
      <c r="K5">
        <f>'Stats G1'!K7</f>
        <v>0</v>
      </c>
    </row>
    <row r="6" spans="2:12" x14ac:dyDescent="0.2">
      <c r="F6" t="str">
        <f>'Stats G1'!A8</f>
        <v>Cory</v>
      </c>
      <c r="G6" t="str">
        <f>'Stats G1'!B8</f>
        <v>Calvert</v>
      </c>
      <c r="H6">
        <f>'Stats G1'!C8</f>
        <v>3</v>
      </c>
      <c r="I6">
        <f>'Stats G1'!E8</f>
        <v>0</v>
      </c>
      <c r="J6">
        <f>'Stats G1'!H8</f>
        <v>0</v>
      </c>
      <c r="K6">
        <f>'Stats G1'!K8</f>
        <v>0</v>
      </c>
    </row>
    <row r="7" spans="2:12" x14ac:dyDescent="0.2">
      <c r="F7" t="str">
        <f>'Stats G1'!A9</f>
        <v>Chris</v>
      </c>
      <c r="G7" t="str">
        <f>'Stats G1'!B9</f>
        <v>Seeley</v>
      </c>
      <c r="H7">
        <f>'Stats G1'!C9</f>
        <v>4</v>
      </c>
      <c r="I7">
        <f>'Stats G1'!E9</f>
        <v>0</v>
      </c>
      <c r="J7">
        <f>'Stats G1'!H9</f>
        <v>0</v>
      </c>
      <c r="K7">
        <f>'Stats G1'!K9</f>
        <v>0</v>
      </c>
    </row>
    <row r="8" spans="2:12" x14ac:dyDescent="0.2">
      <c r="F8" t="str">
        <f>'Stats G1'!A10</f>
        <v>Kylor</v>
      </c>
      <c r="G8" t="str">
        <f>'Stats G1'!B10</f>
        <v>Kelley</v>
      </c>
      <c r="H8">
        <f>'Stats G1'!C10</f>
        <v>6</v>
      </c>
      <c r="I8">
        <f>'Stats G1'!E10</f>
        <v>0</v>
      </c>
      <c r="J8">
        <f>'Stats G1'!H10</f>
        <v>0</v>
      </c>
      <c r="K8">
        <f>'Stats G1'!K10</f>
        <v>2</v>
      </c>
    </row>
    <row r="9" spans="2:12" x14ac:dyDescent="0.2">
      <c r="F9" t="str">
        <f>'Stats G1'!A11</f>
        <v>Hunter</v>
      </c>
      <c r="G9" t="str">
        <f>'Stats G1'!B11</f>
        <v>Erickson</v>
      </c>
      <c r="H9">
        <f>'Stats G1'!C11</f>
        <v>10</v>
      </c>
      <c r="I9">
        <f>'Stats G1'!E11</f>
        <v>6</v>
      </c>
      <c r="J9">
        <f>'Stats G1'!H11</f>
        <v>0</v>
      </c>
      <c r="K9">
        <f>'Stats G1'!K11</f>
        <v>0</v>
      </c>
    </row>
    <row r="10" spans="2:12" x14ac:dyDescent="0.2">
      <c r="F10" t="str">
        <f>'Stats G1'!A12</f>
        <v>Sedrick</v>
      </c>
      <c r="G10" t="str">
        <f>'Stats G1'!B12</f>
        <v>Barefield</v>
      </c>
      <c r="H10">
        <f>'Stats G1'!C12</f>
        <v>11</v>
      </c>
      <c r="I10">
        <f>'Stats G1'!E12</f>
        <v>4</v>
      </c>
      <c r="J10">
        <f>'Stats G1'!H12</f>
        <v>3</v>
      </c>
      <c r="K10">
        <f>'Stats G1'!K12</f>
        <v>0</v>
      </c>
    </row>
    <row r="11" spans="2:12" x14ac:dyDescent="0.2">
      <c r="F11" t="str">
        <f>'Stats G1'!A13</f>
        <v>Mckay</v>
      </c>
      <c r="G11" t="str">
        <f>'Stats G1'!B13</f>
        <v>Johnson</v>
      </c>
      <c r="H11">
        <f>'Stats G1'!C13</f>
        <v>13</v>
      </c>
      <c r="I11">
        <f>'Stats G1'!E13</f>
        <v>3</v>
      </c>
      <c r="J11">
        <f>'Stats G1'!H13</f>
        <v>0</v>
      </c>
      <c r="K11">
        <f>'Stats G1'!K13</f>
        <v>1</v>
      </c>
    </row>
    <row r="12" spans="2:12" x14ac:dyDescent="0.2">
      <c r="F12" t="str">
        <f>'Stats G1'!A14</f>
        <v>Khalil</v>
      </c>
      <c r="G12" t="str">
        <f>'Stats G1'!B14</f>
        <v>Ahmad</v>
      </c>
      <c r="H12">
        <f>'Stats G1'!C14</f>
        <v>14</v>
      </c>
      <c r="I12">
        <f>'Stats G1'!E14</f>
        <v>0</v>
      </c>
      <c r="J12">
        <f>'Stats G1'!H14</f>
        <v>0</v>
      </c>
      <c r="K12">
        <f>'Stats G1'!K14</f>
        <v>0</v>
      </c>
    </row>
    <row r="13" spans="2:12" x14ac:dyDescent="0.2">
      <c r="F13" t="str">
        <f>'Stats G1'!A15</f>
        <v>Payton</v>
      </c>
      <c r="G13" t="str">
        <f>'Stats G1'!B15</f>
        <v>Dastrop</v>
      </c>
      <c r="H13">
        <f>'Stats G1'!C15</f>
        <v>15</v>
      </c>
      <c r="I13">
        <f>'Stats G1'!E15</f>
        <v>0</v>
      </c>
      <c r="J13">
        <f>'Stats G1'!H15</f>
        <v>0</v>
      </c>
      <c r="K13">
        <f>'Stats G1'!K15</f>
        <v>0</v>
      </c>
    </row>
    <row r="14" spans="2:12" x14ac:dyDescent="0.2">
      <c r="F14" t="str">
        <f>'Stats G1'!A16</f>
        <v>John</v>
      </c>
      <c r="G14" t="str">
        <f>'Stats G1'!B16</f>
        <v>Bennett</v>
      </c>
      <c r="H14">
        <f>'Stats G1'!C16</f>
        <v>22</v>
      </c>
      <c r="I14">
        <f>'Stats G1'!E16</f>
        <v>0</v>
      </c>
      <c r="J14">
        <f>'Stats G1'!H16</f>
        <v>0</v>
      </c>
      <c r="K14">
        <f>'Stats G1'!K16</f>
        <v>0</v>
      </c>
    </row>
    <row r="15" spans="2:12" x14ac:dyDescent="0.2">
      <c r="F15" t="str">
        <f>'Stats G1'!A17</f>
        <v>Caleb</v>
      </c>
      <c r="G15" t="str">
        <f>'Stats G1'!B17</f>
        <v>Lohner</v>
      </c>
      <c r="H15">
        <f>'Stats G1'!C17</f>
        <v>33</v>
      </c>
      <c r="I15">
        <f>'Stats G1'!E17</f>
        <v>0</v>
      </c>
      <c r="J15">
        <f>'Stats G1'!H17</f>
        <v>0</v>
      </c>
      <c r="K15">
        <f>'Stats G1'!K17</f>
        <v>0</v>
      </c>
    </row>
    <row r="16" spans="2:12" x14ac:dyDescent="0.2">
      <c r="F16" t="str">
        <f>'Stats G1'!A18</f>
        <v>Johnny</v>
      </c>
      <c r="G16" t="str">
        <f>'Stats G1'!B18</f>
        <v>Dupre</v>
      </c>
      <c r="H16">
        <f>'Stats G1'!C18</f>
        <v>41</v>
      </c>
      <c r="I16">
        <f>'Stats G1'!E18</f>
        <v>0</v>
      </c>
      <c r="J16">
        <f>'Stats G1'!H18</f>
        <v>0</v>
      </c>
      <c r="K16">
        <f>'Stats G1'!K18</f>
        <v>0</v>
      </c>
    </row>
    <row r="17" spans="6:12" x14ac:dyDescent="0.2">
      <c r="F17" t="str">
        <f>'Stats G1'!A19</f>
        <v>Lewis</v>
      </c>
      <c r="G17" t="s">
        <v>270</v>
      </c>
      <c r="H17">
        <f>'Stats G1'!C19</f>
        <v>13</v>
      </c>
      <c r="I17">
        <f>'Stats G1'!E19</f>
        <v>1</v>
      </c>
      <c r="J17">
        <f>'Stats G1'!H19</f>
        <v>0</v>
      </c>
      <c r="K17">
        <f>'Stats G1'!K19</f>
        <v>0</v>
      </c>
    </row>
    <row r="18" spans="6:12" x14ac:dyDescent="0.2">
      <c r="H18" s="2" t="s">
        <v>5</v>
      </c>
      <c r="I18">
        <f>SUM(I3:I17)</f>
        <v>22</v>
      </c>
      <c r="J18">
        <f>SUM(J3:J17)</f>
        <v>5</v>
      </c>
      <c r="K18">
        <f>SUM(K3:K17)</f>
        <v>3</v>
      </c>
      <c r="L18">
        <f>'Stats G1'!W5</f>
        <v>1</v>
      </c>
    </row>
    <row r="20" spans="6:12" x14ac:dyDescent="0.2">
      <c r="F20" t="s">
        <v>4</v>
      </c>
      <c r="G20" t="str">
        <f>'Stats G1'!B21</f>
        <v>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250</v>
      </c>
      <c r="J21" t="s">
        <v>246</v>
      </c>
      <c r="K21" t="s">
        <v>247</v>
      </c>
      <c r="L21" t="s">
        <v>249</v>
      </c>
    </row>
    <row r="22" spans="6:12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G1'!E23</f>
        <v>0</v>
      </c>
      <c r="J22">
        <f>'Stats G1'!H23</f>
        <v>0</v>
      </c>
      <c r="K22">
        <f>'Stats G1'!K23</f>
        <v>0</v>
      </c>
    </row>
    <row r="23" spans="6:12" x14ac:dyDescent="0.2">
      <c r="F23" t="str">
        <f>'Stats G1'!A24</f>
        <v>Festus</v>
      </c>
      <c r="G23" t="str">
        <f>'Stats G1'!B24</f>
        <v>Ndumanya</v>
      </c>
      <c r="H23" t="s">
        <v>271</v>
      </c>
      <c r="I23">
        <f>'Stats G1'!E24</f>
        <v>1</v>
      </c>
      <c r="J23">
        <f>'Stats G1'!H24</f>
        <v>1</v>
      </c>
      <c r="K23">
        <f>'Stats G1'!K24</f>
        <v>1</v>
      </c>
    </row>
    <row r="24" spans="6:12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G1'!E25</f>
        <v>0</v>
      </c>
      <c r="J24">
        <f>'Stats G1'!H25</f>
        <v>0</v>
      </c>
      <c r="K24">
        <f>'Stats G1'!K25</f>
        <v>0</v>
      </c>
    </row>
    <row r="25" spans="6:12" x14ac:dyDescent="0.2">
      <c r="F25" t="str">
        <f>'Stats G1'!A26</f>
        <v>Oscar</v>
      </c>
      <c r="G25" t="str">
        <f>'Stats G1'!B26</f>
        <v>Lopez</v>
      </c>
      <c r="H25">
        <f>'Stats G1'!C26</f>
        <v>3</v>
      </c>
      <c r="I25">
        <f>'Stats G1'!E26</f>
        <v>3</v>
      </c>
      <c r="J25">
        <f>'Stats G1'!H26</f>
        <v>0</v>
      </c>
      <c r="K25">
        <f>'Stats G1'!K26</f>
        <v>0</v>
      </c>
    </row>
    <row r="26" spans="6:12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G1'!E27</f>
        <v>1</v>
      </c>
      <c r="J26">
        <f>'Stats G1'!H27</f>
        <v>0</v>
      </c>
      <c r="K26">
        <f>'Stats G1'!K27</f>
        <v>0</v>
      </c>
    </row>
    <row r="27" spans="6:12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G1'!E28</f>
        <v>2</v>
      </c>
      <c r="J27">
        <f>'Stats G1'!H28</f>
        <v>3</v>
      </c>
      <c r="K27">
        <f>'Stats G1'!K28</f>
        <v>0</v>
      </c>
    </row>
    <row r="28" spans="6:12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G1'!E29</f>
        <v>2</v>
      </c>
      <c r="J28">
        <f>'Stats G1'!H29</f>
        <v>2</v>
      </c>
      <c r="K28">
        <f>'Stats G1'!K29</f>
        <v>0</v>
      </c>
    </row>
    <row r="29" spans="6:12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G1'!E30</f>
        <v>0</v>
      </c>
      <c r="J29">
        <f>'Stats G1'!H30</f>
        <v>0</v>
      </c>
      <c r="K29">
        <f>'Stats G1'!K30</f>
        <v>0</v>
      </c>
    </row>
    <row r="30" spans="6:12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G1'!E31</f>
        <v>4</v>
      </c>
      <c r="J30">
        <f>'Stats G1'!H31</f>
        <v>2</v>
      </c>
      <c r="K30">
        <f>'Stats G1'!K31</f>
        <v>0</v>
      </c>
    </row>
    <row r="31" spans="6:12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G1'!E32</f>
        <v>0</v>
      </c>
      <c r="J31">
        <f>'Stats G1'!H32</f>
        <v>0</v>
      </c>
      <c r="K31">
        <f>'Stats G1'!K32</f>
        <v>0</v>
      </c>
    </row>
    <row r="32" spans="6:12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G1'!E33</f>
        <v>0</v>
      </c>
      <c r="J32">
        <f>'Stats G1'!H33</f>
        <v>0</v>
      </c>
      <c r="K32">
        <f>'Stats G1'!K33</f>
        <v>0</v>
      </c>
    </row>
    <row r="33" spans="6:12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G1'!E34</f>
        <v>0</v>
      </c>
      <c r="J33">
        <f>'Stats G1'!H34</f>
        <v>1</v>
      </c>
      <c r="K33">
        <f>'Stats G1'!K34</f>
        <v>0</v>
      </c>
    </row>
    <row r="34" spans="6:12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G1'!E35</f>
        <v>0</v>
      </c>
      <c r="J34">
        <f>'Stats G1'!H35</f>
        <v>0</v>
      </c>
      <c r="K34">
        <f>'Stats G1'!K35</f>
        <v>0</v>
      </c>
    </row>
    <row r="35" spans="6:12" x14ac:dyDescent="0.2">
      <c r="F35" t="str">
        <f>'Stats G1'!A36</f>
        <v>?</v>
      </c>
      <c r="G35" t="str">
        <f>'Stats G1'!B36</f>
        <v>?</v>
      </c>
      <c r="I35">
        <f>'Stats G1'!E36</f>
        <v>0</v>
      </c>
      <c r="J35">
        <f>'Stats G1'!H36</f>
        <v>0</v>
      </c>
      <c r="K35">
        <f>'Stats G1'!K36</f>
        <v>0</v>
      </c>
    </row>
    <row r="36" spans="6:12" x14ac:dyDescent="0.2">
      <c r="F36" t="str">
        <f>'Stats G1'!A37</f>
        <v>?</v>
      </c>
      <c r="G36" t="str">
        <f>'Stats G1'!B37</f>
        <v>?</v>
      </c>
      <c r="I36">
        <f>'Stats G1'!E37</f>
        <v>0</v>
      </c>
      <c r="J36">
        <f>'Stats G1'!H37</f>
        <v>0</v>
      </c>
      <c r="K36">
        <f>'Stats G1'!K37</f>
        <v>0</v>
      </c>
    </row>
    <row r="37" spans="6:12" x14ac:dyDescent="0.2">
      <c r="H37" s="2" t="s">
        <v>5</v>
      </c>
      <c r="I37">
        <f>SUM(I22:I36)</f>
        <v>13</v>
      </c>
      <c r="J37">
        <f>SUM(J22:J36)</f>
        <v>9</v>
      </c>
      <c r="K37">
        <f>SUM(K22:K36)</f>
        <v>1</v>
      </c>
      <c r="L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W9" sqref="W9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16</v>
      </c>
    </row>
    <row r="4" spans="1:23" x14ac:dyDescent="0.2">
      <c r="A4" t="s">
        <v>1</v>
      </c>
      <c r="B4" t="s">
        <v>2</v>
      </c>
      <c r="C4" t="s">
        <v>0</v>
      </c>
      <c r="E4" t="s">
        <v>250</v>
      </c>
      <c r="H4" t="s">
        <v>246</v>
      </c>
      <c r="K4" t="s">
        <v>247</v>
      </c>
    </row>
    <row r="5" spans="1:23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8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248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0</v>
      </c>
      <c r="H6" s="6">
        <v>1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0</v>
      </c>
      <c r="K10" s="6">
        <v>2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6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Sedrick</v>
      </c>
      <c r="B12" s="6" t="str">
        <f>_xlfn.IFNA(VLOOKUP($B$3&amp;ROWS($B$5:B12),Rosters!$B$2:$D$162,3,0),"?")</f>
        <v>Barefield</v>
      </c>
      <c r="C12" s="6">
        <f>_xlfn.IFNA(VLOOKUP($B$3&amp;ROWS($C$5:C12),Rosters!$B$2:$E$162,4,0),"")</f>
        <v>11</v>
      </c>
      <c r="E12" s="6">
        <v>4</v>
      </c>
      <c r="H12" s="6">
        <v>3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3</v>
      </c>
      <c r="F13" s="5"/>
      <c r="G13" s="5"/>
      <c r="H13" s="5">
        <v>0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Payton</v>
      </c>
      <c r="B15" s="5" t="str">
        <f>_xlfn.IFNA(VLOOKUP($B$3&amp;ROWS($B$5:B15),Rosters!$B$2:$D$162,3,0),"?")</f>
        <v>Dastrop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Caleb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">
        <v>269</v>
      </c>
      <c r="B19" s="5" t="str">
        <f>_xlfn.IFNA(VLOOKUP($B$3&amp;ROWS($B$5:B19),Rosters!$B$2:$D$162,3,0),"?")</f>
        <v>?</v>
      </c>
      <c r="C19" s="5">
        <v>13</v>
      </c>
      <c r="D19" s="5"/>
      <c r="E19" s="5">
        <v>1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22</v>
      </c>
      <c r="H20">
        <f>SUM(H5:H19)</f>
        <v>5</v>
      </c>
      <c r="K20">
        <f>SUM(K5:K19)</f>
        <v>3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15</v>
      </c>
    </row>
    <row r="22" spans="1:22" x14ac:dyDescent="0.2">
      <c r="A22" t="s">
        <v>1</v>
      </c>
      <c r="B22" t="s">
        <v>2</v>
      </c>
      <c r="C22" t="s">
        <v>0</v>
      </c>
      <c r="E22" t="s">
        <v>250</v>
      </c>
      <c r="H22" t="s">
        <v>246</v>
      </c>
      <c r="K22" t="s">
        <v>247</v>
      </c>
    </row>
    <row r="23" spans="1:22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248</v>
      </c>
    </row>
    <row r="24" spans="1:22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1</v>
      </c>
      <c r="H24" s="6">
        <v>1</v>
      </c>
      <c r="K24" s="6">
        <v>1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Oscar</v>
      </c>
      <c r="B26" s="6" t="str">
        <f>_xlfn.IFNA(VLOOKUP($B$21&amp;ROWS($B$23:B26),Rosters!$B$2:$D$162,3,0),"?")</f>
        <v>Lopez</v>
      </c>
      <c r="C26" s="6">
        <f>_xlfn.IFNA(VLOOKUP($B$21&amp;ROWS($C$23:C26),Rosters!$B$2:$E$162,4,0),"")</f>
        <v>3</v>
      </c>
      <c r="E26" s="6">
        <v>3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1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2</v>
      </c>
      <c r="H28" s="6">
        <v>3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2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4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Jaxon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1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13</v>
      </c>
      <c r="H38">
        <f>SUM(H23:H37)</f>
        <v>9</v>
      </c>
      <c r="K38">
        <f>SUM(K23:K37)</f>
        <v>1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4" sqref="B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243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33</v>
      </c>
      <c r="D4" t="s">
        <v>34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254</v>
      </c>
      <c r="D5" t="s">
        <v>36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37</v>
      </c>
      <c r="D6" t="s">
        <v>38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255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256</v>
      </c>
      <c r="D8" t="s">
        <v>35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253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39</v>
      </c>
      <c r="D12" t="s">
        <v>40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41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56</v>
      </c>
      <c r="D14" t="s">
        <v>57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44</v>
      </c>
      <c r="D15" t="s">
        <v>45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61</v>
      </c>
      <c r="D16" t="s">
        <v>62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54</v>
      </c>
      <c r="D17" t="s">
        <v>55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60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63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64</v>
      </c>
      <c r="D20" t="s">
        <v>65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42</v>
      </c>
      <c r="D21" t="s">
        <v>43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58</v>
      </c>
      <c r="D22" t="s">
        <v>59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48</v>
      </c>
      <c r="D23" t="s">
        <v>49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46</v>
      </c>
      <c r="D24" t="s">
        <v>47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52</v>
      </c>
      <c r="D25" t="s">
        <v>53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50</v>
      </c>
      <c r="D26" t="s">
        <v>51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66</v>
      </c>
      <c r="D27" t="s">
        <v>257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72</v>
      </c>
      <c r="D28" t="s">
        <v>73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81</v>
      </c>
      <c r="D29" t="s">
        <v>82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74</v>
      </c>
      <c r="D30" t="s">
        <v>75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258</v>
      </c>
      <c r="D31" t="s">
        <v>67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68</v>
      </c>
      <c r="D32" t="s">
        <v>69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78</v>
      </c>
      <c r="D33" t="s">
        <v>79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80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76</v>
      </c>
      <c r="D35" t="s">
        <v>77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83</v>
      </c>
      <c r="D36" t="s">
        <v>84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70</v>
      </c>
      <c r="D37" t="s">
        <v>71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85</v>
      </c>
      <c r="D38" t="s">
        <v>86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94</v>
      </c>
      <c r="D39" t="s">
        <v>95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92</v>
      </c>
      <c r="D40" t="s">
        <v>93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96</v>
      </c>
      <c r="D41" t="s">
        <v>97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259</v>
      </c>
      <c r="D42" t="s">
        <v>102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90</v>
      </c>
      <c r="D43" t="s">
        <v>91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103</v>
      </c>
      <c r="D44" t="s">
        <v>104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87</v>
      </c>
      <c r="D45" t="s">
        <v>88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98</v>
      </c>
      <c r="D46" t="s">
        <v>99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105</v>
      </c>
      <c r="D47" t="s">
        <v>106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89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100</v>
      </c>
      <c r="D49" t="s">
        <v>101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113</v>
      </c>
      <c r="D51" t="s">
        <v>114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117</v>
      </c>
      <c r="D52" t="s">
        <v>118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48</v>
      </c>
      <c r="D53" t="s">
        <v>119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109</v>
      </c>
      <c r="D54" t="s">
        <v>110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124</v>
      </c>
      <c r="D55" t="s">
        <v>125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111</v>
      </c>
      <c r="D56" t="s">
        <v>112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80</v>
      </c>
      <c r="D57" t="s">
        <v>121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126</v>
      </c>
      <c r="D58" t="s">
        <v>127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115</v>
      </c>
      <c r="D59" t="s">
        <v>116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128</v>
      </c>
      <c r="D60" t="s">
        <v>129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262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107</v>
      </c>
      <c r="D62" t="s">
        <v>108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233</v>
      </c>
      <c r="D63" t="s">
        <v>120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122</v>
      </c>
      <c r="D64" t="s">
        <v>123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134</v>
      </c>
      <c r="D65" t="s">
        <v>135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148</v>
      </c>
      <c r="D66" t="s">
        <v>149</v>
      </c>
      <c r="E66" s="7" t="s">
        <v>245</v>
      </c>
    </row>
    <row r="67" spans="1:5" x14ac:dyDescent="0.2">
      <c r="A67" t="s">
        <v>15</v>
      </c>
      <c r="B67" t="str">
        <f>A67&amp;COUNTIF($A$2:$A67,A67)</f>
        <v>Covington3</v>
      </c>
      <c r="C67" t="s">
        <v>150</v>
      </c>
      <c r="D67" t="s">
        <v>151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131</v>
      </c>
      <c r="D68" t="s">
        <v>132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141</v>
      </c>
      <c r="D69" t="s">
        <v>142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138</v>
      </c>
      <c r="D70" t="s">
        <v>139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130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136</v>
      </c>
      <c r="D72" t="s">
        <v>137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144</v>
      </c>
      <c r="D73" t="s">
        <v>145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140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74</v>
      </c>
      <c r="D75" t="s">
        <v>143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146</v>
      </c>
      <c r="D76" t="s">
        <v>147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48</v>
      </c>
      <c r="D77" t="s">
        <v>133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156</v>
      </c>
      <c r="D78" t="s">
        <v>157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164</v>
      </c>
      <c r="D79" t="s">
        <v>165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154</v>
      </c>
      <c r="D80" t="s">
        <v>155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153</v>
      </c>
      <c r="D81" t="s">
        <v>140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158</v>
      </c>
      <c r="D82" t="s">
        <v>159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166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263</v>
      </c>
      <c r="D84" t="s">
        <v>69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167</v>
      </c>
      <c r="D85" t="s">
        <v>168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264</v>
      </c>
      <c r="D86" t="s">
        <v>152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160</v>
      </c>
      <c r="D87" t="s">
        <v>161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162</v>
      </c>
      <c r="D88" t="s">
        <v>163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179</v>
      </c>
      <c r="D89" t="s">
        <v>180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61</v>
      </c>
      <c r="D90" t="s">
        <v>170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171</v>
      </c>
      <c r="D91" t="s">
        <v>172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90</v>
      </c>
      <c r="D92" t="s">
        <v>175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158</v>
      </c>
      <c r="D93" t="s">
        <v>57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251</v>
      </c>
      <c r="D94" t="s">
        <v>183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181</v>
      </c>
      <c r="D95" t="s">
        <v>182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80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178</v>
      </c>
      <c r="D97" t="s">
        <v>157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176</v>
      </c>
      <c r="D98" t="s">
        <v>177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61</v>
      </c>
      <c r="D99" t="s">
        <v>169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173</v>
      </c>
      <c r="D100" t="s">
        <v>174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186</v>
      </c>
      <c r="D101" t="s">
        <v>73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52</v>
      </c>
      <c r="D102" t="s">
        <v>184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66</v>
      </c>
      <c r="D103" t="s">
        <v>165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185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189</v>
      </c>
      <c r="D105" t="s">
        <v>190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191</v>
      </c>
      <c r="D106" t="s">
        <v>192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183</v>
      </c>
      <c r="D107" t="s">
        <v>188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193</v>
      </c>
      <c r="D108" t="s">
        <v>194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195</v>
      </c>
      <c r="D109" t="s">
        <v>190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187</v>
      </c>
      <c r="D110" t="s">
        <v>93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196</v>
      </c>
      <c r="D111" t="s">
        <v>48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197</v>
      </c>
      <c r="D112" t="s">
        <v>198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164</v>
      </c>
      <c r="D113" t="s">
        <v>199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164</v>
      </c>
      <c r="D114" t="s">
        <v>208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202</v>
      </c>
      <c r="D115" t="s">
        <v>203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204</v>
      </c>
      <c r="D116" t="s">
        <v>205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200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209</v>
      </c>
      <c r="D118" t="s">
        <v>210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265</v>
      </c>
      <c r="D119" t="s">
        <v>34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201</v>
      </c>
      <c r="D120" t="s">
        <v>140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206</v>
      </c>
      <c r="D121" t="s">
        <v>207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216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144</v>
      </c>
      <c r="D123" t="s">
        <v>211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266</v>
      </c>
      <c r="D124" t="s">
        <v>222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212</v>
      </c>
      <c r="D125" t="s">
        <v>213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216</v>
      </c>
      <c r="D126" t="s">
        <v>221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219</v>
      </c>
      <c r="D127" t="s">
        <v>220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223</v>
      </c>
      <c r="D128" t="s">
        <v>224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217</v>
      </c>
      <c r="D129" t="s">
        <v>218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214</v>
      </c>
      <c r="D130" t="s">
        <v>215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231</v>
      </c>
      <c r="D131" t="s">
        <v>232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183</v>
      </c>
      <c r="D132" t="s">
        <v>227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228</v>
      </c>
      <c r="D133" t="s">
        <v>229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236</v>
      </c>
      <c r="D134" t="s">
        <v>237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233</v>
      </c>
      <c r="D135" t="s">
        <v>234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137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225</v>
      </c>
      <c r="D137" t="s">
        <v>226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230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238</v>
      </c>
      <c r="D139" t="s">
        <v>218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235</v>
      </c>
      <c r="D140" t="s">
        <v>95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239</v>
      </c>
      <c r="D141" t="s">
        <v>240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74</v>
      </c>
      <c r="D142" t="s">
        <v>241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242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244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2021-07-07T05:14:52Z</dcterms:modified>
</cp:coreProperties>
</file>