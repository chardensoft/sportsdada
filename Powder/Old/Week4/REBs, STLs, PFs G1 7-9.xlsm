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10T141538Z-001/"/>
    </mc:Choice>
  </mc:AlternateContent>
  <xr:revisionPtr revIDLastSave="0" documentId="13_ncr:1_{3A1D39A9-5917-6F4A-BB8B-196DC7C99C62}" xr6:coauthVersionLast="47" xr6:coauthVersionMax="47" xr10:uidLastSave="{00000000-0000-0000-0000-000000000000}"/>
  <bookViews>
    <workbookView xWindow="11680" yWindow="500" windowWidth="17120" windowHeight="153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2" l="1"/>
  <c r="O18" i="2"/>
  <c r="N18" i="2"/>
  <c r="N37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22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3" i="2"/>
  <c r="C5" i="1"/>
  <c r="C6" i="1"/>
  <c r="C7" i="1"/>
  <c r="C23" i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33" i="1" s="1"/>
  <c r="G32" i="2" s="1"/>
  <c r="B8" i="3"/>
  <c r="B7" i="3"/>
  <c r="B6" i="3"/>
  <c r="B5" i="3"/>
  <c r="B4" i="3"/>
  <c r="B3" i="3"/>
  <c r="B2" i="3"/>
  <c r="C29" i="1" s="1"/>
  <c r="H28" i="2" s="1"/>
  <c r="I23" i="2"/>
  <c r="J23" i="2"/>
  <c r="K23" i="2"/>
  <c r="L23" i="2"/>
  <c r="M23" i="2"/>
  <c r="I24" i="2"/>
  <c r="J24" i="2"/>
  <c r="K24" i="2" s="1"/>
  <c r="L24" i="2"/>
  <c r="M24" i="2"/>
  <c r="I25" i="2"/>
  <c r="J25" i="2"/>
  <c r="K25" i="2"/>
  <c r="L25" i="2"/>
  <c r="M25" i="2"/>
  <c r="I26" i="2"/>
  <c r="K26" i="2" s="1"/>
  <c r="J26" i="2"/>
  <c r="L26" i="2"/>
  <c r="M26" i="2"/>
  <c r="I27" i="2"/>
  <c r="J27" i="2"/>
  <c r="K27" i="2" s="1"/>
  <c r="L27" i="2"/>
  <c r="M27" i="2"/>
  <c r="I28" i="2"/>
  <c r="J28" i="2"/>
  <c r="L28" i="2"/>
  <c r="M28" i="2"/>
  <c r="I29" i="2"/>
  <c r="J29" i="2"/>
  <c r="L29" i="2"/>
  <c r="M29" i="2"/>
  <c r="I30" i="2"/>
  <c r="J30" i="2"/>
  <c r="K30" i="2"/>
  <c r="L30" i="2"/>
  <c r="M30" i="2"/>
  <c r="I31" i="2"/>
  <c r="J31" i="2"/>
  <c r="L31" i="2"/>
  <c r="M31" i="2"/>
  <c r="I32" i="2"/>
  <c r="J32" i="2"/>
  <c r="K32" i="2"/>
  <c r="L32" i="2"/>
  <c r="M32" i="2"/>
  <c r="I33" i="2"/>
  <c r="J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6" i="2"/>
  <c r="K8" i="2"/>
  <c r="K10" i="2"/>
  <c r="K13" i="2"/>
  <c r="K14" i="2"/>
  <c r="K17" i="2"/>
  <c r="I4" i="2"/>
  <c r="J4" i="2"/>
  <c r="L4" i="2"/>
  <c r="I5" i="2"/>
  <c r="K5" i="2" s="1"/>
  <c r="J5" i="2"/>
  <c r="L5" i="2"/>
  <c r="I6" i="2"/>
  <c r="J6" i="2"/>
  <c r="L6" i="2"/>
  <c r="I7" i="2"/>
  <c r="J7" i="2"/>
  <c r="L7" i="2"/>
  <c r="I8" i="2"/>
  <c r="J8" i="2"/>
  <c r="L8" i="2"/>
  <c r="I9" i="2"/>
  <c r="J9" i="2"/>
  <c r="L9" i="2"/>
  <c r="I10" i="2"/>
  <c r="J10" i="2"/>
  <c r="L10" i="2"/>
  <c r="I11" i="2"/>
  <c r="J11" i="2"/>
  <c r="K11" i="2" s="1"/>
  <c r="L11" i="2"/>
  <c r="I12" i="2"/>
  <c r="J12" i="2"/>
  <c r="K12" i="2" s="1"/>
  <c r="L12" i="2"/>
  <c r="I13" i="2"/>
  <c r="J13" i="2"/>
  <c r="L13" i="2"/>
  <c r="I14" i="2"/>
  <c r="J14" i="2"/>
  <c r="L14" i="2"/>
  <c r="I15" i="2"/>
  <c r="J15" i="2"/>
  <c r="L15" i="2"/>
  <c r="I16" i="2"/>
  <c r="J16" i="2"/>
  <c r="K16" i="2" s="1"/>
  <c r="L16" i="2"/>
  <c r="I17" i="2"/>
  <c r="J17" i="2"/>
  <c r="L17" i="2"/>
  <c r="L3" i="2"/>
  <c r="C32" i="1"/>
  <c r="H31" i="2" s="1"/>
  <c r="J3" i="2"/>
  <c r="I3" i="2"/>
  <c r="K3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33" i="2" l="1"/>
  <c r="K15" i="2"/>
  <c r="K7" i="2"/>
  <c r="K9" i="2"/>
  <c r="M37" i="2"/>
  <c r="L37" i="2"/>
  <c r="K28" i="2"/>
  <c r="M18" i="2"/>
  <c r="K22" i="2"/>
  <c r="K29" i="2"/>
  <c r="K31" i="2"/>
  <c r="I37" i="2"/>
  <c r="D3" i="2" s="1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H3" i="2"/>
  <c r="C12" i="1"/>
  <c r="H10" i="2" s="1"/>
  <c r="B24" i="1"/>
  <c r="G23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C9" i="1"/>
  <c r="H7" i="2" s="1"/>
  <c r="B29" i="1"/>
  <c r="G28" i="2" s="1"/>
  <c r="F16" i="2"/>
  <c r="B9" i="1"/>
  <c r="G7" i="2" s="1"/>
  <c r="C16" i="1"/>
  <c r="H14" i="2" s="1"/>
  <c r="C8" i="1"/>
  <c r="H6" i="2" s="1"/>
  <c r="A23" i="1"/>
  <c r="F22" i="2" s="1"/>
  <c r="A37" i="1"/>
  <c r="F36" i="2" s="1"/>
  <c r="G33" i="2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G3" i="2"/>
  <c r="C19" i="1"/>
  <c r="H17" i="2" s="1"/>
  <c r="B35" i="1"/>
  <c r="G34" i="2" s="1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B17" i="1"/>
  <c r="A17" i="1"/>
  <c r="A9" i="1"/>
  <c r="F7" i="2" s="1"/>
  <c r="B16" i="1"/>
  <c r="G14" i="2" s="1"/>
  <c r="B8" i="1"/>
  <c r="G6" i="2" s="1"/>
  <c r="C15" i="1"/>
  <c r="H13" i="2" s="1"/>
  <c r="H5" i="2"/>
  <c r="B23" i="1"/>
  <c r="G22" i="2" s="1"/>
  <c r="C36" i="1"/>
  <c r="H35" i="2" s="1"/>
  <c r="F33" i="2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B11" i="1"/>
  <c r="G9" i="2" s="1"/>
  <c r="C37" i="1"/>
  <c r="H36" i="2" s="1"/>
  <c r="A19" i="1"/>
  <c r="F17" i="2" s="1"/>
  <c r="B10" i="1"/>
  <c r="G8" i="2" s="1"/>
  <c r="B37" i="1"/>
  <c r="G36" i="2" s="1"/>
  <c r="H33" i="2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H4" i="2"/>
  <c r="H22" i="2"/>
  <c r="B36" i="1"/>
  <c r="G35" i="2" s="1"/>
  <c r="H32" i="2"/>
  <c r="A31" i="1"/>
  <c r="F30" i="2" s="1"/>
  <c r="B28" i="1"/>
  <c r="G27" i="2" s="1"/>
  <c r="J37" i="2"/>
  <c r="L18" i="2"/>
  <c r="F3" i="2"/>
  <c r="K18" i="2" l="1"/>
  <c r="K37" i="2"/>
</calcChain>
</file>

<file path=xl/sharedStrings.xml><?xml version="1.0" encoding="utf-8"?>
<sst xmlns="http://schemas.openxmlformats.org/spreadsheetml/2006/main" count="500" uniqueCount="280">
  <si>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</si>
  <si>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</si>
  <si>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</si>
  <si>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</si>
  <si>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</si>
  <si>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</si>
  <si>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</si>
  <si>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</si>
  <si>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</si>
  <si>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</si>
  <si>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</si>
  <si>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</si>
  <si>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</si>
  <si>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</si>
  <si>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</si>
  <si>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</si>
  <si>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</si>
  <si>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</si>
  <si>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</si>
  <si>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</si>
  <si>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</si>
  <si>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</si>
  <si>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</si>
  <si>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</si>
  <si>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</si>
  <si>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</si>
  <si>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</si>
  <si>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</si>
  <si>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</si>
  <si>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</si>
  <si>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</si>
  <si>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</si>
  <si>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</si>
  <si>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</si>
  <si>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</si>
  <si>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</si>
  <si>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</si>
  <si>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</si>
  <si>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</si>
  <si>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</si>
  <si>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</si>
  <si>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</si>
  <si>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</si>
  <si>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</si>
  <si>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</si>
  <si>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</si>
  <si>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</si>
  <si>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</si>
  <si>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</si>
  <si>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</si>
  <si>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</si>
  <si>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</si>
  <si>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</si>
  <si>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</si>
  <si>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</si>
  <si>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</si>
  <si>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</si>
  <si>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</si>
  <si>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</si>
  <si>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</si>
  <si>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</si>
  <si>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</si>
  <si>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</si>
  <si>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</si>
  <si>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</si>
  <si>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</si>
  <si>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</si>
  <si>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</si>
  <si>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</si>
  <si>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</si>
  <si>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</si>
  <si>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</si>
  <si>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</si>
  <si>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</si>
  <si>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</si>
  <si>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</si>
  <si>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</si>
  <si>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</si>
  <si>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</si>
  <si>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</si>
  <si>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</si>
  <si>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</si>
  <si>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</si>
  <si>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</si>
  <si>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</si>
  <si>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</si>
  <si>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</si>
  <si>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</si>
  <si>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</si>
  <si>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</si>
  <si>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</si>
  <si>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</si>
  <si>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</si>
  <si>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</si>
  <si>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</si>
  <si>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</si>
  <si>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</si>
  <si>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</si>
  <si>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</si>
  <si>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</si>
  <si>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</si>
  <si>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</si>
  <si>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</si>
  <si>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</si>
  <si>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</si>
  <si>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</si>
  <si>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</si>
  <si>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</si>
  <si>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</si>
  <si>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</si>
  <si>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</si>
  <si>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</si>
  <si>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</si>
  <si>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</si>
  <si>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</si>
  <si>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</si>
  <si>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</si>
  <si>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</si>
  <si>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</si>
  <si>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</si>
  <si>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</si>
  <si>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</si>
  <si>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</si>
  <si>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</si>
  <si>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</si>
  <si>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</si>
  <si>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</si>
  <si>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</si>
  <si>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</si>
  <si>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</si>
  <si>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</si>
  <si>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</si>
  <si>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</si>
  <si>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</si>
  <si>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</si>
  <si>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</si>
  <si>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</si>
  <si>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</si>
  <si>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</si>
  <si>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</si>
  <si>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</si>
  <si>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</si>
  <si>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</si>
  <si>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</si>
  <si>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</si>
  <si>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</si>
  <si>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</si>
  <si>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</si>
  <si>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</si>
  <si>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</si>
  <si>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</si>
  <si>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</si>
  <si>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</si>
  <si>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</si>
  <si>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</si>
  <si>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</si>
  <si>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</si>
  <si>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</si>
  <si>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</si>
  <si>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</si>
  <si>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</si>
  <si>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</si>
  <si>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</si>
  <si>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</si>
  <si>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</si>
  <si>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</si>
  <si>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</si>
  <si>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</si>
  <si>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</si>
  <si>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</si>
  <si>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</si>
  <si>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</si>
  <si>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</si>
  <si>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</si>
  <si>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</si>
  <si>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</si>
  <si>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</si>
  <si>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</si>
  <si>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</si>
  <si>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</si>
  <si>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</si>
  <si>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</si>
  <si>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</si>
  <si>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</si>
  <si>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</si>
  <si>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</si>
  <si>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</si>
  <si>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</si>
  <si>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</si>
  <si>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</si>
  <si>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</si>
  <si>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</si>
  <si>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</si>
  <si>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</si>
  <si>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</si>
  <si>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</si>
  <si>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</si>
  <si>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</si>
  <si>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</si>
  <si>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</si>
  <si>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</si>
  <si>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</si>
  <si>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</si>
  <si>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</si>
  <si>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</si>
  <si>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</si>
  <si>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</si>
  <si>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</si>
  <si>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</si>
  <si>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</si>
  <si>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</si>
  <si>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</si>
  <si>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</si>
  <si>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</si>
  <si>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</si>
  <si>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</si>
  <si>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</si>
  <si>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</si>
  <si>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</si>
  <si>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</si>
  <si>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</si>
  <si>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</si>
  <si>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</si>
  <si>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</si>
  <si>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</si>
  <si>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</si>
  <si>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</si>
  <si>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</si>
  <si>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</si>
  <si>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</si>
  <si>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</si>
  <si>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</si>
  <si>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</si>
  <si>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</si>
  <si>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</si>
  <si>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</si>
  <si>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</si>
  <si>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</si>
  <si>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</si>
  <si>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</si>
  <si>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</si>
  <si>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</si>
  <si>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</si>
  <si>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</si>
  <si>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</si>
  <si>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</si>
  <si>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</si>
  <si>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</si>
  <si>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</si>
  <si>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</si>
  <si>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</si>
  <si>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</si>
  <si>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</si>
  <si>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</si>
  <si>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</si>
  <si>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</si>
  <si>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</si>
  <si>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</si>
  <si>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</si>
  <si>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</si>
  <si>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</si>
  <si>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</si>
  <si>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</si>
  <si>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</si>
  <si>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</si>
  <si>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OREB</t>
  </si>
  <si>
    <t>DREB</t>
  </si>
  <si>
    <t>TREB</t>
  </si>
  <si>
    <t>TJ</t>
  </si>
  <si>
    <t>AST</t>
  </si>
  <si>
    <t>egan</t>
  </si>
  <si>
    <t>BLK</t>
  </si>
  <si>
    <t>TO</t>
  </si>
  <si>
    <t xml:space="preserve">Brandon </t>
  </si>
  <si>
    <t>Terence</t>
  </si>
  <si>
    <t>Drisdom (tall)</t>
  </si>
  <si>
    <t>Bairstow</t>
  </si>
  <si>
    <t>TimeOuts</t>
  </si>
  <si>
    <t>B</t>
  </si>
  <si>
    <t>Davis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</si>
</sst>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topLeftCell="A8" workbookViewId="0">
      <selection activeCell="F32" sqref="F32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7</v>
      </c>
      <c r="F1" t="s">
        <v>3</v>
      </c>
      <c r="G1" t="str">
        <f>'Stats G1'!B3</f>
        <v>Drisdom</v>
      </c>
    </row>
    <row r="2" spans="2:15" x14ac:dyDescent="0.2">
      <c r="B2" t="str">
        <f>G1</f>
        <v>Drisdom</v>
      </c>
      <c r="D2" t="str">
        <f>G20</f>
        <v>egan</v>
      </c>
      <c r="F2" t="s">
        <v>1</v>
      </c>
      <c r="G2" t="s">
        <v>2</v>
      </c>
      <c r="H2" t="s">
        <v>0</v>
      </c>
      <c r="I2" t="s">
        <v>265</v>
      </c>
      <c r="J2" t="s">
        <v>266</v>
      </c>
      <c r="K2" t="s">
        <v>267</v>
      </c>
      <c r="L2" t="s">
        <v>264</v>
      </c>
      <c r="M2" t="s">
        <v>269</v>
      </c>
      <c r="N2" t="s">
        <v>271</v>
      </c>
      <c r="O2" t="s">
        <v>277</v>
      </c>
    </row>
    <row r="3" spans="2:15" x14ac:dyDescent="0.2">
      <c r="B3">
        <f>I18</f>
        <v>13</v>
      </c>
      <c r="C3" s="3" t="s">
        <v>6</v>
      </c>
      <c r="D3" s="4">
        <f>I37</f>
        <v>11</v>
      </c>
      <c r="F3" t="str">
        <f>'Stats G1'!A5</f>
        <v xml:space="preserve">Brandon </v>
      </c>
      <c r="G3" t="str">
        <f>'Stats G1'!B5</f>
        <v>Taylor</v>
      </c>
      <c r="H3">
        <f>'Stats G1'!C5</f>
        <v>0</v>
      </c>
      <c r="I3">
        <f>'Stats G1'!E5</f>
        <v>4</v>
      </c>
      <c r="J3">
        <f>'Stats G1'!H5</f>
        <v>3</v>
      </c>
      <c r="K3">
        <f>J3+I3</f>
        <v>7</v>
      </c>
      <c r="L3">
        <f>'Stats G1'!K5</f>
        <v>4</v>
      </c>
      <c r="M3">
        <f>'Stats G1'!N5</f>
        <v>4</v>
      </c>
      <c r="N3">
        <f>'Stats G1'!Q5</f>
        <v>1</v>
      </c>
    </row>
    <row r="4" spans="2:15" x14ac:dyDescent="0.2">
      <c r="F4" t="str">
        <f>'Stats G1'!A6</f>
        <v>Shaun</v>
      </c>
      <c r="G4" t="str">
        <f>'Stats G1'!B6</f>
        <v>Green</v>
      </c>
      <c r="H4">
        <f>'Stats G1'!C6</f>
        <v>1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G1'!K6</f>
        <v>0</v>
      </c>
      <c r="M4">
        <f>'Stats G1'!N6</f>
        <v>0</v>
      </c>
      <c r="N4">
        <f>'Stats G1'!Q6</f>
        <v>0</v>
      </c>
    </row>
    <row r="5" spans="2:15" x14ac:dyDescent="0.2">
      <c r="F5" t="str">
        <f>'Stats G1'!A7</f>
        <v>Duane</v>
      </c>
      <c r="G5" t="str">
        <f>'Stats G1'!B7</f>
        <v>Brown</v>
      </c>
      <c r="H5">
        <f>'Stats G1'!C7</f>
        <v>2</v>
      </c>
      <c r="I5">
        <f>'Stats G1'!E7</f>
        <v>2</v>
      </c>
      <c r="J5">
        <f>'Stats G1'!H7</f>
        <v>1</v>
      </c>
      <c r="K5">
        <f t="shared" si="0"/>
        <v>3</v>
      </c>
      <c r="L5">
        <f>'Stats G1'!K7</f>
        <v>3</v>
      </c>
      <c r="M5">
        <f>'Stats G1'!N7</f>
        <v>1</v>
      </c>
      <c r="N5">
        <f>'Stats G1'!Q7</f>
        <v>0</v>
      </c>
    </row>
    <row r="6" spans="2:15" x14ac:dyDescent="0.2">
      <c r="F6" t="str">
        <f>'Stats G1'!A8</f>
        <v xml:space="preserve">Tre </v>
      </c>
      <c r="G6" t="str">
        <f>'Stats G1'!B8</f>
        <v>Smith</v>
      </c>
      <c r="H6">
        <f>'Stats G1'!C8</f>
        <v>3</v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0</v>
      </c>
      <c r="N6">
        <f>'Stats G1'!Q8</f>
        <v>0</v>
      </c>
    </row>
    <row r="7" spans="2:15" x14ac:dyDescent="0.2">
      <c r="F7" t="str">
        <f>'Stats G1'!A9</f>
        <v>Brekott</v>
      </c>
      <c r="G7" t="str">
        <f>'Stats G1'!B9</f>
        <v>Chapman</v>
      </c>
      <c r="H7">
        <f>'Stats G1'!C9</f>
        <v>6</v>
      </c>
      <c r="I7">
        <f>'Stats G1'!E9</f>
        <v>1</v>
      </c>
      <c r="J7">
        <f>'Stats G1'!H9</f>
        <v>3</v>
      </c>
      <c r="K7">
        <f t="shared" si="0"/>
        <v>4</v>
      </c>
      <c r="L7">
        <f>'Stats G1'!K9</f>
        <v>2</v>
      </c>
      <c r="M7">
        <f>'Stats G1'!N9</f>
        <v>1</v>
      </c>
      <c r="N7">
        <f>'Stats G1'!Q9</f>
        <v>1</v>
      </c>
    </row>
    <row r="8" spans="2:15" x14ac:dyDescent="0.2">
      <c r="F8" t="str">
        <f>'Stats G1'!A10</f>
        <v xml:space="preserve">Ronnie </v>
      </c>
      <c r="G8" t="str">
        <f>'Stats G1'!B10</f>
        <v>Price</v>
      </c>
      <c r="H8">
        <f>'Stats G1'!C10</f>
        <v>7</v>
      </c>
      <c r="I8">
        <f>'Stats G1'!E10</f>
        <v>0</v>
      </c>
      <c r="J8">
        <f>'Stats G1'!H10</f>
        <v>0</v>
      </c>
      <c r="K8">
        <f t="shared" si="0"/>
        <v>0</v>
      </c>
      <c r="L8">
        <f>'Stats G1'!K10</f>
        <v>0</v>
      </c>
      <c r="M8">
        <f>'Stats G1'!N10</f>
        <v>1</v>
      </c>
      <c r="N8">
        <f>'Stats G1'!Q10</f>
        <v>0</v>
      </c>
    </row>
    <row r="9" spans="2:15" x14ac:dyDescent="0.2">
      <c r="F9" t="str">
        <f>'Stats G1'!A11</f>
        <v xml:space="preserve">Isaiah </v>
      </c>
      <c r="G9" t="str">
        <f>'Stats G1'!B11</f>
        <v>Wright</v>
      </c>
      <c r="H9">
        <f>'Stats G1'!C11</f>
        <v>8</v>
      </c>
      <c r="I9">
        <f>'Stats G1'!E11</f>
        <v>1</v>
      </c>
      <c r="J9">
        <f>'Stats G1'!H11</f>
        <v>3</v>
      </c>
      <c r="K9">
        <f t="shared" si="0"/>
        <v>4</v>
      </c>
      <c r="L9">
        <f>'Stats G1'!K11</f>
        <v>1</v>
      </c>
      <c r="M9">
        <f>'Stats G1'!N11</f>
        <v>4</v>
      </c>
      <c r="N9">
        <f>'Stats G1'!Q11</f>
        <v>0</v>
      </c>
    </row>
    <row r="10" spans="2:15" x14ac:dyDescent="0.2">
      <c r="F10" t="str">
        <f>'Stats G1'!A12</f>
        <v>Tim</v>
      </c>
      <c r="G10" t="str">
        <f>'Stats G1'!B12</f>
        <v>Drisdom</v>
      </c>
      <c r="H10">
        <f>'Stats G1'!C12</f>
        <v>11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G1'!K12</f>
        <v>0</v>
      </c>
      <c r="M10">
        <f>'Stats G1'!N12</f>
        <v>0</v>
      </c>
      <c r="N10">
        <f>'Stats G1'!Q12</f>
        <v>0</v>
      </c>
    </row>
    <row r="11" spans="2:15" x14ac:dyDescent="0.2">
      <c r="F11" t="str">
        <f>'Stats G1'!A13</f>
        <v>Dakarai</v>
      </c>
      <c r="G11" t="str">
        <f>'Stats G1'!B13</f>
        <v>Tucker</v>
      </c>
      <c r="H11">
        <f>'Stats G1'!C13</f>
        <v>14</v>
      </c>
      <c r="I11">
        <f>'Stats G1'!E13</f>
        <v>0</v>
      </c>
      <c r="J11">
        <f>'Stats G1'!H13</f>
        <v>7</v>
      </c>
      <c r="K11">
        <f t="shared" si="0"/>
        <v>7</v>
      </c>
      <c r="L11">
        <f>'Stats G1'!K13</f>
        <v>1</v>
      </c>
      <c r="M11">
        <f>'Stats G1'!N13</f>
        <v>3</v>
      </c>
      <c r="N11">
        <f>'Stats G1'!Q13</f>
        <v>2</v>
      </c>
    </row>
    <row r="12" spans="2:15" x14ac:dyDescent="0.2">
      <c r="F12" t="str">
        <f>'Stats G1'!A14</f>
        <v>AJ</v>
      </c>
      <c r="G12" t="str">
        <f>'Stats G1'!B14</f>
        <v>Hodges</v>
      </c>
      <c r="H12">
        <f>'Stats G1'!C14</f>
        <v>15</v>
      </c>
      <c r="I12">
        <f>'Stats G1'!E14</f>
        <v>0</v>
      </c>
      <c r="J12">
        <f>'Stats G1'!H14</f>
        <v>3</v>
      </c>
      <c r="K12">
        <f t="shared" si="0"/>
        <v>3</v>
      </c>
      <c r="L12">
        <f>'Stats G1'!K14</f>
        <v>0</v>
      </c>
      <c r="M12">
        <f>'Stats G1'!N14</f>
        <v>1</v>
      </c>
      <c r="N12">
        <f>'Stats G1'!Q14</f>
        <v>0</v>
      </c>
    </row>
    <row r="13" spans="2:15" x14ac:dyDescent="0.2">
      <c r="F13" t="str">
        <f>'Stats G1'!A15</f>
        <v>Makol</v>
      </c>
      <c r="G13" t="str">
        <f>'Stats G1'!B15</f>
        <v>Mawien</v>
      </c>
      <c r="H13">
        <f>'Stats G1'!C15</f>
        <v>34</v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G1'!K15</f>
        <v>0</v>
      </c>
      <c r="M13">
        <f>'Stats G1'!N15</f>
        <v>0</v>
      </c>
      <c r="N13">
        <f>'Stats G1'!Q15</f>
        <v>0</v>
      </c>
    </row>
    <row r="14" spans="2:15" x14ac:dyDescent="0.2">
      <c r="F14" t="str">
        <f>'Stats G1'!A16</f>
        <v>Corbin</v>
      </c>
      <c r="G14" t="str">
        <f>'Stats G1'!B16</f>
        <v>Green</v>
      </c>
      <c r="H14">
        <f>'Stats G1'!C16</f>
        <v>98</v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G1'!K16</f>
        <v>0</v>
      </c>
      <c r="M14">
        <f>'Stats G1'!N16</f>
        <v>0</v>
      </c>
      <c r="N14">
        <f>'Stats G1'!Q16</f>
        <v>0</v>
      </c>
    </row>
    <row r="15" spans="2:15" x14ac:dyDescent="0.2">
      <c r="F15" t="s">
        <v>278</v>
      </c>
      <c r="G15" t="s">
        <v>279</v>
      </c>
      <c r="H15">
        <f>'Stats G1'!C17</f>
        <v>55</v>
      </c>
      <c r="I15">
        <f>'Stats G1'!E17</f>
        <v>3</v>
      </c>
      <c r="J15">
        <f>'Stats G1'!H17</f>
        <v>1</v>
      </c>
      <c r="K15">
        <f t="shared" si="0"/>
        <v>4</v>
      </c>
      <c r="L15">
        <f>'Stats G1'!K17</f>
        <v>1</v>
      </c>
      <c r="M15">
        <f>'Stats G1'!N17</f>
        <v>0</v>
      </c>
      <c r="N15">
        <f>'Stats G1'!Q17</f>
        <v>2</v>
      </c>
    </row>
    <row r="16" spans="2:15" x14ac:dyDescent="0.2">
      <c r="F16" t="str">
        <f>'Stats G1'!A18</f>
        <v>Terence</v>
      </c>
      <c r="G16" t="s">
        <v>18</v>
      </c>
      <c r="H16">
        <f>'Stats G1'!C18</f>
        <v>0</v>
      </c>
      <c r="I16">
        <f>'Stats G1'!E18</f>
        <v>2</v>
      </c>
      <c r="J16">
        <f>'Stats G1'!H18</f>
        <v>3</v>
      </c>
      <c r="K16">
        <f t="shared" si="0"/>
        <v>5</v>
      </c>
      <c r="L16">
        <f>'Stats G1'!K18</f>
        <v>1</v>
      </c>
      <c r="M16">
        <f>'Stats G1'!N18</f>
        <v>4</v>
      </c>
      <c r="N16">
        <f>'Stats G1'!Q18</f>
        <v>0</v>
      </c>
    </row>
    <row r="17" spans="6:15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  <c r="N17">
        <f>'Stats G1'!Q19</f>
        <v>0</v>
      </c>
    </row>
    <row r="18" spans="6:15" x14ac:dyDescent="0.2">
      <c r="H18" s="2" t="s">
        <v>5</v>
      </c>
      <c r="I18">
        <f>SUM(I3:I17)</f>
        <v>13</v>
      </c>
      <c r="J18">
        <f>SUM(J3:J17)</f>
        <v>24</v>
      </c>
      <c r="K18">
        <f>SUM(K3:K17)</f>
        <v>37</v>
      </c>
      <c r="L18">
        <f>SUM(L3:L17)</f>
        <v>13</v>
      </c>
      <c r="M18">
        <f>SUM(M3:M17)</f>
        <v>19</v>
      </c>
      <c r="N18">
        <f>SUM(N3:N17)</f>
        <v>6</v>
      </c>
      <c r="O18">
        <f>'Stats G1'!X4</f>
        <v>2</v>
      </c>
    </row>
    <row r="20" spans="6:15" x14ac:dyDescent="0.2">
      <c r="F20" t="s">
        <v>4</v>
      </c>
      <c r="G20" t="str">
        <f>'Stats G1'!B21</f>
        <v>egan</v>
      </c>
    </row>
    <row r="21" spans="6:15" x14ac:dyDescent="0.2">
      <c r="F21" t="s">
        <v>1</v>
      </c>
      <c r="G21" t="s">
        <v>2</v>
      </c>
      <c r="H21" t="s">
        <v>0</v>
      </c>
      <c r="I21" t="s">
        <v>265</v>
      </c>
      <c r="J21" t="s">
        <v>266</v>
      </c>
      <c r="K21" t="s">
        <v>267</v>
      </c>
      <c r="L21" t="s">
        <v>264</v>
      </c>
      <c r="M21" t="s">
        <v>269</v>
      </c>
      <c r="N21" t="s">
        <v>271</v>
      </c>
      <c r="O21" t="s">
        <v>277</v>
      </c>
    </row>
    <row r="22" spans="6:15" x14ac:dyDescent="0.2">
      <c r="F22" t="str">
        <f>'Stats G1'!A23</f>
        <v>Steve</v>
      </c>
      <c r="G22" t="str">
        <f>'Stats G1'!B23</f>
        <v>Panos</v>
      </c>
      <c r="H22">
        <f>'Stats G1'!C23</f>
        <v>0</v>
      </c>
      <c r="I22">
        <f>'Stats G1'!E23</f>
        <v>2</v>
      </c>
      <c r="J22">
        <f>'Stats G1'!H23</f>
        <v>3</v>
      </c>
      <c r="K22">
        <f>J22+I22</f>
        <v>5</v>
      </c>
      <c r="L22">
        <f>'Stats G1'!K23</f>
        <v>0</v>
      </c>
      <c r="M22">
        <f>'Stats G1'!N23</f>
        <v>0</v>
      </c>
      <c r="N22">
        <f>'Stats G1'!Q23</f>
        <v>1</v>
      </c>
    </row>
    <row r="23" spans="6:15" x14ac:dyDescent="0.2">
      <c r="F23" t="str">
        <f>'Stats G1'!A24</f>
        <v>James</v>
      </c>
      <c r="G23" t="str">
        <f>'Stats G1'!B24</f>
        <v>Walljasper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ref="K23:K36" si="1">J23+I23</f>
        <v>0</v>
      </c>
      <c r="L23">
        <f>'Stats G1'!K24</f>
        <v>0</v>
      </c>
      <c r="M23">
        <f>'Stats G1'!N24</f>
        <v>0</v>
      </c>
      <c r="N23">
        <f>'Stats G1'!Q24</f>
        <v>0</v>
      </c>
    </row>
    <row r="24" spans="6:15" x14ac:dyDescent="0.2">
      <c r="F24" t="str">
        <f>'Stats G1'!A25</f>
        <v>Drew</v>
      </c>
      <c r="G24" t="str">
        <f>'Stats G1'!B25</f>
        <v>Lokeni</v>
      </c>
      <c r="H24">
        <f>'Stats G1'!C25</f>
        <v>7</v>
      </c>
      <c r="I24">
        <f>'Stats G1'!E25</f>
        <v>1</v>
      </c>
      <c r="J24">
        <f>'Stats G1'!H25</f>
        <v>2</v>
      </c>
      <c r="K24">
        <f t="shared" si="1"/>
        <v>3</v>
      </c>
      <c r="L24">
        <f>'Stats G1'!K25</f>
        <v>0</v>
      </c>
      <c r="M24">
        <f>'Stats G1'!N25</f>
        <v>0</v>
      </c>
      <c r="N24">
        <f>'Stats G1'!Q25</f>
        <v>0</v>
      </c>
    </row>
    <row r="25" spans="6:15" x14ac:dyDescent="0.2">
      <c r="F25" t="str">
        <f>'Stats G1'!A26</f>
        <v>Jeremy</v>
      </c>
      <c r="G25" t="str">
        <f>'Stats G1'!B26</f>
        <v>Dowdell</v>
      </c>
      <c r="H25">
        <f>'Stats G1'!C26</f>
        <v>8</v>
      </c>
      <c r="I25">
        <f>'Stats G1'!E26</f>
        <v>0</v>
      </c>
      <c r="J25">
        <f>'Stats G1'!H26</f>
        <v>0</v>
      </c>
      <c r="K25">
        <f t="shared" si="1"/>
        <v>0</v>
      </c>
      <c r="L25">
        <f>'Stats G1'!K26</f>
        <v>0</v>
      </c>
      <c r="M25">
        <f>'Stats G1'!N26</f>
        <v>0</v>
      </c>
      <c r="N25">
        <f>'Stats G1'!Q26</f>
        <v>0</v>
      </c>
    </row>
    <row r="26" spans="6:15" x14ac:dyDescent="0.2">
      <c r="F26" t="str">
        <f>'Stats G1'!A27</f>
        <v>Caleb</v>
      </c>
      <c r="G26" t="str">
        <f>'Stats G1'!B27</f>
        <v>Leonhardt</v>
      </c>
      <c r="H26">
        <f>'Stats G1'!C27</f>
        <v>12</v>
      </c>
      <c r="I26">
        <f>'Stats G1'!E27</f>
        <v>0</v>
      </c>
      <c r="J26">
        <f>'Stats G1'!H27</f>
        <v>1</v>
      </c>
      <c r="K26">
        <f t="shared" si="1"/>
        <v>1</v>
      </c>
      <c r="L26">
        <f>'Stats G1'!K27</f>
        <v>0</v>
      </c>
      <c r="M26">
        <f>'Stats G1'!N27</f>
        <v>0</v>
      </c>
      <c r="N26">
        <f>'Stats G1'!Q27</f>
        <v>0</v>
      </c>
    </row>
    <row r="27" spans="6:15" x14ac:dyDescent="0.2">
      <c r="F27" t="str">
        <f>'Stats G1'!A28</f>
        <v>Adam</v>
      </c>
      <c r="G27" t="str">
        <f>'Stats G1'!B28</f>
        <v>Egan</v>
      </c>
      <c r="H27">
        <f>'Stats G1'!C28</f>
        <v>13</v>
      </c>
      <c r="I27">
        <f>'Stats G1'!E28</f>
        <v>0</v>
      </c>
      <c r="J27">
        <f>'Stats G1'!H28</f>
        <v>2</v>
      </c>
      <c r="K27">
        <f t="shared" si="1"/>
        <v>2</v>
      </c>
      <c r="L27">
        <f>'Stats G1'!K28</f>
        <v>0</v>
      </c>
      <c r="M27">
        <f>'Stats G1'!N28</f>
        <v>2</v>
      </c>
      <c r="N27">
        <f>'Stats G1'!Q28</f>
        <v>0</v>
      </c>
    </row>
    <row r="28" spans="6:15" x14ac:dyDescent="0.2">
      <c r="F28" t="str">
        <f>'Stats G1'!A29</f>
        <v>Wil</v>
      </c>
      <c r="G28" t="str">
        <f>'Stats G1'!B29</f>
        <v>Carter</v>
      </c>
      <c r="H28">
        <f>'Stats G1'!C29</f>
        <v>15</v>
      </c>
      <c r="I28">
        <f>'Stats G1'!E29</f>
        <v>4</v>
      </c>
      <c r="J28">
        <f>'Stats G1'!H29</f>
        <v>10</v>
      </c>
      <c r="K28">
        <f t="shared" si="1"/>
        <v>14</v>
      </c>
      <c r="L28">
        <f>'Stats G1'!K29</f>
        <v>1</v>
      </c>
      <c r="M28">
        <f>'Stats G1'!N29</f>
        <v>2</v>
      </c>
      <c r="N28">
        <f>'Stats G1'!Q29</f>
        <v>1</v>
      </c>
    </row>
    <row r="29" spans="6:15" x14ac:dyDescent="0.2">
      <c r="F29" t="str">
        <f>'Stats G1'!A30</f>
        <v>Tony</v>
      </c>
      <c r="G29" t="str">
        <f>'Stats G1'!B30</f>
        <v>Roberts</v>
      </c>
      <c r="H29">
        <f>'Stats G1'!C30</f>
        <v>21</v>
      </c>
      <c r="I29">
        <f>'Stats G1'!E30</f>
        <v>2</v>
      </c>
      <c r="J29">
        <f>'Stats G1'!H30</f>
        <v>8</v>
      </c>
      <c r="K29">
        <f t="shared" si="1"/>
        <v>10</v>
      </c>
      <c r="L29">
        <f>'Stats G1'!K30</f>
        <v>0</v>
      </c>
      <c r="M29">
        <f>'Stats G1'!N30</f>
        <v>1</v>
      </c>
      <c r="N29">
        <f>'Stats G1'!Q30</f>
        <v>0</v>
      </c>
    </row>
    <row r="30" spans="6:15" x14ac:dyDescent="0.2">
      <c r="F30" t="str">
        <f>'Stats G1'!A31</f>
        <v>Quan</v>
      </c>
      <c r="G30" t="str">
        <f>'Stats G1'!B31</f>
        <v>Thompson</v>
      </c>
      <c r="H30">
        <f>'Stats G1'!C31</f>
        <v>24</v>
      </c>
      <c r="I30">
        <f>'Stats G1'!E31</f>
        <v>0</v>
      </c>
      <c r="J30">
        <f>'Stats G1'!H31</f>
        <v>0</v>
      </c>
      <c r="K30">
        <f t="shared" si="1"/>
        <v>0</v>
      </c>
      <c r="L30">
        <f>'Stats G1'!K31</f>
        <v>0</v>
      </c>
      <c r="M30">
        <f>'Stats G1'!N31</f>
        <v>0</v>
      </c>
      <c r="N30">
        <f>'Stats G1'!Q31</f>
        <v>0</v>
      </c>
    </row>
    <row r="31" spans="6:15" x14ac:dyDescent="0.2">
      <c r="F31" t="str">
        <f>'Stats G1'!A32</f>
        <v>Rylan</v>
      </c>
      <c r="G31" t="str">
        <f>'Stats G1'!B32</f>
        <v>Jones</v>
      </c>
      <c r="H31">
        <f>'Stats G1'!C32</f>
        <v>30</v>
      </c>
      <c r="I31">
        <f>'Stats G1'!E32</f>
        <v>0</v>
      </c>
      <c r="J31">
        <f>'Stats G1'!H32</f>
        <v>3</v>
      </c>
      <c r="K31">
        <f t="shared" si="1"/>
        <v>3</v>
      </c>
      <c r="L31">
        <f>'Stats G1'!K32</f>
        <v>0</v>
      </c>
      <c r="M31">
        <f>'Stats G1'!N32</f>
        <v>4</v>
      </c>
      <c r="N31">
        <f>'Stats G1'!Q32</f>
        <v>0</v>
      </c>
    </row>
    <row r="32" spans="6:15" x14ac:dyDescent="0.2">
      <c r="F32" t="str">
        <f>'Stats G1'!A33</f>
        <v>?</v>
      </c>
      <c r="G32" t="str">
        <f>'Stats G1'!B33</f>
        <v>?</v>
      </c>
      <c r="H32">
        <f>'Stats G1'!C33</f>
        <v>10</v>
      </c>
      <c r="I32">
        <f>'Stats G1'!E33</f>
        <v>0</v>
      </c>
      <c r="J32">
        <f>'Stats G1'!H33</f>
        <v>0</v>
      </c>
      <c r="K32">
        <f t="shared" si="1"/>
        <v>0</v>
      </c>
      <c r="L32">
        <f>'Stats G1'!K33</f>
        <v>1</v>
      </c>
      <c r="M32">
        <f>'Stats G1'!N33</f>
        <v>1</v>
      </c>
      <c r="N32">
        <f>'Stats G1'!Q33</f>
        <v>0</v>
      </c>
    </row>
    <row r="33" spans="6:15" x14ac:dyDescent="0.2">
      <c r="F33" t="str">
        <f>'Stats G1'!A34</f>
        <v>Sean</v>
      </c>
      <c r="G33" t="str">
        <f>'Stats G1'!B34</f>
        <v>Bairstow</v>
      </c>
      <c r="H33">
        <f>'Stats G1'!C34</f>
        <v>34</v>
      </c>
      <c r="I33">
        <f>'Stats G1'!E34</f>
        <v>2</v>
      </c>
      <c r="J33">
        <f>'Stats G1'!H34</f>
        <v>5</v>
      </c>
      <c r="K33">
        <f t="shared" si="1"/>
        <v>7</v>
      </c>
      <c r="L33">
        <f>'Stats G1'!K34</f>
        <v>2</v>
      </c>
      <c r="M33">
        <f>'Stats G1'!N34</f>
        <v>1</v>
      </c>
      <c r="N33">
        <f>'Stats G1'!Q34</f>
        <v>0</v>
      </c>
    </row>
    <row r="34" spans="6:15" x14ac:dyDescent="0.2">
      <c r="F34" t="str">
        <f>'Stats G1'!A35</f>
        <v>?</v>
      </c>
      <c r="G34" t="str">
        <f>'Stats G1'!B35</f>
        <v>?</v>
      </c>
      <c r="I34">
        <f>'Stats G1'!E35</f>
        <v>0</v>
      </c>
      <c r="J34">
        <f>'Stats G1'!H35</f>
        <v>0</v>
      </c>
      <c r="K34">
        <f t="shared" si="1"/>
        <v>0</v>
      </c>
      <c r="L34">
        <f>'Stats G1'!K35</f>
        <v>0</v>
      </c>
      <c r="M34">
        <f>'Stats G1'!N35</f>
        <v>0</v>
      </c>
      <c r="N34">
        <f>'Stats G1'!Q35</f>
        <v>0</v>
      </c>
    </row>
    <row r="35" spans="6:15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G1'!K36</f>
        <v>0</v>
      </c>
      <c r="M35">
        <f>'Stats G1'!N36</f>
        <v>0</v>
      </c>
      <c r="N35">
        <f>'Stats G1'!Q36</f>
        <v>0</v>
      </c>
    </row>
    <row r="36" spans="6:15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G1'!K37</f>
        <v>0</v>
      </c>
      <c r="M36">
        <f>'Stats G1'!N37</f>
        <v>0</v>
      </c>
      <c r="N36">
        <f>'Stats G1'!Q37</f>
        <v>0</v>
      </c>
    </row>
    <row r="37" spans="6:15" x14ac:dyDescent="0.2">
      <c r="H37" s="2" t="s">
        <v>5</v>
      </c>
      <c r="I37">
        <f>SUM(I22:I36)</f>
        <v>11</v>
      </c>
      <c r="J37">
        <f>SUM(J22:J36)</f>
        <v>34</v>
      </c>
      <c r="K37">
        <f>SUM(K22:K36)</f>
        <v>45</v>
      </c>
      <c r="L37">
        <f>SUM(L22:L36)</f>
        <v>4</v>
      </c>
      <c r="M37">
        <f>SUM(M22:M36)</f>
        <v>11</v>
      </c>
      <c r="N37">
        <f>SUM(N22:N36)</f>
        <v>2</v>
      </c>
      <c r="O37">
        <f>'Stats G1'!X21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E3" workbookViewId="0">
      <selection activeCell="T5" sqref="T5"/>
    </sheetView>
  </sheetViews>
  <sheetFormatPr baseColWidth="10" defaultColWidth="11.1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4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4" hidden="1" x14ac:dyDescent="0.2"/>
    <row r="3" spans="1:24" x14ac:dyDescent="0.2">
      <c r="A3" s="2" t="s">
        <v>8</v>
      </c>
      <c r="B3" s="1" t="s">
        <v>18</v>
      </c>
    </row>
    <row r="4" spans="1:24" x14ac:dyDescent="0.2">
      <c r="A4" t="s">
        <v>1</v>
      </c>
      <c r="B4" t="s">
        <v>2</v>
      </c>
      <c r="C4" t="s">
        <v>0</v>
      </c>
      <c r="E4" t="s">
        <v>265</v>
      </c>
      <c r="H4" t="s">
        <v>266</v>
      </c>
      <c r="K4" t="s">
        <v>264</v>
      </c>
      <c r="N4" t="s">
        <v>269</v>
      </c>
      <c r="Q4" t="s">
        <v>271</v>
      </c>
      <c r="V4" t="s">
        <v>272</v>
      </c>
      <c r="X4">
        <v>2</v>
      </c>
    </row>
    <row r="5" spans="1:24" s="6" customFormat="1" x14ac:dyDescent="0.2">
      <c r="A5" s="5" t="s">
        <v>273</v>
      </c>
      <c r="B5" s="5" t="s">
        <v>122</v>
      </c>
      <c r="C5" s="5">
        <f>_xlfn.IFNA(VLOOKUP($B$3&amp;ROWS($C$5:C5),Rosters!$B$2:$E$162,4,0),"")</f>
        <v>0</v>
      </c>
      <c r="D5" s="5"/>
      <c r="E5" s="5">
        <v>4</v>
      </c>
      <c r="F5" s="5"/>
      <c r="G5" s="5"/>
      <c r="H5" s="5">
        <v>3</v>
      </c>
      <c r="I5" s="5"/>
      <c r="J5" s="5"/>
      <c r="K5" s="5">
        <v>4</v>
      </c>
      <c r="L5" s="5"/>
      <c r="M5" s="5"/>
      <c r="N5" s="5">
        <v>4</v>
      </c>
      <c r="O5" s="5"/>
      <c r="P5" s="5"/>
      <c r="Q5" s="5">
        <v>1</v>
      </c>
      <c r="R5" s="5"/>
      <c r="S5" s="5"/>
      <c r="T5" s="5">
        <v>0</v>
      </c>
      <c r="U5" s="5"/>
    </row>
    <row r="6" spans="1:24" s="6" customFormat="1" x14ac:dyDescent="0.2">
      <c r="A6" s="6" t="str">
        <f>_xlfn.IFNA(VLOOKUP($B$3&amp;ROWS($A$5:A6),Rosters!$B$2:$C$162,2,0),"?")</f>
        <v>Shaun</v>
      </c>
      <c r="B6" s="6" t="str">
        <f>_xlfn.IFNA(VLOOKUP($B$3&amp;ROWS($B$5:B6),Rosters!$B$2:$D$162,3,0),"?")</f>
        <v>Green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4" s="6" customFormat="1" x14ac:dyDescent="0.2">
      <c r="A7" s="5" t="str">
        <f>_xlfn.IFNA(VLOOKUP($B$3&amp;ROWS($A$5:A7),Rosters!$B$2:$C$162,2,0),"?")</f>
        <v>Duane</v>
      </c>
      <c r="B7" s="5" t="str">
        <f>_xlfn.IFNA(VLOOKUP($B$3&amp;ROWS($B$5:B7),Rosters!$B$2:$D$162,3,0),"?")</f>
        <v>Brown</v>
      </c>
      <c r="C7" s="5">
        <f>_xlfn.IFNA(VLOOKUP($B$3&amp;ROWS($C$5:C7),Rosters!$B$2:$E$162,4,0),"")</f>
        <v>2</v>
      </c>
      <c r="D7" s="5"/>
      <c r="E7" s="5">
        <v>2</v>
      </c>
      <c r="F7" s="5"/>
      <c r="G7" s="5"/>
      <c r="H7" s="5">
        <v>1</v>
      </c>
      <c r="I7" s="5"/>
      <c r="J7" s="5"/>
      <c r="K7" s="5">
        <v>3</v>
      </c>
      <c r="L7" s="5"/>
      <c r="M7" s="5"/>
      <c r="N7" s="5">
        <v>1</v>
      </c>
      <c r="O7" s="5"/>
      <c r="P7" s="5"/>
      <c r="Q7" s="5">
        <v>0</v>
      </c>
      <c r="R7" s="5"/>
      <c r="S7" s="5"/>
      <c r="T7" s="5">
        <v>0</v>
      </c>
      <c r="U7" s="5"/>
    </row>
    <row r="8" spans="1:24" s="6" customFormat="1" x14ac:dyDescent="0.2">
      <c r="A8" s="6" t="str">
        <f>_xlfn.IFNA(VLOOKUP($B$3&amp;ROWS($A$5:A8),Rosters!$B$2:$C$162,2,0),"?")</f>
        <v xml:space="preserve">Tre </v>
      </c>
      <c r="B8" s="6" t="str">
        <f>_xlfn.IFNA(VLOOKUP($B$3&amp;ROWS($B$5:B8),Rosters!$B$2:$D$162,3,0),"?")</f>
        <v>Smith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4" s="6" customFormat="1" x14ac:dyDescent="0.2">
      <c r="A9" s="5" t="str">
        <f>_xlfn.IFNA(VLOOKUP($B$3&amp;ROWS($A$5:A9),Rosters!$B$2:$C$162,2,0),"?")</f>
        <v>Brekott</v>
      </c>
      <c r="B9" s="5" t="str">
        <f>_xlfn.IFNA(VLOOKUP($B$3&amp;ROWS($B$5:B9),Rosters!$B$2:$D$162,3,0),"?")</f>
        <v>Chapman</v>
      </c>
      <c r="C9" s="5">
        <f>_xlfn.IFNA(VLOOKUP($B$3&amp;ROWS($C$5:C9),Rosters!$B$2:$E$162,4,0),"")</f>
        <v>6</v>
      </c>
      <c r="D9" s="5"/>
      <c r="E9" s="5">
        <v>1</v>
      </c>
      <c r="F9" s="5"/>
      <c r="G9" s="5"/>
      <c r="H9" s="5">
        <v>3</v>
      </c>
      <c r="I9" s="5"/>
      <c r="J9" s="5"/>
      <c r="K9" s="5">
        <v>2</v>
      </c>
      <c r="L9" s="5"/>
      <c r="M9" s="5"/>
      <c r="N9" s="5">
        <v>1</v>
      </c>
      <c r="O9" s="5"/>
      <c r="P9" s="5"/>
      <c r="Q9" s="5">
        <v>1</v>
      </c>
      <c r="R9" s="5"/>
      <c r="S9" s="5"/>
      <c r="T9" s="5">
        <v>0</v>
      </c>
      <c r="U9" s="5"/>
    </row>
    <row r="10" spans="1:24" s="6" customFormat="1" x14ac:dyDescent="0.2">
      <c r="A10" s="6" t="str">
        <f>_xlfn.IFNA(VLOOKUP($B$3&amp;ROWS($A$5:A10),Rosters!$B$2:$C$162,2,0),"?")</f>
        <v xml:space="preserve">Ronnie </v>
      </c>
      <c r="B10" s="6" t="str">
        <f>_xlfn.IFNA(VLOOKUP($B$3&amp;ROWS($B$5:B10),Rosters!$B$2:$D$162,3,0),"?")</f>
        <v>Price</v>
      </c>
      <c r="C10" s="6">
        <f>_xlfn.IFNA(VLOOKUP($B$3&amp;ROWS($C$5:C10),Rosters!$B$2:$E$162,4,0),"")</f>
        <v>7</v>
      </c>
      <c r="E10" s="6">
        <v>0</v>
      </c>
      <c r="H10" s="6">
        <v>0</v>
      </c>
      <c r="K10" s="6">
        <v>0</v>
      </c>
      <c r="N10" s="6">
        <v>1</v>
      </c>
      <c r="Q10" s="6">
        <v>0</v>
      </c>
      <c r="T10" s="6">
        <v>0</v>
      </c>
    </row>
    <row r="11" spans="1:24" s="6" customFormat="1" x14ac:dyDescent="0.2">
      <c r="A11" s="5" t="str">
        <f>_xlfn.IFNA(VLOOKUP($B$3&amp;ROWS($A$5:A11),Rosters!$B$2:$C$162,2,0),"?")</f>
        <v xml:space="preserve">Isaiah </v>
      </c>
      <c r="B11" s="5" t="str">
        <f>_xlfn.IFNA(VLOOKUP($B$3&amp;ROWS($B$5:B11),Rosters!$B$2:$D$162,3,0),"?")</f>
        <v>Wright</v>
      </c>
      <c r="C11" s="5">
        <f>_xlfn.IFNA(VLOOKUP($B$3&amp;ROWS($C$5:C11),Rosters!$B$2:$E$162,4,0),"")</f>
        <v>8</v>
      </c>
      <c r="D11" s="5"/>
      <c r="E11" s="5">
        <v>1</v>
      </c>
      <c r="F11" s="5"/>
      <c r="G11" s="5"/>
      <c r="H11" s="5">
        <v>3</v>
      </c>
      <c r="I11" s="5"/>
      <c r="J11" s="5"/>
      <c r="K11" s="5">
        <v>1</v>
      </c>
      <c r="L11" s="5"/>
      <c r="M11" s="5"/>
      <c r="N11" s="5">
        <v>4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4" s="6" customFormat="1" x14ac:dyDescent="0.2">
      <c r="A12" s="6" t="str">
        <f>_xlfn.IFNA(VLOOKUP($B$3&amp;ROWS($A$5:A12),Rosters!$B$2:$C$162,2,0),"?")</f>
        <v>Tim</v>
      </c>
      <c r="B12" s="6" t="str">
        <f>_xlfn.IFNA(VLOOKUP($B$3&amp;ROWS($B$5:B12),Rosters!$B$2:$D$162,3,0),"?")</f>
        <v>Drisdom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4" s="6" customFormat="1" x14ac:dyDescent="0.2">
      <c r="A13" s="5" t="str">
        <f>_xlfn.IFNA(VLOOKUP($B$3&amp;ROWS($A$5:A13),Rosters!$B$2:$C$162,2,0),"?")</f>
        <v>Dakarai</v>
      </c>
      <c r="B13" s="5" t="str">
        <f>_xlfn.IFNA(VLOOKUP($B$3&amp;ROWS($B$5:B13),Rosters!$B$2:$D$162,3,0),"?")</f>
        <v>Tucker</v>
      </c>
      <c r="C13" s="5">
        <f>_xlfn.IFNA(VLOOKUP($B$3&amp;ROWS($C$5:C13),Rosters!$B$2:$E$162,4,0),"")</f>
        <v>14</v>
      </c>
      <c r="D13" s="5"/>
      <c r="E13" s="5">
        <v>0</v>
      </c>
      <c r="F13" s="5"/>
      <c r="G13" s="5"/>
      <c r="H13" s="5">
        <v>7</v>
      </c>
      <c r="I13" s="5"/>
      <c r="J13" s="5"/>
      <c r="K13" s="5">
        <v>1</v>
      </c>
      <c r="L13" s="5"/>
      <c r="M13" s="5"/>
      <c r="N13" s="5">
        <v>3</v>
      </c>
      <c r="O13" s="5"/>
      <c r="P13" s="5"/>
      <c r="Q13" s="5">
        <v>2</v>
      </c>
      <c r="R13" s="5"/>
      <c r="S13" s="5"/>
      <c r="T13" s="5">
        <v>0</v>
      </c>
      <c r="U13" s="5"/>
    </row>
    <row r="14" spans="1:24" s="6" customFormat="1" x14ac:dyDescent="0.2">
      <c r="A14" s="6" t="str">
        <f>_xlfn.IFNA(VLOOKUP($B$3&amp;ROWS($A$5:A14),Rosters!$B$2:$C$162,2,0),"?")</f>
        <v>AJ</v>
      </c>
      <c r="B14" s="6" t="str">
        <f>_xlfn.IFNA(VLOOKUP($B$3&amp;ROWS($B$5:B14),Rosters!$B$2:$D$162,3,0),"?")</f>
        <v>Hodges</v>
      </c>
      <c r="C14" s="6">
        <f>_xlfn.IFNA(VLOOKUP($B$3&amp;ROWS($C$5:C14),Rosters!$B$2:$E$162,4,0),"")</f>
        <v>15</v>
      </c>
      <c r="E14" s="6">
        <v>0</v>
      </c>
      <c r="H14" s="6">
        <v>3</v>
      </c>
      <c r="K14" s="6">
        <v>0</v>
      </c>
      <c r="N14" s="6">
        <v>1</v>
      </c>
      <c r="Q14" s="6">
        <v>0</v>
      </c>
      <c r="T14" s="6">
        <v>0</v>
      </c>
    </row>
    <row r="15" spans="1:24" s="6" customFormat="1" x14ac:dyDescent="0.2">
      <c r="A15" s="5" t="str">
        <f>_xlfn.IFNA(VLOOKUP($B$3&amp;ROWS($A$5:A15),Rosters!$B$2:$C$162,2,0),"?")</f>
        <v>Makol</v>
      </c>
      <c r="B15" s="5" t="str">
        <f>_xlfn.IFNA(VLOOKUP($B$3&amp;ROWS($B$5:B15),Rosters!$B$2:$D$162,3,0),"?")</f>
        <v>Mawien</v>
      </c>
      <c r="C15" s="5">
        <f>_xlfn.IFNA(VLOOKUP($B$3&amp;ROWS($C$5:C15),Rosters!$B$2:$E$162,4,0),"")</f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4" s="6" customFormat="1" x14ac:dyDescent="0.2">
      <c r="A16" s="6" t="str">
        <f>_xlfn.IFNA(VLOOKUP($B$3&amp;ROWS($A$5:A16),Rosters!$B$2:$C$162,2,0),"?")</f>
        <v>Corbin</v>
      </c>
      <c r="B16" s="6" t="str">
        <f>_xlfn.IFNA(VLOOKUP($B$3&amp;ROWS($B$5:B16),Rosters!$B$2:$D$162,3,0),"?")</f>
        <v>Green</v>
      </c>
      <c r="C16" s="6">
        <f>_xlfn.IFNA(VLOOKUP($B$3&amp;ROWS($C$5:C16),Rosters!$B$2:$E$162,4,0),"")</f>
        <v>98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4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>
        <v>55</v>
      </c>
      <c r="D17" s="5"/>
      <c r="E17" s="5">
        <v>3</v>
      </c>
      <c r="F17" s="5"/>
      <c r="G17" s="5"/>
      <c r="H17" s="5">
        <v>1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2</v>
      </c>
      <c r="R17" s="5"/>
      <c r="S17" s="5"/>
      <c r="T17" s="5">
        <v>0</v>
      </c>
      <c r="U17" s="5"/>
    </row>
    <row r="18" spans="1:24" s="6" customFormat="1" x14ac:dyDescent="0.2">
      <c r="A18" s="6" t="s">
        <v>274</v>
      </c>
      <c r="B18" s="6" t="s">
        <v>275</v>
      </c>
      <c r="C18" s="6">
        <v>0</v>
      </c>
      <c r="E18" s="6">
        <v>2</v>
      </c>
      <c r="H18" s="6">
        <v>3</v>
      </c>
      <c r="K18" s="6">
        <v>1</v>
      </c>
      <c r="N18" s="6">
        <v>4</v>
      </c>
      <c r="Q18" s="6">
        <v>0</v>
      </c>
      <c r="T18" s="6">
        <v>0</v>
      </c>
    </row>
    <row r="19" spans="1:24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4" x14ac:dyDescent="0.2">
      <c r="E20">
        <f>SUM(E5:E19)</f>
        <v>13</v>
      </c>
      <c r="H20">
        <f>SUM(H5:H19)</f>
        <v>24</v>
      </c>
      <c r="K20">
        <f>SUM(K5:K19)</f>
        <v>13</v>
      </c>
      <c r="N20">
        <f>SUM(N5:N19)</f>
        <v>19</v>
      </c>
      <c r="Q20">
        <f>SUM(Q5:Q19)</f>
        <v>6</v>
      </c>
      <c r="T20">
        <f>SUM(T5:T19)</f>
        <v>0</v>
      </c>
    </row>
    <row r="21" spans="1:24" x14ac:dyDescent="0.2">
      <c r="A21" s="2" t="s">
        <v>9</v>
      </c>
      <c r="B21" s="1" t="s">
        <v>270</v>
      </c>
      <c r="V21" t="s">
        <v>272</v>
      </c>
      <c r="X21">
        <v>1</v>
      </c>
    </row>
    <row r="22" spans="1:24" x14ac:dyDescent="0.2">
      <c r="A22" t="s">
        <v>1</v>
      </c>
      <c r="B22" t="s">
        <v>2</v>
      </c>
      <c r="C22" t="s">
        <v>0</v>
      </c>
      <c r="E22" t="s">
        <v>265</v>
      </c>
      <c r="H22" t="s">
        <v>266</v>
      </c>
      <c r="K22" t="s">
        <v>264</v>
      </c>
      <c r="N22" t="s">
        <v>269</v>
      </c>
      <c r="Q22" t="s">
        <v>271</v>
      </c>
    </row>
    <row r="23" spans="1:24" s="6" customFormat="1" x14ac:dyDescent="0.2">
      <c r="A23" s="5" t="str">
        <f>_xlfn.IFNA(VLOOKUP($B$21&amp;ROWS($A$23:A23),Rosters!$B$2:$C$162,2,0),"?")</f>
        <v>Steve</v>
      </c>
      <c r="B23" s="5" t="str">
        <f>_xlfn.IFNA(VLOOKUP($B$21&amp;ROWS($B$23:B23),Rosters!$B$2:$D$162,3,0),"?")</f>
        <v>Panos</v>
      </c>
      <c r="C23" s="5">
        <f>_xlfn.IFNA(VLOOKUP($B$21&amp;ROWS($C$23:C23),Rosters!$B$2:$E$162,4,0),"")</f>
        <v>0</v>
      </c>
      <c r="D23" s="5"/>
      <c r="E23" s="5">
        <v>2</v>
      </c>
      <c r="F23" s="5"/>
      <c r="G23" s="5"/>
      <c r="H23" s="5">
        <v>3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1</v>
      </c>
      <c r="R23" s="5"/>
      <c r="S23" s="5"/>
      <c r="T23" s="5">
        <v>0</v>
      </c>
      <c r="U23" s="5"/>
    </row>
    <row r="24" spans="1:24" s="6" customFormat="1" x14ac:dyDescent="0.2">
      <c r="A24" s="6" t="str">
        <f>_xlfn.IFNA(VLOOKUP($B$21&amp;ROWS($A$23:A24),Rosters!$B$2:$C$162,2,0),"?")</f>
        <v>James</v>
      </c>
      <c r="B24" s="6" t="str">
        <f>_xlfn.IFNA(VLOOKUP($B$21&amp;ROWS($B$23:B24),Rosters!$B$2:$D$162,3,0),"?")</f>
        <v>Walljasper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4" s="6" customFormat="1" x14ac:dyDescent="0.2">
      <c r="A25" s="5" t="str">
        <f>_xlfn.IFNA(VLOOKUP($B$21&amp;ROWS($A$23:A25),Rosters!$B$2:$C$162,2,0),"?")</f>
        <v>Drew</v>
      </c>
      <c r="B25" s="5" t="str">
        <f>_xlfn.IFNA(VLOOKUP($B$21&amp;ROWS($B$23:B25),Rosters!$B$2:$D$162,3,0),"?")</f>
        <v>Lokeni</v>
      </c>
      <c r="C25" s="5">
        <f>_xlfn.IFNA(VLOOKUP($B$21&amp;ROWS($C$23:C25),Rosters!$B$2:$E$162,4,0),"")</f>
        <v>7</v>
      </c>
      <c r="D25" s="5"/>
      <c r="E25" s="5">
        <v>1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4" s="6" customFormat="1" x14ac:dyDescent="0.2">
      <c r="A26" s="6" t="str">
        <f>_xlfn.IFNA(VLOOKUP($B$21&amp;ROWS($A$23:A26),Rosters!$B$2:$C$162,2,0),"?")</f>
        <v>Jeremy</v>
      </c>
      <c r="B26" s="6" t="str">
        <f>_xlfn.IFNA(VLOOKUP($B$21&amp;ROWS($B$23:B26),Rosters!$B$2:$D$162,3,0),"?")</f>
        <v>Dowdell</v>
      </c>
      <c r="C26" s="6">
        <f>_xlfn.IFNA(VLOOKUP($B$21&amp;ROWS($C$23:C26),Rosters!$B$2:$E$162,4,0),"")</f>
        <v>8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4" s="6" customFormat="1" x14ac:dyDescent="0.2">
      <c r="A27" s="5" t="str">
        <f>_xlfn.IFNA(VLOOKUP($B$21&amp;ROWS($A$23:A27),Rosters!$B$2:$C$162,2,0),"?")</f>
        <v>Caleb</v>
      </c>
      <c r="B27" s="5" t="str">
        <f>_xlfn.IFNA(VLOOKUP($B$21&amp;ROWS($B$23:B27),Rosters!$B$2:$D$162,3,0),"?")</f>
        <v>Leonhardt</v>
      </c>
      <c r="C27" s="5">
        <f>_xlfn.IFNA(VLOOKUP($B$21&amp;ROWS($C$23:C27),Rosters!$B$2:$E$162,4,0),"")</f>
        <v>12</v>
      </c>
      <c r="D27" s="5"/>
      <c r="E27" s="5">
        <v>0</v>
      </c>
      <c r="F27" s="5"/>
      <c r="G27" s="5"/>
      <c r="H27" s="5">
        <v>1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4" s="6" customFormat="1" x14ac:dyDescent="0.2">
      <c r="A28" s="6" t="str">
        <f>_xlfn.IFNA(VLOOKUP($B$21&amp;ROWS($A$23:A28),Rosters!$B$2:$C$162,2,0),"?")</f>
        <v>Adam</v>
      </c>
      <c r="B28" s="6" t="str">
        <f>_xlfn.IFNA(VLOOKUP($B$21&amp;ROWS($B$23:B28),Rosters!$B$2:$D$162,3,0),"?")</f>
        <v>Egan</v>
      </c>
      <c r="C28" s="6">
        <f>_xlfn.IFNA(VLOOKUP($B$21&amp;ROWS($C$23:C28),Rosters!$B$2:$E$162,4,0),"")</f>
        <v>13</v>
      </c>
      <c r="E28" s="6">
        <v>0</v>
      </c>
      <c r="H28" s="6">
        <v>2</v>
      </c>
      <c r="K28" s="6">
        <v>0</v>
      </c>
      <c r="N28" s="6">
        <v>2</v>
      </c>
      <c r="Q28" s="6">
        <v>0</v>
      </c>
      <c r="T28" s="6">
        <v>0</v>
      </c>
    </row>
    <row r="29" spans="1:24" s="6" customFormat="1" x14ac:dyDescent="0.2">
      <c r="A29" s="5" t="str">
        <f>_xlfn.IFNA(VLOOKUP($B$21&amp;ROWS($A$23:A29),Rosters!$B$2:$C$162,2,0),"?")</f>
        <v>Wil</v>
      </c>
      <c r="B29" s="5" t="str">
        <f>_xlfn.IFNA(VLOOKUP($B$21&amp;ROWS($B$23:B29),Rosters!$B$2:$D$162,3,0),"?")</f>
        <v>Carter</v>
      </c>
      <c r="C29" s="5">
        <f>_xlfn.IFNA(VLOOKUP($B$21&amp;ROWS($C$23:C29),Rosters!$B$2:$E$162,4,0),"")</f>
        <v>15</v>
      </c>
      <c r="D29" s="5"/>
      <c r="E29" s="5">
        <v>4</v>
      </c>
      <c r="F29" s="5"/>
      <c r="G29" s="5"/>
      <c r="H29" s="5">
        <v>10</v>
      </c>
      <c r="I29" s="5"/>
      <c r="J29" s="5"/>
      <c r="K29" s="5">
        <v>1</v>
      </c>
      <c r="L29" s="5"/>
      <c r="M29" s="5"/>
      <c r="N29" s="5">
        <v>2</v>
      </c>
      <c r="O29" s="5"/>
      <c r="P29" s="5"/>
      <c r="Q29" s="5">
        <v>1</v>
      </c>
      <c r="R29" s="5"/>
      <c r="S29" s="5"/>
      <c r="T29" s="5">
        <v>0</v>
      </c>
      <c r="U29" s="5"/>
    </row>
    <row r="30" spans="1:24" s="6" customFormat="1" x14ac:dyDescent="0.2">
      <c r="A30" s="6" t="str">
        <f>_xlfn.IFNA(VLOOKUP($B$21&amp;ROWS($A$23:A30),Rosters!$B$2:$C$162,2,0),"?")</f>
        <v>Tony</v>
      </c>
      <c r="B30" s="6" t="str">
        <f>_xlfn.IFNA(VLOOKUP($B$21&amp;ROWS($B$23:B30),Rosters!$B$2:$D$162,3,0),"?")</f>
        <v>Roberts</v>
      </c>
      <c r="C30" s="6">
        <f>_xlfn.IFNA(VLOOKUP($B$21&amp;ROWS($C$23:C30),Rosters!$B$2:$E$162,4,0),"")</f>
        <v>21</v>
      </c>
      <c r="E30" s="6">
        <v>2</v>
      </c>
      <c r="H30" s="6">
        <v>8</v>
      </c>
      <c r="K30" s="6">
        <v>0</v>
      </c>
      <c r="N30" s="6">
        <v>1</v>
      </c>
      <c r="Q30" s="6">
        <v>0</v>
      </c>
      <c r="T30" s="6">
        <v>0</v>
      </c>
    </row>
    <row r="31" spans="1:24" s="6" customFormat="1" x14ac:dyDescent="0.2">
      <c r="A31" s="5" t="str">
        <f>_xlfn.IFNA(VLOOKUP($B$21&amp;ROWS($A$23:A31),Rosters!$B$2:$C$162,2,0),"?")</f>
        <v>Quan</v>
      </c>
      <c r="B31" s="5" t="str">
        <f>_xlfn.IFNA(VLOOKUP($B$21&amp;ROWS($B$23:B31),Rosters!$B$2:$D$162,3,0),"?")</f>
        <v>Thompson</v>
      </c>
      <c r="C31" s="5">
        <f>_xlfn.IFNA(VLOOKUP($B$21&amp;ROWS($C$23:C31),Rosters!$B$2:$E$162,4,0),"")</f>
        <v>24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4" s="6" customFormat="1" x14ac:dyDescent="0.2">
      <c r="A32" s="6" t="str">
        <f>_xlfn.IFNA(VLOOKUP($B$21&amp;ROWS($A$23:A32),Rosters!$B$2:$C$162,2,0),"?")</f>
        <v>Rylan</v>
      </c>
      <c r="B32" s="6" t="str">
        <f>_xlfn.IFNA(VLOOKUP($B$21&amp;ROWS($B$23:B32),Rosters!$B$2:$D$162,3,0),"?")</f>
        <v>Jones</v>
      </c>
      <c r="C32" s="6">
        <f>_xlfn.IFNA(VLOOKUP($B$21&amp;ROWS($C$23:C32),Rosters!$B$2:$E$162,4,0),"")</f>
        <v>30</v>
      </c>
      <c r="E32" s="6">
        <v>0</v>
      </c>
      <c r="H32" s="6">
        <v>3</v>
      </c>
      <c r="K32" s="6">
        <v>0</v>
      </c>
      <c r="N32" s="6">
        <v>4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>
        <v>10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1</v>
      </c>
      <c r="L33" s="5"/>
      <c r="M33" s="5"/>
      <c r="N33" s="5">
        <v>1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">
        <v>220</v>
      </c>
      <c r="B34" s="6" t="s">
        <v>276</v>
      </c>
      <c r="C34" s="6">
        <v>34</v>
      </c>
      <c r="D34"/>
      <c r="E34" s="6">
        <v>2</v>
      </c>
      <c r="F34"/>
      <c r="G34"/>
      <c r="H34" s="6">
        <v>5</v>
      </c>
      <c r="I34"/>
      <c r="J34"/>
      <c r="K34" s="6">
        <v>2</v>
      </c>
      <c r="L34"/>
      <c r="M34"/>
      <c r="N34" s="6">
        <v>1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/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11</v>
      </c>
      <c r="H38">
        <f>SUM(H23:H37)</f>
        <v>34</v>
      </c>
      <c r="K38">
        <f>SUM(K23:K37)</f>
        <v>4</v>
      </c>
      <c r="N38">
        <f>SUM(N23:N37)</f>
        <v>11</v>
      </c>
      <c r="Q38">
        <f>SUM(Q23:Q37)</f>
        <v>2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activeCell="F7" sqref="F7"/>
    </sheetView>
  </sheetViews>
  <sheetFormatPr baseColWidth="10" defaultColWidth="11.1640625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268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2021-07-10T14:30:19Z</dcterms:modified>
</cp:coreProperties>
</file>