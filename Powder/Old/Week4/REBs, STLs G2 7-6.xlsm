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07T150023Z-001/"/>
    </mc:Choice>
  </mc:AlternateContent>
  <xr:revisionPtr revIDLastSave="0" documentId="13_ncr:1_{D1B3A84E-3B9C-F349-9529-94593219B35E}" xr6:coauthVersionLast="47" xr6:coauthVersionMax="47" xr10:uidLastSave="{00000000-0000-0000-0000-000000000000}"/>
  <bookViews>
    <workbookView xWindow="10820" yWindow="500" windowWidth="1798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yH24SGN4P2ODDyiLqtwVRUaBkGg=="/>
    </ext>
  </extLst>
</workbook>
</file>

<file path=xl/calcChain.xml><?xml version="1.0" encoding="utf-8"?>
<calcChain xmlns="http://schemas.openxmlformats.org/spreadsheetml/2006/main">
  <c r="C33" i="2" l="1"/>
  <c r="C35" i="2" l="1"/>
  <c r="H36" i="1" s="1"/>
  <c r="C34" i="2"/>
  <c r="H35" i="1" s="1"/>
  <c r="A32" i="2"/>
  <c r="B32" i="2"/>
  <c r="A33" i="2"/>
  <c r="B33" i="2"/>
  <c r="A34" i="2"/>
  <c r="F35" i="1" s="1"/>
  <c r="B34" i="2"/>
  <c r="G35" i="1" s="1"/>
  <c r="A35" i="2"/>
  <c r="F36" i="1" s="1"/>
  <c r="B35" i="2"/>
  <c r="G36" i="1" s="1"/>
  <c r="A23" i="2"/>
  <c r="B23" i="2"/>
  <c r="C23" i="2"/>
  <c r="A24" i="2"/>
  <c r="B24" i="2"/>
  <c r="C24" i="2"/>
  <c r="A25" i="2"/>
  <c r="F26" i="1" s="1"/>
  <c r="B25" i="2"/>
  <c r="G26" i="1" s="1"/>
  <c r="C25" i="2"/>
  <c r="A26" i="2"/>
  <c r="B26" i="2"/>
  <c r="C26" i="2"/>
  <c r="A27" i="2"/>
  <c r="B27" i="2"/>
  <c r="C27" i="2"/>
  <c r="H28" i="1" s="1"/>
  <c r="A28" i="2"/>
  <c r="F29" i="1" s="1"/>
  <c r="B28" i="2"/>
  <c r="C28" i="2"/>
  <c r="A29" i="2"/>
  <c r="B29" i="2"/>
  <c r="C29" i="2"/>
  <c r="A30" i="2"/>
  <c r="B30" i="2"/>
  <c r="G31" i="1" s="1"/>
  <c r="C30" i="2"/>
  <c r="H31" i="1" s="1"/>
  <c r="A31" i="2"/>
  <c r="B31" i="2"/>
  <c r="C31" i="2"/>
  <c r="C22" i="2"/>
  <c r="H23" i="1" s="1"/>
  <c r="B22" i="2"/>
  <c r="A22" i="2"/>
  <c r="C21" i="2"/>
  <c r="B21" i="2"/>
  <c r="A21" i="2"/>
  <c r="G16" i="1"/>
  <c r="F16" i="1"/>
  <c r="F15" i="1"/>
  <c r="B14" i="2"/>
  <c r="G14" i="1" s="1"/>
  <c r="A14" i="2"/>
  <c r="B13" i="2"/>
  <c r="A13" i="2"/>
  <c r="B12" i="2"/>
  <c r="G12" i="1" s="1"/>
  <c r="A12" i="2"/>
  <c r="C11" i="2"/>
  <c r="C12" i="2"/>
  <c r="C13" i="2"/>
  <c r="C14" i="2"/>
  <c r="H14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H9" i="1" s="1"/>
  <c r="A10" i="2"/>
  <c r="F10" i="1" s="1"/>
  <c r="B10" i="2"/>
  <c r="C10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G34" i="1"/>
  <c r="F34" i="1"/>
  <c r="G33" i="1"/>
  <c r="F33" i="1"/>
  <c r="H32" i="1"/>
  <c r="G32" i="1"/>
  <c r="F32" i="1"/>
  <c r="F31" i="1"/>
  <c r="H30" i="1"/>
  <c r="G30" i="1"/>
  <c r="F30" i="1"/>
  <c r="H29" i="1"/>
  <c r="G29" i="1"/>
  <c r="G28" i="1"/>
  <c r="F28" i="1"/>
  <c r="H27" i="1"/>
  <c r="G27" i="1"/>
  <c r="F27" i="1"/>
  <c r="H26" i="1"/>
  <c r="H25" i="1"/>
  <c r="G25" i="1"/>
  <c r="F25" i="1"/>
  <c r="H24" i="1"/>
  <c r="G24" i="1"/>
  <c r="F24" i="1"/>
  <c r="G23" i="1"/>
  <c r="F23" i="1"/>
  <c r="H22" i="1"/>
  <c r="G22" i="1"/>
  <c r="F22" i="1"/>
  <c r="W18" i="2"/>
  <c r="T18" i="2"/>
  <c r="Q18" i="2"/>
  <c r="N18" i="2"/>
  <c r="K18" i="2"/>
  <c r="H18" i="2"/>
  <c r="E18" i="2"/>
  <c r="G17" i="1"/>
  <c r="F17" i="1"/>
  <c r="G15" i="1"/>
  <c r="F14" i="1"/>
  <c r="H13" i="1"/>
  <c r="G13" i="1"/>
  <c r="F13" i="1"/>
  <c r="H12" i="1"/>
  <c r="H11" i="1"/>
  <c r="G10" i="1"/>
  <c r="G9" i="1"/>
  <c r="F9" i="1"/>
  <c r="H8" i="1"/>
  <c r="G8" i="1"/>
  <c r="H7" i="1"/>
  <c r="G7" i="1"/>
  <c r="F7" i="1"/>
  <c r="H6" i="1"/>
  <c r="G6" i="1"/>
  <c r="F6" i="1"/>
  <c r="H5" i="1"/>
  <c r="G5" i="1"/>
  <c r="F5" i="1"/>
  <c r="H4" i="1"/>
  <c r="G4" i="1"/>
  <c r="F4" i="1"/>
  <c r="H3" i="1"/>
  <c r="F3" i="1"/>
  <c r="L36" i="1"/>
  <c r="K36" i="1"/>
  <c r="J36" i="1"/>
  <c r="I36" i="1"/>
  <c r="L35" i="1"/>
  <c r="J35" i="1"/>
  <c r="K35" i="1" s="1"/>
  <c r="I35" i="1"/>
  <c r="L34" i="1"/>
  <c r="J34" i="1"/>
  <c r="I34" i="1"/>
  <c r="H34" i="1"/>
  <c r="L33" i="1"/>
  <c r="K33" i="1"/>
  <c r="J33" i="1"/>
  <c r="I33" i="1"/>
  <c r="H33" i="1"/>
  <c r="L32" i="1"/>
  <c r="J32" i="1"/>
  <c r="K32" i="1" s="1"/>
  <c r="I32" i="1"/>
  <c r="L31" i="1"/>
  <c r="J31" i="1"/>
  <c r="K31" i="1" s="1"/>
  <c r="I31" i="1"/>
  <c r="L30" i="1"/>
  <c r="J30" i="1"/>
  <c r="I30" i="1"/>
  <c r="K30" i="1" s="1"/>
  <c r="L29" i="1"/>
  <c r="J29" i="1"/>
  <c r="K29" i="1" s="1"/>
  <c r="I29" i="1"/>
  <c r="L28" i="1"/>
  <c r="K28" i="1"/>
  <c r="J28" i="1"/>
  <c r="I28" i="1"/>
  <c r="L27" i="1"/>
  <c r="J27" i="1"/>
  <c r="K27" i="1" s="1"/>
  <c r="I27" i="1"/>
  <c r="L26" i="1"/>
  <c r="J26" i="1"/>
  <c r="I26" i="1"/>
  <c r="L25" i="1"/>
  <c r="K25" i="1"/>
  <c r="J25" i="1"/>
  <c r="I25" i="1"/>
  <c r="L24" i="1"/>
  <c r="J24" i="1"/>
  <c r="I24" i="1"/>
  <c r="L23" i="1"/>
  <c r="L37" i="1" s="1"/>
  <c r="J23" i="1"/>
  <c r="K23" i="1" s="1"/>
  <c r="I23" i="1"/>
  <c r="L22" i="1"/>
  <c r="J22" i="1"/>
  <c r="I22" i="1"/>
  <c r="I37" i="1" s="1"/>
  <c r="D3" i="1" s="1"/>
  <c r="G20" i="1"/>
  <c r="L17" i="1"/>
  <c r="J17" i="1"/>
  <c r="K17" i="1" s="1"/>
  <c r="I17" i="1"/>
  <c r="H17" i="1"/>
  <c r="L16" i="1"/>
  <c r="K16" i="1"/>
  <c r="J16" i="1"/>
  <c r="I16" i="1"/>
  <c r="H16" i="1"/>
  <c r="L15" i="1"/>
  <c r="J15" i="1"/>
  <c r="K15" i="1" s="1"/>
  <c r="I15" i="1"/>
  <c r="H15" i="1"/>
  <c r="L14" i="1"/>
  <c r="J14" i="1"/>
  <c r="K14" i="1" s="1"/>
  <c r="I14" i="1"/>
  <c r="L13" i="1"/>
  <c r="J13" i="1"/>
  <c r="I13" i="1"/>
  <c r="K13" i="1" s="1"/>
  <c r="L12" i="1"/>
  <c r="J12" i="1"/>
  <c r="K12" i="1" s="1"/>
  <c r="I12" i="1"/>
  <c r="F12" i="1"/>
  <c r="L11" i="1"/>
  <c r="K11" i="1"/>
  <c r="J11" i="1"/>
  <c r="I11" i="1"/>
  <c r="G11" i="1"/>
  <c r="F11" i="1"/>
  <c r="L10" i="1"/>
  <c r="J10" i="1"/>
  <c r="K10" i="1" s="1"/>
  <c r="I10" i="1"/>
  <c r="H10" i="1"/>
  <c r="L9" i="1"/>
  <c r="J9" i="1"/>
  <c r="K9" i="1" s="1"/>
  <c r="I9" i="1"/>
  <c r="L8" i="1"/>
  <c r="K8" i="1"/>
  <c r="J8" i="1"/>
  <c r="I8" i="1"/>
  <c r="F8" i="1"/>
  <c r="L7" i="1"/>
  <c r="J7" i="1"/>
  <c r="K7" i="1" s="1"/>
  <c r="I7" i="1"/>
  <c r="L6" i="1"/>
  <c r="J6" i="1"/>
  <c r="K6" i="1" s="1"/>
  <c r="I6" i="1"/>
  <c r="L5" i="1"/>
  <c r="J5" i="1"/>
  <c r="I5" i="1"/>
  <c r="K5" i="1" s="1"/>
  <c r="L4" i="1"/>
  <c r="J4" i="1"/>
  <c r="K4" i="1" s="1"/>
  <c r="I4" i="1"/>
  <c r="L3" i="1"/>
  <c r="L18" i="1" s="1"/>
  <c r="K3" i="1"/>
  <c r="J3" i="1"/>
  <c r="I3" i="1"/>
  <c r="G3" i="1"/>
  <c r="D2" i="1"/>
  <c r="G1" i="1"/>
  <c r="B2" i="1" s="1"/>
  <c r="K26" i="1" l="1"/>
  <c r="K34" i="1"/>
  <c r="J37" i="1"/>
  <c r="K18" i="1"/>
  <c r="K24" i="1"/>
  <c r="J18" i="1"/>
  <c r="I18" i="1"/>
  <c r="B3" i="1" s="1"/>
  <c r="K22" i="1"/>
  <c r="K37" i="1" s="1"/>
</calcChain>
</file>

<file path=xl/sharedStrings.xml><?xml version="1.0" encoding="utf-8"?>
<sst xmlns="http://schemas.openxmlformats.org/spreadsheetml/2006/main" count="353" uniqueCount="223">
  <si>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</si>
  <si>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</si>
  <si>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</si>
  <si>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</si>
  <si>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</si>
  <si>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</si>
  <si>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</si>
  <si>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</si>
  <si>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</si>
  <si>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</si>
  <si>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</si>
  <si>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</si>
  <si>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</si>
  <si>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Covington</t>
  </si>
  <si>
    <t>Kevin</t>
  </si>
  <si>
    <t>Winsor</t>
  </si>
  <si>
    <t>Black Team (Away)</t>
  </si>
  <si>
    <t>Team Drisdom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</si>
  <si>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</si>
  <si>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</si>
  <si>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</si>
  <si>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</si>
  <si>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</si>
  <si>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</si>
  <si>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</si>
  <si>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</si>
  <si>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</si>
  <si>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</si>
  <si>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</si>
  <si>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</si>
  <si>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</si>
  <si>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</si>
  <si>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</si>
  <si>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</si>
  <si>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</si>
  <si>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</si>
  <si>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</si>
  <si>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</si>
  <si>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</si>
  <si>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</si>
  <si>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</si>
  <si>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</si>
  <si>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</si>
  <si>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</si>
  <si>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</si>
  <si>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</si>
  <si>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</si>
  <si>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</si>
  <si>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</si>
  <si>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</si>
  <si>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</si>
  <si>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</si>
  <si>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</si>
  <si>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</si>
  <si>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</si>
  <si>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</si>
  <si>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</si>
  <si>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</si>
  <si>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</si>
  <si>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</si>
  <si>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</si>
  <si>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</si>
  <si>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</si>
  <si>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</si>
  <si>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</si>
  <si>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</si>
  <si>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</si>
  <si>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</si>
  <si>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</si>
  <si>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</si>
  <si>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</si>
  <si>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</si>
  <si>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</si>
  <si>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</si>
  <si>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</si>
  <si>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</si>
  <si>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</si>
  <si>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</si>
  <si>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</si>
  <si>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</si>
  <si>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</si>
  <si>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</si>
  <si>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</si>
  <si>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</si>
  <si>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</si>
  <si>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</si>
  <si>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</si>
  <si>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</si>
  <si>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</si>
  <si>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</si>
  <si>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</si>
  <si>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</si>
  <si>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</si>
  <si>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</si>
  <si>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</si>
  <si>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</si>
  <si>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</si>
  <si>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</si>
  <si>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</si>
  <si>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</si>
  <si>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</si>
  <si>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</si>
  <si>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</si>
  <si>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</si>
  <si>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</si>
  <si>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</si>
  <si>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</si>
  <si>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</si>
  <si>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</si>
  <si>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</si>
  <si>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</si>
  <si>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</si>
  <si>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</si>
  <si>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</si>
  <si>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</si>
  <si>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</si>
  <si>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</si>
  <si>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</si>
  <si>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</si>
  <si>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</si>
  <si>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</si>
  <si>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</si>
  <si>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</si>
  <si>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</si>
  <si>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</si>
  <si>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</si>
  <si>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</si>
  <si>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</si>
  <si>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</si>
  <si>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</si>
  <si>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</si>
  <si>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</si>
  <si>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</si>
  <si>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</si>
  <si>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</si>
  <si>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</si>
  <si>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</si>
  <si>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</si>
  <si>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</si>
  <si>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</si>
  <si>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</si>
  <si>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</si>
  <si>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</si>
  <si>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</si>
  <si>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</si>
  <si>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</si>
  <si>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</si>
  <si>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</si>
  <si>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</si>
  <si>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</si>
  <si>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</si>
  <si>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</si>
  <si>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</si>
  <si>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</si>
  <si>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</si>
  <si>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</si>
  <si>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</si>
  <si>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</si>
  <si>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</si>
  <si>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</si>
  <si>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</si>
  <si>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</si>
  <si>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</si>
  <si>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</si>
  <si>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</si>
  <si>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</si>
  <si>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</si>
  <si>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</si>
  <si>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</si>
  <si>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</si>
  <si>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</si>
  <si>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</si>
  <si>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</si>
  <si>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</si>
  <si>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</si>
  <si>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</si>
  <si>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</si>
  <si>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</si>
  <si>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</si>
  <si>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</si>
  <si>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</si>
  <si>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</si>
  <si>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</si>
  <si>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</si>
  <si>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</si>
  <si>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</si>
  <si>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</si>
  <si>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</si>
  <si>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</si>
  <si>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</si>
  <si>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</si>
  <si>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</si>
  <si>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</si>
  <si>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</si>
  <si>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</si>
  <si>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</si>
  <si>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</si>
  <si>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</si>
  <si>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</si>
  <si>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</si>
  <si>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</si>
  <si>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</si>
  <si>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</si>
  <si>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</si>
  <si>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</si>
  <si>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</si>
  <si>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</si>
  <si>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</si>
  <si>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</si>
  <si>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</si>
  <si>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</si>
  <si>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</si>
  <si>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</si>
  <si>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</si>
  <si>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</si>
  <si>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</si>
  <si>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</si>
  <si>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Mike</t>
  </si>
  <si>
    <t>Saunders</t>
  </si>
  <si>
    <t>Max</t>
  </si>
  <si>
    <t>Watson</t>
  </si>
  <si>
    <t>Hayden</t>
  </si>
  <si>
    <t>Franson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</si>
</sst>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4" borderId="0" xfId="0" applyFill="1"/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G2'!B1</f>
        <v>Team Covington</v>
      </c>
    </row>
    <row r="2" spans="2:12" ht="15.75" customHeight="1" x14ac:dyDescent="0.2">
      <c r="B2" s="2" t="str">
        <f>G1</f>
        <v>Team Covington</v>
      </c>
      <c r="D2" s="2" t="str">
        <f>G20</f>
        <v>Team Drisdom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13</v>
      </c>
      <c r="C3" s="3" t="s">
        <v>9</v>
      </c>
      <c r="D3" s="4">
        <f>I37</f>
        <v>12</v>
      </c>
      <c r="F3" s="2" t="str">
        <f>'Stats G2'!A3</f>
        <v>Andre</v>
      </c>
      <c r="G3" s="2" t="str">
        <f>'Stats G2'!B3</f>
        <v>Mulibea</v>
      </c>
      <c r="H3" s="2">
        <f>'Stats G2'!C3</f>
        <v>34</v>
      </c>
      <c r="I3" s="2">
        <f>'Stats G2'!E3</f>
        <v>2</v>
      </c>
      <c r="J3" s="2">
        <f>'Stats G2'!H3</f>
        <v>5</v>
      </c>
      <c r="K3" s="2">
        <f t="shared" ref="K3:K17" si="0">J3+I3</f>
        <v>7</v>
      </c>
      <c r="L3" s="2">
        <f>'Stats G2'!K3</f>
        <v>0</v>
      </c>
    </row>
    <row r="4" spans="2:12" ht="15.75" customHeight="1" x14ac:dyDescent="0.2">
      <c r="F4" s="2" t="str">
        <f>'Stats G2'!A4</f>
        <v>Jaxon</v>
      </c>
      <c r="G4" s="2" t="str">
        <f>'Stats G2'!B4</f>
        <v>Pollard</v>
      </c>
      <c r="H4" s="2">
        <f>'Stats G2'!C4</f>
        <v>4</v>
      </c>
      <c r="I4" s="2">
        <f>'Stats G2'!E4</f>
        <v>1</v>
      </c>
      <c r="J4" s="2">
        <f>'Stats G2'!H4</f>
        <v>5</v>
      </c>
      <c r="K4" s="2">
        <f t="shared" si="0"/>
        <v>6</v>
      </c>
      <c r="L4" s="2">
        <f>'Stats G2'!K4</f>
        <v>0</v>
      </c>
    </row>
    <row r="5" spans="2:12" ht="15.75" customHeight="1" x14ac:dyDescent="0.2">
      <c r="F5" s="2" t="str">
        <f>'Stats G2'!A5</f>
        <v>Tyson</v>
      </c>
      <c r="G5" s="2" t="str">
        <f>'Stats G2'!B5</f>
        <v>Garff</v>
      </c>
      <c r="H5" s="2">
        <f>'Stats G2'!C5</f>
        <v>21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</row>
    <row r="6" spans="2:12" ht="15.75" customHeight="1" x14ac:dyDescent="0.2">
      <c r="F6" s="2" t="str">
        <f>'Stats G2'!A6</f>
        <v>Tanner</v>
      </c>
      <c r="G6" s="2" t="str">
        <f>'Stats G2'!B6</f>
        <v>Cuff</v>
      </c>
      <c r="H6" s="2">
        <f>'Stats G2'!C6</f>
        <v>87</v>
      </c>
      <c r="I6" s="2">
        <f>'Stats G2'!E6</f>
        <v>0</v>
      </c>
      <c r="J6" s="2">
        <f>'Stats G2'!H6</f>
        <v>0</v>
      </c>
      <c r="K6" s="2">
        <f t="shared" si="0"/>
        <v>0</v>
      </c>
      <c r="L6" s="2">
        <f>'Stats G2'!K6</f>
        <v>0</v>
      </c>
    </row>
    <row r="7" spans="2:12" ht="15.75" customHeight="1" x14ac:dyDescent="0.2">
      <c r="F7" s="2" t="str">
        <f>'Stats G2'!A7</f>
        <v>Brady</v>
      </c>
      <c r="G7" s="2" t="str">
        <f>'Stats G2'!B7</f>
        <v>Smith</v>
      </c>
      <c r="H7" s="2">
        <f>'Stats G2'!C7</f>
        <v>23</v>
      </c>
      <c r="I7" s="2">
        <f>'Stats G2'!E7</f>
        <v>0</v>
      </c>
      <c r="J7" s="2">
        <f>'Stats G2'!H7</f>
        <v>1</v>
      </c>
      <c r="K7" s="2">
        <f t="shared" si="0"/>
        <v>1</v>
      </c>
      <c r="L7" s="2">
        <f>'Stats G2'!K7</f>
        <v>0</v>
      </c>
    </row>
    <row r="8" spans="2:12" ht="15.75" customHeight="1" x14ac:dyDescent="0.2">
      <c r="F8" s="2" t="str">
        <f>'Stats G2'!A8</f>
        <v>Nick</v>
      </c>
      <c r="G8" s="2" t="str">
        <f>'Stats G2'!B8</f>
        <v>Covington</v>
      </c>
      <c r="H8" s="2">
        <f>'Stats G2'!C8</f>
        <v>2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0</v>
      </c>
    </row>
    <row r="9" spans="2:12" ht="15.75" customHeight="1" x14ac:dyDescent="0.2">
      <c r="F9" s="2" t="str">
        <f>'Stats G2'!A9</f>
        <v>Alejandro</v>
      </c>
      <c r="G9" s="2" t="str">
        <f>'Stats G2'!B9</f>
        <v>Vasquez</v>
      </c>
      <c r="H9" s="2">
        <f>'Stats G2'!C9</f>
        <v>10</v>
      </c>
      <c r="I9" s="2">
        <f>'Stats G2'!E9</f>
        <v>0</v>
      </c>
      <c r="J9" s="2">
        <f>'Stats G2'!H9</f>
        <v>1</v>
      </c>
      <c r="K9" s="2">
        <f t="shared" si="0"/>
        <v>1</v>
      </c>
      <c r="L9" s="2">
        <f>'Stats G2'!K9</f>
        <v>0</v>
      </c>
    </row>
    <row r="10" spans="2:12" ht="15.75" customHeight="1" x14ac:dyDescent="0.2">
      <c r="F10" s="2" t="str">
        <f>'Stats G2'!A10</f>
        <v>Jared</v>
      </c>
      <c r="G10" s="2" t="str">
        <f>'Stats G2'!B10</f>
        <v>Garcia</v>
      </c>
      <c r="H10" s="2">
        <f>'Stats G2'!C10</f>
        <v>25</v>
      </c>
      <c r="I10" s="2">
        <f>'Stats G2'!E10</f>
        <v>3</v>
      </c>
      <c r="J10" s="2">
        <f>'Stats G2'!H10</f>
        <v>3</v>
      </c>
      <c r="K10" s="2">
        <f t="shared" si="0"/>
        <v>6</v>
      </c>
      <c r="L10" s="2">
        <f>'Stats G2'!K10</f>
        <v>0</v>
      </c>
    </row>
    <row r="11" spans="2:12" ht="15.75" customHeight="1" x14ac:dyDescent="0.2">
      <c r="F11" s="2" t="str">
        <f>'Stats G2'!A11</f>
        <v>Kevin</v>
      </c>
      <c r="G11" s="2" t="str">
        <f>'Stats G2'!B11</f>
        <v>Winsor</v>
      </c>
      <c r="H11" s="2">
        <f>'Stats G2'!C11</f>
        <v>3</v>
      </c>
      <c r="I11" s="2">
        <f>'Stats G2'!E11</f>
        <v>0</v>
      </c>
      <c r="J11" s="2">
        <f>'Stats G2'!H11</f>
        <v>0</v>
      </c>
      <c r="K11" s="2">
        <f t="shared" si="0"/>
        <v>0</v>
      </c>
      <c r="L11" s="2">
        <f>'Stats G2'!K11</f>
        <v>0</v>
      </c>
    </row>
    <row r="12" spans="2:12" ht="15.75" customHeight="1" x14ac:dyDescent="0.2">
      <c r="F12" s="2" t="str">
        <f>'Stats G2'!A12</f>
        <v>Austin</v>
      </c>
      <c r="G12" s="2" t="str">
        <f>'Stats G2'!B12</f>
        <v>Hayhurst</v>
      </c>
      <c r="H12" s="2">
        <f>'Stats G2'!C12</f>
        <v>33</v>
      </c>
      <c r="I12" s="2">
        <f>'Stats G2'!E12</f>
        <v>0</v>
      </c>
      <c r="J12" s="2">
        <f>'Stats G2'!H12</f>
        <v>0</v>
      </c>
      <c r="K12" s="2">
        <f t="shared" si="0"/>
        <v>0</v>
      </c>
      <c r="L12" s="2">
        <f>'Stats G2'!K12</f>
        <v>0</v>
      </c>
    </row>
    <row r="13" spans="2:12" ht="15.75" customHeight="1" x14ac:dyDescent="0.2">
      <c r="F13" s="2" t="str">
        <f>'Stats G2'!A13</f>
        <v>Dwayne</v>
      </c>
      <c r="G13" s="2" t="str">
        <f>'Stats G2'!B13</f>
        <v>Koroma</v>
      </c>
      <c r="H13" s="2">
        <f>'Stats G2'!C13</f>
        <v>16</v>
      </c>
      <c r="I13" s="2">
        <f>'Stats G2'!E13</f>
        <v>3</v>
      </c>
      <c r="J13" s="2">
        <f>'Stats G2'!H13</f>
        <v>5</v>
      </c>
      <c r="K13" s="2">
        <f t="shared" si="0"/>
        <v>8</v>
      </c>
      <c r="L13" s="2">
        <f>'Stats G2'!K13</f>
        <v>2</v>
      </c>
    </row>
    <row r="14" spans="2:12" ht="15.75" customHeight="1" x14ac:dyDescent="0.2">
      <c r="F14" s="2" t="str">
        <f>'Stats G2'!A14</f>
        <v>Jaxon</v>
      </c>
      <c r="G14" s="2" t="str">
        <f>'Stats G2'!B14</f>
        <v>Heiden</v>
      </c>
      <c r="H14" s="2">
        <f>'Stats G2'!C14</f>
        <v>14</v>
      </c>
      <c r="I14" s="2">
        <f>'Stats G2'!E14</f>
        <v>0</v>
      </c>
      <c r="J14" s="2">
        <f>'Stats G2'!H14</f>
        <v>0</v>
      </c>
      <c r="K14" s="2">
        <f t="shared" si="0"/>
        <v>0</v>
      </c>
      <c r="L14" s="2">
        <f>'Stats G2'!K14</f>
        <v>0</v>
      </c>
    </row>
    <row r="15" spans="2:12" ht="15.75" customHeight="1" x14ac:dyDescent="0.2">
      <c r="F15" s="2" t="str">
        <f>'Stats G2'!A15</f>
        <v>Mike</v>
      </c>
      <c r="G15" s="2" t="str">
        <f>'Stats G2'!B15</f>
        <v>Saunders</v>
      </c>
      <c r="H15" s="2">
        <f>'Stats G2'!C15</f>
        <v>20</v>
      </c>
      <c r="I15" s="2">
        <f>'Stats G2'!E15</f>
        <v>2</v>
      </c>
      <c r="J15" s="2">
        <f>'Stats G2'!H15</f>
        <v>2</v>
      </c>
      <c r="K15" s="2">
        <f t="shared" si="0"/>
        <v>4</v>
      </c>
      <c r="L15" s="2">
        <f>'Stats G2'!K15</f>
        <v>0</v>
      </c>
    </row>
    <row r="16" spans="2:12" ht="15.75" customHeight="1" x14ac:dyDescent="0.2">
      <c r="F16" s="2" t="str">
        <f>'Stats G2'!A16</f>
        <v>Max</v>
      </c>
      <c r="G16" s="2" t="str">
        <f>'Stats G2'!B16</f>
        <v>Watson</v>
      </c>
      <c r="H16" s="2">
        <f>'Stats G2'!C16</f>
        <v>1</v>
      </c>
      <c r="I16" s="2">
        <f>'Stats G2'!E16</f>
        <v>1</v>
      </c>
      <c r="J16" s="2">
        <f>'Stats G2'!H16</f>
        <v>1</v>
      </c>
      <c r="K16" s="2">
        <f t="shared" si="0"/>
        <v>2</v>
      </c>
      <c r="L16" s="2">
        <f>'Stats G2'!K16</f>
        <v>1</v>
      </c>
    </row>
    <row r="17" spans="6:12" ht="15.75" customHeight="1" x14ac:dyDescent="0.2">
      <c r="F17" s="2" t="str">
        <f>'Stats G2'!A17</f>
        <v>Hayden</v>
      </c>
      <c r="G17" s="2" t="str">
        <f>'Stats G2'!B17</f>
        <v>Franson</v>
      </c>
      <c r="H17" s="2">
        <f>'Stats G2'!C17</f>
        <v>10</v>
      </c>
      <c r="I17" s="2">
        <f>'Stats G2'!E17</f>
        <v>1</v>
      </c>
      <c r="J17" s="2">
        <f>'Stats G2'!H17</f>
        <v>3</v>
      </c>
      <c r="K17" s="2">
        <f t="shared" si="0"/>
        <v>4</v>
      </c>
      <c r="L17" s="2">
        <f>'Stats G2'!K17</f>
        <v>1</v>
      </c>
    </row>
    <row r="18" spans="6:12" ht="15.75" customHeight="1" x14ac:dyDescent="0.2">
      <c r="H18" s="1" t="s">
        <v>10</v>
      </c>
      <c r="I18" s="2">
        <f t="shared" ref="I18:L18" si="1">SUM(I3:I17)</f>
        <v>13</v>
      </c>
      <c r="J18" s="2">
        <f t="shared" si="1"/>
        <v>26</v>
      </c>
      <c r="K18" s="2">
        <f t="shared" si="1"/>
        <v>39</v>
      </c>
      <c r="L18" s="2">
        <f t="shared" si="1"/>
        <v>4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G2'!B19</f>
        <v>Team Drisdom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G2'!A21</f>
        <v>Corbin</v>
      </c>
      <c r="G22" s="2" t="str">
        <f>'Stats G2'!B21</f>
        <v>Green</v>
      </c>
      <c r="H22" s="2">
        <f>'Stats G2'!C21</f>
        <v>7</v>
      </c>
      <c r="I22" s="2">
        <f>'Stats G2'!E21</f>
        <v>1</v>
      </c>
      <c r="J22" s="2">
        <f>'Stats G2'!H21</f>
        <v>5</v>
      </c>
      <c r="K22" s="2">
        <f t="shared" ref="K22:K36" si="2">J22+I22</f>
        <v>6</v>
      </c>
      <c r="L22" s="2">
        <f>'Stats G2'!K21</f>
        <v>0</v>
      </c>
    </row>
    <row r="23" spans="6:12" ht="15.75" customHeight="1" x14ac:dyDescent="0.2">
      <c r="F23" s="2" t="str">
        <f>'Stats G2'!A22</f>
        <v>Aubrey</v>
      </c>
      <c r="G23" s="2" t="str">
        <f>'Stats G2'!B22</f>
        <v>Hodges</v>
      </c>
      <c r="H23" s="2">
        <f>'Stats G2'!C22</f>
        <v>5</v>
      </c>
      <c r="I23" s="2">
        <f>'Stats G2'!E22</f>
        <v>0</v>
      </c>
      <c r="J23" s="2">
        <f>'Stats G2'!H22</f>
        <v>0</v>
      </c>
      <c r="K23" s="2">
        <f t="shared" si="2"/>
        <v>0</v>
      </c>
      <c r="L23" s="2">
        <f>'Stats G2'!K22</f>
        <v>0</v>
      </c>
    </row>
    <row r="24" spans="6:12" ht="15.75" customHeight="1" x14ac:dyDescent="0.2">
      <c r="F24" s="2" t="str">
        <f>'Stats G2'!A23</f>
        <v>Tre</v>
      </c>
      <c r="G24" s="2" t="str">
        <f>'Stats G2'!B23</f>
        <v>Smith</v>
      </c>
      <c r="H24" s="2">
        <f>'Stats G2'!C23</f>
        <v>10</v>
      </c>
      <c r="I24" s="2">
        <f>'Stats G2'!E23</f>
        <v>4</v>
      </c>
      <c r="J24" s="2">
        <f>'Stats G2'!H23</f>
        <v>3</v>
      </c>
      <c r="K24" s="2">
        <f t="shared" si="2"/>
        <v>7</v>
      </c>
      <c r="L24" s="2">
        <f>'Stats G2'!K23</f>
        <v>1</v>
      </c>
    </row>
    <row r="25" spans="6:12" ht="15.75" customHeight="1" x14ac:dyDescent="0.2">
      <c r="F25" s="2" t="str">
        <f>'Stats G2'!A24</f>
        <v>Tim</v>
      </c>
      <c r="G25" s="2" t="str">
        <f>'Stats G2'!B24</f>
        <v>Drisdom</v>
      </c>
      <c r="H25" s="2">
        <f>'Stats G2'!C24</f>
        <v>11</v>
      </c>
      <c r="I25" s="2">
        <f>'Stats G2'!E24</f>
        <v>0</v>
      </c>
      <c r="J25" s="2">
        <f>'Stats G2'!H24</f>
        <v>0</v>
      </c>
      <c r="K25" s="2">
        <f t="shared" si="2"/>
        <v>0</v>
      </c>
      <c r="L25" s="2">
        <f>'Stats G2'!K24</f>
        <v>0</v>
      </c>
    </row>
    <row r="26" spans="6:12" ht="15.75" customHeight="1" x14ac:dyDescent="0.2">
      <c r="F26" s="2" t="str">
        <f>'Stats G2'!A25</f>
        <v>Terrence</v>
      </c>
      <c r="G26" s="2" t="str">
        <f>'Stats G2'!B25</f>
        <v>Drisdom</v>
      </c>
      <c r="H26" s="2">
        <f>'Stats G2'!C25</f>
        <v>2</v>
      </c>
      <c r="I26" s="2">
        <f>'Stats G2'!E25</f>
        <v>1</v>
      </c>
      <c r="J26" s="2">
        <f>'Stats G2'!H25</f>
        <v>7</v>
      </c>
      <c r="K26" s="2">
        <f t="shared" si="2"/>
        <v>8</v>
      </c>
      <c r="L26" s="2">
        <f>'Stats G2'!K25</f>
        <v>0</v>
      </c>
    </row>
    <row r="27" spans="6:12" ht="15.75" customHeight="1" x14ac:dyDescent="0.2">
      <c r="F27" s="2" t="str">
        <f>'Stats G2'!A26</f>
        <v>Jared</v>
      </c>
      <c r="G27" s="2" t="str">
        <f>'Stats G2'!B26</f>
        <v>Butler</v>
      </c>
      <c r="H27" s="2">
        <f>'Stats G2'!C26</f>
        <v>0</v>
      </c>
      <c r="I27" s="2">
        <f>'Stats G2'!E26</f>
        <v>0</v>
      </c>
      <c r="J27" s="2">
        <f>'Stats G2'!H26</f>
        <v>0</v>
      </c>
      <c r="K27" s="2">
        <f t="shared" si="2"/>
        <v>0</v>
      </c>
      <c r="L27" s="2">
        <f>'Stats G2'!K26</f>
        <v>0</v>
      </c>
    </row>
    <row r="28" spans="6:12" ht="15.75" customHeight="1" x14ac:dyDescent="0.2">
      <c r="F28" s="2" t="str">
        <f>'Stats G2'!A27</f>
        <v>Shaun</v>
      </c>
      <c r="G28" s="2" t="str">
        <f>'Stats G2'!B27</f>
        <v>Green</v>
      </c>
      <c r="H28" s="2">
        <f>'Stats G2'!C27</f>
        <v>13</v>
      </c>
      <c r="I28" s="2">
        <f>'Stats G2'!E27</f>
        <v>0</v>
      </c>
      <c r="J28" s="2">
        <f>'Stats G2'!H27</f>
        <v>0</v>
      </c>
      <c r="K28" s="2">
        <f t="shared" si="2"/>
        <v>0</v>
      </c>
      <c r="L28" s="2">
        <f>'Stats G2'!K27</f>
        <v>0</v>
      </c>
    </row>
    <row r="29" spans="6:12" ht="15.75" customHeight="1" x14ac:dyDescent="0.2">
      <c r="F29" s="2" t="str">
        <f>'Stats G2'!A28</f>
        <v>Zeus</v>
      </c>
      <c r="G29" s="2" t="str">
        <f>'Stats G2'!B28</f>
        <v>Martinez</v>
      </c>
      <c r="H29" s="2">
        <f>'Stats G2'!C28</f>
        <v>1</v>
      </c>
      <c r="I29" s="2">
        <f>'Stats G2'!E28</f>
        <v>2</v>
      </c>
      <c r="J29" s="2">
        <f>'Stats G2'!H28</f>
        <v>3</v>
      </c>
      <c r="K29" s="2">
        <f t="shared" si="2"/>
        <v>5</v>
      </c>
      <c r="L29" s="2">
        <f>'Stats G2'!K28</f>
        <v>1</v>
      </c>
    </row>
    <row r="30" spans="6:12" ht="15.75" customHeight="1" x14ac:dyDescent="0.2">
      <c r="F30" s="2" t="str">
        <f>'Stats G2'!A29</f>
        <v>Vai</v>
      </c>
      <c r="G30" s="2" t="str">
        <f>'Stats G2'!B29</f>
        <v>Harris</v>
      </c>
      <c r="H30" s="2">
        <f>'Stats G2'!C29</f>
        <v>4</v>
      </c>
      <c r="I30" s="2">
        <f>'Stats G2'!E29</f>
        <v>0</v>
      </c>
      <c r="J30" s="2">
        <f>'Stats G2'!H29</f>
        <v>2</v>
      </c>
      <c r="K30" s="2">
        <f t="shared" si="2"/>
        <v>2</v>
      </c>
      <c r="L30" s="2">
        <f>'Stats G2'!K29</f>
        <v>0</v>
      </c>
    </row>
    <row r="31" spans="6:12" ht="15.75" customHeight="1" x14ac:dyDescent="0.2">
      <c r="F31" s="2" t="str">
        <f>'Stats G2'!A30</f>
        <v>Brekott</v>
      </c>
      <c r="G31" s="2" t="str">
        <f>'Stats G2'!B30</f>
        <v>Chapman</v>
      </c>
      <c r="H31" s="2">
        <f>'Stats G2'!C30</f>
        <v>6</v>
      </c>
      <c r="I31" s="2">
        <f>'Stats G2'!E30</f>
        <v>2</v>
      </c>
      <c r="J31" s="2">
        <f>'Stats G2'!H30</f>
        <v>4</v>
      </c>
      <c r="K31" s="2">
        <f t="shared" si="2"/>
        <v>6</v>
      </c>
      <c r="L31" s="2">
        <f>'Stats G2'!K30</f>
        <v>1</v>
      </c>
    </row>
    <row r="32" spans="6:12" ht="15.75" customHeight="1" x14ac:dyDescent="0.2">
      <c r="F32" s="2" t="str">
        <f>'Stats G2'!A31</f>
        <v>Bryant</v>
      </c>
      <c r="G32" s="2" t="str">
        <f>'Stats G2'!B31</f>
        <v>Markson</v>
      </c>
      <c r="H32" s="2">
        <f>'Stats G2'!C31</f>
        <v>20</v>
      </c>
      <c r="I32" s="2">
        <f>'Stats G2'!E31</f>
        <v>0</v>
      </c>
      <c r="J32" s="2">
        <f>'Stats G2'!H31</f>
        <v>3</v>
      </c>
      <c r="K32" s="2">
        <f t="shared" si="2"/>
        <v>3</v>
      </c>
      <c r="L32" s="2">
        <f>'Stats G2'!K31</f>
        <v>0</v>
      </c>
    </row>
    <row r="33" spans="6:12" ht="15.75" customHeight="1" x14ac:dyDescent="0.2">
      <c r="F33" s="2" t="str">
        <f>'Stats G2'!A32</f>
        <v>?</v>
      </c>
      <c r="G33" s="2" t="str">
        <f>'Stats G2'!B32</f>
        <v>?</v>
      </c>
      <c r="H33" s="2">
        <f>'Stats G2'!C32</f>
        <v>3</v>
      </c>
      <c r="I33" s="2">
        <f>'Stats G2'!E32</f>
        <v>2</v>
      </c>
      <c r="J33" s="2">
        <f>'Stats G2'!H32</f>
        <v>6</v>
      </c>
      <c r="K33" s="2">
        <f t="shared" si="2"/>
        <v>8</v>
      </c>
      <c r="L33" s="2">
        <f>'Stats G2'!K32</f>
        <v>0</v>
      </c>
    </row>
    <row r="34" spans="6:12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</row>
    <row r="35" spans="6:12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</row>
    <row r="36" spans="6:12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12</v>
      </c>
      <c r="J37" s="2">
        <f t="shared" si="3"/>
        <v>33</v>
      </c>
      <c r="K37" s="2">
        <f t="shared" si="3"/>
        <v>45</v>
      </c>
      <c r="L37" s="2">
        <f t="shared" si="3"/>
        <v>3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C15" sqref="C15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Andre</v>
      </c>
      <c r="B3" s="6" t="str">
        <f>_xlfn.IFNA(VLOOKUP($B$1&amp;ROWS($B$3:B3),Rosters!$B$2:$D$163,3,0),"?")</f>
        <v>Mulibea</v>
      </c>
      <c r="C3" s="6">
        <f>_xlfn.IFNA(VLOOKUP($B$1&amp;ROWS($C$3:C3),Rosters!$B$2:$E$163,4,0),"")</f>
        <v>34</v>
      </c>
      <c r="D3" s="6"/>
      <c r="E3" s="7">
        <v>2</v>
      </c>
      <c r="F3" s="6"/>
      <c r="G3" s="6"/>
      <c r="H3" s="7">
        <v>5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Jaxon</v>
      </c>
      <c r="B4" s="8" t="str">
        <f>_xlfn.IFNA(VLOOKUP($B$1&amp;ROWS($B$3:B4),Rosters!$B$2:$D$163,3,0),"?")</f>
        <v>Pollard</v>
      </c>
      <c r="C4" s="8">
        <f>_xlfn.IFNA(VLOOKUP($B$1&amp;ROWS($C$3:C4),Rosters!$B$2:$E$163,4,0),"")</f>
        <v>4</v>
      </c>
      <c r="D4" s="8"/>
      <c r="E4" s="9">
        <v>1</v>
      </c>
      <c r="F4" s="8"/>
      <c r="G4" s="8"/>
      <c r="H4" s="9">
        <v>5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Tyson</v>
      </c>
      <c r="B5" s="6" t="str">
        <f>_xlfn.IFNA(VLOOKUP($B$1&amp;ROWS($B$3:B5),Rosters!$B$2:$D$163,3,0),"?")</f>
        <v>Garff</v>
      </c>
      <c r="C5" s="6">
        <f>_xlfn.IFNA(VLOOKUP($B$1&amp;ROWS($C$3:C5),Rosters!$B$2:$E$163,4,0),"")</f>
        <v>21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Tanner</v>
      </c>
      <c r="B6" s="8" t="str">
        <f>_xlfn.IFNA(VLOOKUP($B$1&amp;ROWS($B$3:B6),Rosters!$B$2:$D$163,3,0),"?")</f>
        <v>Cuff</v>
      </c>
      <c r="C6" s="8">
        <f>_xlfn.IFNA(VLOOKUP($B$1&amp;ROWS($C$3:C6),Rosters!$B$2:$E$163,4,0),"")</f>
        <v>87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Brady</v>
      </c>
      <c r="B7" s="6" t="str">
        <f>_xlfn.IFNA(VLOOKUP($B$1&amp;ROWS($B$3:B7),Rosters!$B$2:$D$163,3,0),"?")</f>
        <v>Smith</v>
      </c>
      <c r="C7" s="6">
        <f>_xlfn.IFNA(VLOOKUP($B$1&amp;ROWS($C$3:C7),Rosters!$B$2:$E$163,4,0),"")</f>
        <v>23</v>
      </c>
      <c r="D7" s="6"/>
      <c r="E7" s="6">
        <v>0</v>
      </c>
      <c r="F7" s="6"/>
      <c r="G7" s="6"/>
      <c r="H7" s="7">
        <v>1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Nick</v>
      </c>
      <c r="B8" s="8" t="str">
        <f>_xlfn.IFNA(VLOOKUP($B$1&amp;ROWS($B$3:B8),Rosters!$B$2:$D$163,3,0),"?")</f>
        <v>Covington</v>
      </c>
      <c r="C8" s="8">
        <f>_xlfn.IFNA(VLOOKUP($B$1&amp;ROWS($C$3:C8),Rosters!$B$2:$E$163,4,0),"")</f>
        <v>2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Alejandro</v>
      </c>
      <c r="B9" s="6" t="str">
        <f>_xlfn.IFNA(VLOOKUP($B$1&amp;ROWS($B$3:B9),Rosters!$B$2:$D$163,3,0),"?")</f>
        <v>Vasquez</v>
      </c>
      <c r="C9" s="6">
        <f>_xlfn.IFNA(VLOOKUP($B$1&amp;ROWS($C$3:C9),Rosters!$B$2:$E$163,4,0),"")</f>
        <v>10</v>
      </c>
      <c r="D9" s="6"/>
      <c r="E9" s="6">
        <v>0</v>
      </c>
      <c r="F9" s="6"/>
      <c r="G9" s="6"/>
      <c r="H9" s="7">
        <v>1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Jared</v>
      </c>
      <c r="B10" s="8" t="str">
        <f>_xlfn.IFNA(VLOOKUP($B$1&amp;ROWS($B$3:B10),Rosters!$B$2:$D$163,3,0),"?")</f>
        <v>Garcia</v>
      </c>
      <c r="C10" s="8">
        <f>_xlfn.IFNA(VLOOKUP($B$1&amp;ROWS($C$3:C10),Rosters!$B$2:$E$163,4,0),"")</f>
        <v>25</v>
      </c>
      <c r="D10" s="8"/>
      <c r="E10" s="9">
        <v>3</v>
      </c>
      <c r="F10" s="8"/>
      <c r="G10" s="8"/>
      <c r="H10" s="9">
        <v>3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7" t="s">
        <v>14</v>
      </c>
      <c r="B11" s="7" t="s">
        <v>15</v>
      </c>
      <c r="C11" s="6">
        <f>_xlfn.IFNA(VLOOKUP($B$1&amp;ROWS($C$3:C11),Rosters!$B$2:$E$163,4,0),"")</f>
        <v>3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Austin</v>
      </c>
      <c r="B12" s="8" t="str">
        <f>_xlfn.IFNA(VLOOKUP($B$1&amp;ROWS($B$3:B12),Rosters!$B$2:$D$163,3,0),"?")</f>
        <v>Hayhurst</v>
      </c>
      <c r="C12" s="8">
        <f>_xlfn.IFNA(VLOOKUP($B$1&amp;ROWS($C$3:C12),Rosters!$B$2:$E$163,4,0),"")</f>
        <v>33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Dwayne</v>
      </c>
      <c r="B13" s="6" t="str">
        <f>_xlfn.IFNA(VLOOKUP($B$1&amp;ROWS($B$3:B13),Rosters!$B$2:$D$163,3,0),"?")</f>
        <v>Koroma</v>
      </c>
      <c r="C13" s="6">
        <f>_xlfn.IFNA(VLOOKUP($B$1&amp;ROWS($C$3:C13),Rosters!$B$2:$E$163,4,0),"")</f>
        <v>16</v>
      </c>
      <c r="D13" s="6"/>
      <c r="E13" s="7">
        <v>3</v>
      </c>
      <c r="F13" s="6"/>
      <c r="G13" s="6"/>
      <c r="H13" s="7">
        <v>5</v>
      </c>
      <c r="I13" s="6"/>
      <c r="J13" s="6"/>
      <c r="K13" s="7">
        <v>2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Jaxon</v>
      </c>
      <c r="B14" s="8" t="str">
        <f>_xlfn.IFNA(VLOOKUP($B$1&amp;ROWS($B$3:B14),Rosters!$B$2:$D$163,3,0),"?")</f>
        <v>Heiden</v>
      </c>
      <c r="C14" s="8">
        <f>_xlfn.IFNA(VLOOKUP($B$1&amp;ROWS($C$3:C14),Rosters!$B$2:$E$163,4,0),"")</f>
        <v>14</v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13" t="s">
        <v>217</v>
      </c>
      <c r="B15" s="13" t="s">
        <v>218</v>
      </c>
      <c r="C15" s="7">
        <v>20</v>
      </c>
      <c r="D15" s="6"/>
      <c r="E15" s="7">
        <v>2</v>
      </c>
      <c r="F15" s="6"/>
      <c r="G15" s="6"/>
      <c r="H15" s="7">
        <v>2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14" t="s">
        <v>219</v>
      </c>
      <c r="B16" s="14" t="s">
        <v>220</v>
      </c>
      <c r="C16" s="9">
        <v>1</v>
      </c>
      <c r="D16" s="8"/>
      <c r="E16" s="9">
        <v>1</v>
      </c>
      <c r="F16" s="8"/>
      <c r="G16" s="8"/>
      <c r="H16" s="9">
        <v>1</v>
      </c>
      <c r="I16" s="8"/>
      <c r="J16" s="8"/>
      <c r="K16" s="9">
        <v>1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13" t="s">
        <v>221</v>
      </c>
      <c r="B17" s="13" t="s">
        <v>222</v>
      </c>
      <c r="C17" s="7">
        <v>10</v>
      </c>
      <c r="D17" s="6"/>
      <c r="E17" s="7">
        <v>1</v>
      </c>
      <c r="F17" s="6"/>
      <c r="G17" s="6"/>
      <c r="H17" s="7">
        <v>3</v>
      </c>
      <c r="I17" s="6"/>
      <c r="J17" s="6"/>
      <c r="K17" s="7">
        <v>1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13</v>
      </c>
      <c r="F18" s="8"/>
      <c r="G18" s="8"/>
      <c r="H18" s="8">
        <f>SUM(H3:H17)</f>
        <v>26</v>
      </c>
      <c r="I18" s="8"/>
      <c r="J18" s="8"/>
      <c r="K18" s="8">
        <f>SUM(K3:K17)</f>
        <v>4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Corbin</v>
      </c>
      <c r="B21" s="6" t="str">
        <f>_xlfn.IFNA(VLOOKUP($B$19&amp;ROWS($B$21:B21),Rosters!$B$2:$D$163,3,0),"?")</f>
        <v>Green</v>
      </c>
      <c r="C21" s="6">
        <f>_xlfn.IFNA(VLOOKUP($B$19&amp;ROWS($C$21:C21),Rosters!$B$2:$E$163,4,0),"")</f>
        <v>7</v>
      </c>
      <c r="D21" s="6"/>
      <c r="E21" s="7">
        <v>1</v>
      </c>
      <c r="F21" s="6"/>
      <c r="G21" s="6"/>
      <c r="H21" s="7">
        <v>5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Aubrey</v>
      </c>
      <c r="B22" s="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8"/>
      <c r="E22" s="8">
        <v>0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Tre</v>
      </c>
      <c r="B23" s="6" t="str">
        <f>_xlfn.IFNA(VLOOKUP($B$19&amp;ROWS($B$21:B23),Rosters!$B$2:$D$163,3,0),"?")</f>
        <v>Smith</v>
      </c>
      <c r="C23" s="6">
        <f>_xlfn.IFNA(VLOOKUP($B$19&amp;ROWS($C$21:C23),Rosters!$B$2:$E$163,4,0),"")</f>
        <v>10</v>
      </c>
      <c r="D23" s="6"/>
      <c r="E23" s="7">
        <v>4</v>
      </c>
      <c r="F23" s="6"/>
      <c r="G23" s="6"/>
      <c r="H23" s="7">
        <v>3</v>
      </c>
      <c r="I23" s="6"/>
      <c r="J23" s="6"/>
      <c r="K23" s="7">
        <v>1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Tim</v>
      </c>
      <c r="B24" s="2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8"/>
      <c r="E24" s="8">
        <v>0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Terrence</v>
      </c>
      <c r="B25" s="6" t="str">
        <f>_xlfn.IFNA(VLOOKUP($B$19&amp;ROWS($B$21:B25),Rosters!$B$2:$D$163,3,0),"?")</f>
        <v>Drisdom</v>
      </c>
      <c r="C25" s="6">
        <f>_xlfn.IFNA(VLOOKUP($B$19&amp;ROWS($C$21:C25),Rosters!$B$2:$E$163,4,0),"")</f>
        <v>2</v>
      </c>
      <c r="D25" s="6"/>
      <c r="E25" s="7">
        <v>1</v>
      </c>
      <c r="F25" s="6"/>
      <c r="G25" s="6"/>
      <c r="H25" s="7">
        <v>7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Jared</v>
      </c>
      <c r="B26" s="2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Shaun</v>
      </c>
      <c r="B27" s="6" t="str">
        <f>_xlfn.IFNA(VLOOKUP($B$19&amp;ROWS($B$21:B27),Rosters!$B$2:$D$163,3,0),"?")</f>
        <v>Green</v>
      </c>
      <c r="C27" s="6">
        <f>_xlfn.IFNA(VLOOKUP($B$19&amp;ROWS($C$21:C27),Rosters!$B$2:$E$163,4,0),"")</f>
        <v>13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Zeus</v>
      </c>
      <c r="B28" s="2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8"/>
      <c r="E28" s="9">
        <v>2</v>
      </c>
      <c r="F28" s="8"/>
      <c r="G28" s="8"/>
      <c r="H28" s="9">
        <v>3</v>
      </c>
      <c r="I28" s="8"/>
      <c r="J28" s="8"/>
      <c r="K28" s="9">
        <v>1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Vai</v>
      </c>
      <c r="B29" s="6" t="str">
        <f>_xlfn.IFNA(VLOOKUP($B$19&amp;ROWS($B$21:B29),Rosters!$B$2:$D$163,3,0),"?")</f>
        <v>Harris</v>
      </c>
      <c r="C29" s="6">
        <f>_xlfn.IFNA(VLOOKUP($B$19&amp;ROWS($C$21:C29),Rosters!$B$2:$E$163,4,0),"")</f>
        <v>4</v>
      </c>
      <c r="D29" s="6"/>
      <c r="E29" s="6">
        <v>0</v>
      </c>
      <c r="F29" s="6"/>
      <c r="G29" s="6"/>
      <c r="H29" s="7">
        <v>2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Brekott</v>
      </c>
      <c r="B30" s="2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8"/>
      <c r="E30" s="9">
        <v>2</v>
      </c>
      <c r="F30" s="8"/>
      <c r="G30" s="8"/>
      <c r="H30" s="9">
        <v>4</v>
      </c>
      <c r="I30" s="8"/>
      <c r="J30" s="8"/>
      <c r="K30" s="9">
        <v>1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Bryant</v>
      </c>
      <c r="B31" s="6" t="str">
        <f>_xlfn.IFNA(VLOOKUP($B$19&amp;ROWS($B$21:B31),Rosters!$B$2:$D$163,3,0),"?")</f>
        <v>Markson</v>
      </c>
      <c r="C31" s="6">
        <f>_xlfn.IFNA(VLOOKUP($B$19&amp;ROWS($C$21:C31),Rosters!$B$2:$E$163,4,0),"")</f>
        <v>20</v>
      </c>
      <c r="D31" s="6"/>
      <c r="E31" s="6">
        <v>0</v>
      </c>
      <c r="F31" s="6"/>
      <c r="G31" s="6"/>
      <c r="H31" s="7">
        <v>3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0">
        <v>3</v>
      </c>
      <c r="D32" s="8"/>
      <c r="E32" s="9">
        <v>2</v>
      </c>
      <c r="F32" s="8"/>
      <c r="G32" s="8"/>
      <c r="H32" s="9">
        <v>6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7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12</v>
      </c>
      <c r="H36" s="2">
        <f>SUM(H21:H35)</f>
        <v>33</v>
      </c>
      <c r="K36" s="2">
        <f>SUM(K21:K35)</f>
        <v>3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22</v>
      </c>
      <c r="B2" s="11" t="str">
        <f t="shared" ref="B2:B102" si="0">A2&amp;COUNTIF($A$2:$A2,A2)</f>
        <v>Team Egan1</v>
      </c>
      <c r="C2" s="2" t="s">
        <v>23</v>
      </c>
      <c r="D2" s="2" t="s">
        <v>24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22</v>
      </c>
      <c r="B3" s="11" t="str">
        <f t="shared" si="0"/>
        <v>Team Egan2</v>
      </c>
      <c r="C3" s="2" t="s">
        <v>25</v>
      </c>
      <c r="D3" s="2" t="s">
        <v>26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22</v>
      </c>
      <c r="B4" s="11" t="str">
        <f t="shared" si="0"/>
        <v>Team Egan3</v>
      </c>
      <c r="C4" s="2" t="s">
        <v>27</v>
      </c>
      <c r="D4" s="2" t="s">
        <v>28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22</v>
      </c>
      <c r="B5" s="11" t="str">
        <f t="shared" si="0"/>
        <v>Team Egan4</v>
      </c>
      <c r="C5" s="2" t="s">
        <v>29</v>
      </c>
      <c r="D5" s="2" t="s">
        <v>30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22</v>
      </c>
      <c r="B6" s="11" t="str">
        <f t="shared" si="0"/>
        <v>Team Egan5</v>
      </c>
      <c r="C6" s="2" t="s">
        <v>31</v>
      </c>
      <c r="D6" s="2" t="s">
        <v>32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22</v>
      </c>
      <c r="B7" s="11" t="str">
        <f t="shared" si="0"/>
        <v>Team Egan6</v>
      </c>
      <c r="C7" s="2" t="s">
        <v>33</v>
      </c>
      <c r="D7" s="2" t="s">
        <v>34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22</v>
      </c>
      <c r="B8" s="11" t="str">
        <f t="shared" si="0"/>
        <v>Team Egan7</v>
      </c>
      <c r="C8" s="2" t="s">
        <v>35</v>
      </c>
      <c r="D8" s="2" t="s">
        <v>36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22</v>
      </c>
      <c r="B9" s="11" t="str">
        <f t="shared" si="0"/>
        <v>Team Egan8</v>
      </c>
      <c r="C9" s="2" t="s">
        <v>37</v>
      </c>
      <c r="D9" s="2" t="s">
        <v>38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22</v>
      </c>
      <c r="B10" s="11" t="str">
        <f t="shared" si="0"/>
        <v>Team Egan9</v>
      </c>
      <c r="C10" s="2" t="s">
        <v>39</v>
      </c>
      <c r="D10" s="2" t="s">
        <v>40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13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13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13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13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13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13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13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13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13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13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13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13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17</v>
      </c>
      <c r="B23" s="11" t="str">
        <f t="shared" si="0"/>
        <v>Team Drisdom1</v>
      </c>
      <c r="C23" s="2" t="s">
        <v>63</v>
      </c>
      <c r="D23" s="2" t="s">
        <v>64</v>
      </c>
      <c r="E23" s="2">
        <v>7</v>
      </c>
      <c r="G23" s="11"/>
    </row>
    <row r="24" spans="1:7" ht="15.75" customHeight="1" x14ac:dyDescent="0.2">
      <c r="A24" s="2" t="s">
        <v>17</v>
      </c>
      <c r="B24" s="11" t="str">
        <f t="shared" si="0"/>
        <v>Team Drisdom2</v>
      </c>
      <c r="C24" s="2" t="s">
        <v>65</v>
      </c>
      <c r="D24" s="2" t="s">
        <v>66</v>
      </c>
      <c r="E24" s="2">
        <v>5</v>
      </c>
      <c r="G24" s="11"/>
    </row>
    <row r="25" spans="1:7" ht="15.75" customHeight="1" x14ac:dyDescent="0.2">
      <c r="A25" s="2" t="s">
        <v>17</v>
      </c>
      <c r="B25" s="11" t="str">
        <f t="shared" si="0"/>
        <v>Team Drisdom3</v>
      </c>
      <c r="C25" s="2" t="s">
        <v>67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17</v>
      </c>
      <c r="B26" s="11" t="str">
        <f t="shared" si="0"/>
        <v>Team Drisdom4</v>
      </c>
      <c r="C26" s="2" t="s">
        <v>68</v>
      </c>
      <c r="D26" s="2" t="s">
        <v>69</v>
      </c>
      <c r="E26" s="2">
        <v>11</v>
      </c>
      <c r="G26" s="11"/>
    </row>
    <row r="27" spans="1:7" ht="15.75" customHeight="1" x14ac:dyDescent="0.2">
      <c r="A27" s="2" t="s">
        <v>17</v>
      </c>
      <c r="B27" s="11" t="str">
        <f t="shared" si="0"/>
        <v>Team Drisdom5</v>
      </c>
      <c r="C27" s="2" t="s">
        <v>70</v>
      </c>
      <c r="D27" s="2" t="s">
        <v>69</v>
      </c>
      <c r="E27" s="2">
        <v>2</v>
      </c>
      <c r="G27" s="11"/>
    </row>
    <row r="28" spans="1:7" ht="15.75" customHeight="1" x14ac:dyDescent="0.2">
      <c r="A28" s="2" t="s">
        <v>17</v>
      </c>
      <c r="B28" s="11" t="str">
        <f t="shared" si="0"/>
        <v>Team Drisdom6</v>
      </c>
      <c r="C28" s="2" t="s">
        <v>55</v>
      </c>
      <c r="D28" s="2" t="s">
        <v>71</v>
      </c>
      <c r="E28" s="2">
        <v>0</v>
      </c>
      <c r="G28" s="11"/>
    </row>
    <row r="29" spans="1:7" ht="15.75" customHeight="1" x14ac:dyDescent="0.2">
      <c r="A29" s="2" t="s">
        <v>17</v>
      </c>
      <c r="B29" s="11" t="str">
        <f t="shared" si="0"/>
        <v>Team Drisdom7</v>
      </c>
      <c r="C29" s="2" t="s">
        <v>72</v>
      </c>
      <c r="D29" s="2" t="s">
        <v>64</v>
      </c>
      <c r="E29" s="2">
        <v>13</v>
      </c>
      <c r="G29" s="11"/>
    </row>
    <row r="30" spans="1:7" ht="15.75" customHeight="1" x14ac:dyDescent="0.2">
      <c r="A30" s="2" t="s">
        <v>17</v>
      </c>
      <c r="B30" s="11" t="str">
        <f t="shared" si="0"/>
        <v>Team Drisdom8</v>
      </c>
      <c r="C30" s="2" t="s">
        <v>73</v>
      </c>
      <c r="D30" s="2" t="s">
        <v>74</v>
      </c>
      <c r="E30" s="2">
        <v>1</v>
      </c>
      <c r="G30" s="11"/>
    </row>
    <row r="31" spans="1:7" ht="15.75" customHeight="1" x14ac:dyDescent="0.2">
      <c r="A31" s="2" t="s">
        <v>17</v>
      </c>
      <c r="B31" s="11" t="str">
        <f t="shared" si="0"/>
        <v>Team Drisdom9</v>
      </c>
      <c r="C31" s="2" t="s">
        <v>75</v>
      </c>
      <c r="D31" s="2" t="s">
        <v>76</v>
      </c>
      <c r="E31" s="2">
        <v>4</v>
      </c>
      <c r="G31" s="11"/>
    </row>
    <row r="32" spans="1:7" ht="15.75" customHeight="1" x14ac:dyDescent="0.2">
      <c r="A32" s="2" t="s">
        <v>17</v>
      </c>
      <c r="B32" s="11" t="str">
        <f t="shared" si="0"/>
        <v>Team Drisdom10</v>
      </c>
      <c r="C32" s="2" t="s">
        <v>77</v>
      </c>
      <c r="D32" s="2" t="s">
        <v>78</v>
      </c>
      <c r="E32" s="2">
        <v>6</v>
      </c>
      <c r="G32" s="11"/>
    </row>
    <row r="33" spans="1:7" ht="15.75" customHeight="1" x14ac:dyDescent="0.2">
      <c r="A33" s="2" t="s">
        <v>17</v>
      </c>
      <c r="B33" s="11" t="str">
        <f t="shared" si="0"/>
        <v>Team Drisdom11</v>
      </c>
      <c r="C33" s="2" t="s">
        <v>79</v>
      </c>
      <c r="D33" s="2" t="s">
        <v>80</v>
      </c>
      <c r="E33" s="2">
        <v>20</v>
      </c>
      <c r="G33" s="11"/>
    </row>
    <row r="34" spans="1:7" ht="15.75" customHeight="1" x14ac:dyDescent="0.2">
      <c r="A34" s="2" t="s">
        <v>81</v>
      </c>
      <c r="B34" s="11" t="str">
        <f t="shared" si="0"/>
        <v>Team Bullock1</v>
      </c>
      <c r="C34" s="2" t="s">
        <v>82</v>
      </c>
      <c r="D34" s="2" t="s">
        <v>83</v>
      </c>
      <c r="E34" s="2">
        <v>3</v>
      </c>
      <c r="G34" s="11"/>
    </row>
    <row r="35" spans="1:7" ht="15.75" customHeight="1" x14ac:dyDescent="0.2">
      <c r="A35" s="2" t="s">
        <v>81</v>
      </c>
      <c r="B35" s="11" t="str">
        <f t="shared" si="0"/>
        <v>Team Bullock2</v>
      </c>
      <c r="C35" s="2" t="s">
        <v>84</v>
      </c>
      <c r="D35" s="2" t="s">
        <v>85</v>
      </c>
      <c r="E35" s="2">
        <v>21</v>
      </c>
      <c r="G35" s="11"/>
    </row>
    <row r="36" spans="1:7" ht="15.75" customHeight="1" x14ac:dyDescent="0.2">
      <c r="A36" s="2" t="s">
        <v>81</v>
      </c>
      <c r="B36" s="11" t="str">
        <f t="shared" si="0"/>
        <v>Team Bullock3</v>
      </c>
      <c r="C36" s="2" t="s">
        <v>86</v>
      </c>
      <c r="D36" s="2" t="s">
        <v>87</v>
      </c>
      <c r="E36" s="2">
        <v>15</v>
      </c>
      <c r="G36" s="11"/>
    </row>
    <row r="37" spans="1:7" ht="15.75" customHeight="1" x14ac:dyDescent="0.2">
      <c r="A37" s="2" t="s">
        <v>81</v>
      </c>
      <c r="B37" s="11" t="str">
        <f t="shared" si="0"/>
        <v>Team Bullock4</v>
      </c>
      <c r="C37" s="2" t="s">
        <v>88</v>
      </c>
      <c r="D37" s="2" t="s">
        <v>89</v>
      </c>
      <c r="E37" s="2">
        <v>5</v>
      </c>
      <c r="G37" s="11"/>
    </row>
    <row r="38" spans="1:7" ht="15.75" customHeight="1" x14ac:dyDescent="0.2">
      <c r="A38" s="2" t="s">
        <v>81</v>
      </c>
      <c r="B38" s="11" t="str">
        <f t="shared" si="0"/>
        <v>Team Bullock5</v>
      </c>
      <c r="C38" s="2" t="s">
        <v>90</v>
      </c>
      <c r="D38" s="2" t="s">
        <v>91</v>
      </c>
      <c r="E38" s="2">
        <v>7</v>
      </c>
      <c r="G38" s="11"/>
    </row>
    <row r="39" spans="1:7" ht="15.75" customHeight="1" x14ac:dyDescent="0.2">
      <c r="A39" s="2" t="s">
        <v>81</v>
      </c>
      <c r="B39" s="11" t="str">
        <f t="shared" si="0"/>
        <v>Team Bullock6</v>
      </c>
      <c r="C39" s="2" t="s">
        <v>92</v>
      </c>
      <c r="D39" s="2" t="s">
        <v>93</v>
      </c>
      <c r="E39" s="2">
        <v>24</v>
      </c>
      <c r="G39" s="11"/>
    </row>
    <row r="40" spans="1:7" ht="15.75" customHeight="1" x14ac:dyDescent="0.2">
      <c r="A40" s="2" t="s">
        <v>81</v>
      </c>
      <c r="B40" s="11" t="str">
        <f t="shared" si="0"/>
        <v>Team Bullock7</v>
      </c>
      <c r="C40" s="2" t="s">
        <v>94</v>
      </c>
      <c r="D40" s="2" t="s">
        <v>95</v>
      </c>
      <c r="E40" s="2">
        <v>8</v>
      </c>
      <c r="G40" s="11"/>
    </row>
    <row r="41" spans="1:7" ht="15.75" customHeight="1" x14ac:dyDescent="0.2">
      <c r="A41" s="2" t="s">
        <v>81</v>
      </c>
      <c r="B41" s="11" t="str">
        <f t="shared" si="0"/>
        <v>Team Bullock8</v>
      </c>
      <c r="C41" s="2" t="s">
        <v>96</v>
      </c>
      <c r="D41" s="2" t="s">
        <v>97</v>
      </c>
      <c r="E41" s="2">
        <v>20</v>
      </c>
      <c r="G41" s="11"/>
    </row>
    <row r="42" spans="1:7" ht="15.75" customHeight="1" x14ac:dyDescent="0.2">
      <c r="A42" s="2" t="s">
        <v>81</v>
      </c>
      <c r="B42" s="11" t="str">
        <f t="shared" si="0"/>
        <v>Team Bullock9</v>
      </c>
      <c r="C42" s="2" t="s">
        <v>98</v>
      </c>
      <c r="D42" s="2" t="s">
        <v>99</v>
      </c>
      <c r="E42" s="2">
        <v>22</v>
      </c>
      <c r="G42" s="11"/>
    </row>
    <row r="43" spans="1:7" ht="15.75" customHeight="1" x14ac:dyDescent="0.2">
      <c r="A43" s="2" t="s">
        <v>81</v>
      </c>
      <c r="B43" s="11" t="str">
        <f t="shared" si="0"/>
        <v>Team Bullock10</v>
      </c>
      <c r="C43" s="2" t="s">
        <v>100</v>
      </c>
      <c r="D43" s="2" t="s">
        <v>101</v>
      </c>
      <c r="E43" s="2">
        <v>23</v>
      </c>
      <c r="G43" s="11"/>
    </row>
    <row r="44" spans="1:7" ht="15.75" customHeight="1" x14ac:dyDescent="0.2">
      <c r="A44" s="2" t="s">
        <v>81</v>
      </c>
      <c r="B44" s="11" t="str">
        <f t="shared" si="0"/>
        <v>Team Bullock11</v>
      </c>
      <c r="C44" s="2" t="s">
        <v>102</v>
      </c>
      <c r="D44" s="2" t="s">
        <v>103</v>
      </c>
      <c r="E44" s="2">
        <v>12</v>
      </c>
      <c r="G44" s="11"/>
    </row>
    <row r="45" spans="1:7" ht="15.75" customHeight="1" x14ac:dyDescent="0.2">
      <c r="A45" s="2" t="s">
        <v>81</v>
      </c>
      <c r="B45" s="11" t="str">
        <f t="shared" si="0"/>
        <v>Team Bullock12</v>
      </c>
      <c r="C45" s="2" t="s">
        <v>104</v>
      </c>
      <c r="D45" s="2" t="s">
        <v>105</v>
      </c>
      <c r="E45" s="2">
        <v>23</v>
      </c>
      <c r="G45" s="11"/>
    </row>
    <row r="46" spans="1:7" ht="15.75" customHeight="1" x14ac:dyDescent="0.2">
      <c r="A46" s="2" t="s">
        <v>106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106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106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106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106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106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106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106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122</v>
      </c>
      <c r="B54" s="11" t="str">
        <f t="shared" si="0"/>
        <v>Team Joyce1</v>
      </c>
      <c r="C54" s="2" t="s">
        <v>123</v>
      </c>
      <c r="D54" s="2" t="s">
        <v>124</v>
      </c>
      <c r="E54" s="2">
        <v>34</v>
      </c>
      <c r="G54" s="11"/>
    </row>
    <row r="55" spans="1:7" ht="15.75" customHeight="1" x14ac:dyDescent="0.2">
      <c r="A55" s="2" t="s">
        <v>122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122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122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122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122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122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122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122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122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122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76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118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135</v>
      </c>
      <c r="D99" s="2" t="s">
        <v>114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2022-07-07T15:18:00Z</dcterms:modified>
</cp:coreProperties>
</file>