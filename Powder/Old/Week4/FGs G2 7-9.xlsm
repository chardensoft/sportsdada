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9CD6DC8F-92BD-904C-A6AC-5C396DF34EC7}" xr6:coauthVersionLast="47" xr6:coauthVersionMax="47" xr10:uidLastSave="{00000000-0000-0000-0000-000000000000}"/>
  <bookViews>
    <workbookView xWindow="11920" yWindow="500" windowWidth="16880" windowHeight="153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18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4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G3" i="2" s="1"/>
  <c r="H31" i="2"/>
  <c r="A5" i="1"/>
  <c r="F3" i="2" s="1"/>
  <c r="A12" i="1"/>
  <c r="F10" i="2" s="1"/>
  <c r="B19" i="1"/>
  <c r="G17" i="2" s="1"/>
  <c r="B11" i="1"/>
  <c r="G9" i="2" s="1"/>
  <c r="C18" i="1"/>
  <c r="H16" i="2" s="1"/>
  <c r="C10" i="1"/>
  <c r="H8" i="2" s="1"/>
  <c r="C37" i="1"/>
  <c r="H36" i="2" s="1"/>
  <c r="A35" i="1"/>
  <c r="F34" i="2" s="1"/>
  <c r="G31" i="2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C17" i="1"/>
  <c r="H15" i="2" s="1"/>
  <c r="C34" i="1"/>
  <c r="H33" i="2" s="1"/>
  <c r="C26" i="1"/>
  <c r="H25" i="2" s="1"/>
  <c r="A18" i="1"/>
  <c r="F16" i="2" s="1"/>
  <c r="A10" i="1"/>
  <c r="F8" i="2" s="1"/>
  <c r="B17" i="1"/>
  <c r="G15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B18" i="1"/>
  <c r="G16" i="2" s="1"/>
  <c r="C9" i="1"/>
  <c r="H7" i="2" s="1"/>
  <c r="F31" i="2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<sst xmlns="http://schemas.openxmlformats.org/spreadsheetml/2006/main" count="495" uniqueCount="276">
  <si>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</si>
  <si>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</si>
  <si>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</si>
  <si>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</si>
  <si>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</si>
  <si>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</si>
  <si>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</si>
  <si>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</si>
  <si>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</si>
  <si>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</si>
  <si>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</si>
  <si>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</si>
  <si>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</si>
  <si>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</si>
  <si>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</si>
  <si>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</si>
  <si>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</si>
  <si>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</si>
  <si>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</si>
  <si>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</si>
  <si>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</si>
  <si>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</si>
  <si>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</si>
  <si>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</si>
  <si>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</si>
  <si>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</si>
  <si>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</si>
  <si>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</si>
  <si>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</si>
  <si>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</si>
  <si>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</si>
  <si>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</si>
  <si>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</si>
  <si>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</si>
  <si>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</si>
  <si>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</si>
  <si>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</si>
  <si>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</si>
  <si>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</si>
  <si>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</si>
  <si>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</si>
  <si>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</si>
  <si>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</si>
  <si>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</si>
  <si>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</si>
  <si>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</si>
  <si>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</si>
  <si>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</si>
  <si>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</si>
  <si>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</si>
  <si>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</si>
  <si>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</si>
  <si>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</si>
  <si>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</si>
  <si>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</si>
  <si>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</si>
  <si>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</si>
  <si>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</si>
  <si>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</si>
  <si>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</si>
  <si>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</si>
  <si>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</si>
  <si>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</si>
  <si>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</si>
  <si>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</si>
  <si>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</si>
  <si>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</si>
  <si>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</si>
  <si>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</si>
  <si>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</si>
  <si>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</si>
  <si>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</si>
  <si>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</si>
  <si>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</si>
  <si>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</si>
  <si>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</si>
  <si>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</si>
  <si>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</si>
  <si>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</si>
  <si>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</si>
  <si>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</si>
  <si>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</si>
  <si>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</si>
  <si>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</si>
  <si>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</si>
  <si>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</si>
  <si>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</si>
  <si>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</si>
  <si>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</si>
  <si>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</si>
  <si>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</si>
  <si>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</si>
  <si>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</si>
  <si>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</si>
  <si>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</si>
  <si>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</si>
  <si>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</si>
  <si>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</si>
  <si>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</si>
  <si>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</si>
  <si>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</si>
  <si>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</si>
  <si>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</si>
  <si>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</si>
  <si>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</si>
  <si>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</si>
  <si>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</si>
  <si>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</si>
  <si>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</si>
  <si>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</si>
  <si>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</si>
  <si>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</si>
  <si>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</si>
  <si>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</si>
  <si>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</si>
  <si>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</si>
  <si>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</si>
  <si>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</si>
  <si>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</si>
  <si>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</si>
  <si>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</si>
  <si>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</si>
  <si>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</si>
  <si>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</si>
  <si>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</si>
  <si>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</si>
  <si>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</si>
  <si>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</si>
  <si>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</si>
  <si>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</si>
  <si>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</si>
  <si>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</si>
  <si>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</si>
  <si>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</si>
  <si>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</si>
  <si>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</si>
  <si>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</si>
  <si>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</si>
  <si>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</si>
  <si>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</si>
  <si>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</si>
  <si>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</si>
  <si>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</si>
  <si>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</si>
  <si>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</si>
  <si>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</si>
  <si>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</si>
  <si>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</si>
  <si>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</si>
  <si>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</si>
  <si>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</si>
  <si>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</si>
  <si>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</si>
  <si>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</si>
  <si>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</si>
  <si>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</si>
  <si>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</si>
  <si>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</si>
  <si>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</si>
  <si>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</si>
  <si>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</si>
  <si>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</si>
  <si>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</si>
  <si>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</si>
  <si>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</si>
  <si>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</si>
  <si>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</si>
  <si>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</si>
  <si>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</si>
  <si>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</si>
  <si>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</si>
  <si>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</si>
  <si>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</si>
  <si>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</si>
  <si>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</si>
  <si>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</si>
  <si>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</si>
  <si>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</si>
  <si>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</si>
  <si>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</si>
  <si>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</si>
  <si>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</si>
  <si>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</si>
  <si>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</si>
  <si>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</si>
  <si>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</si>
  <si>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</si>
  <si>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</si>
  <si>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</si>
  <si>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</si>
  <si>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</si>
  <si>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</si>
  <si>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</si>
  <si>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</si>
  <si>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</si>
  <si>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</si>
  <si>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</si>
  <si>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</si>
  <si>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</si>
  <si>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</si>
  <si>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</si>
  <si>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</si>
  <si>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</si>
  <si>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</si>
  <si>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</si>
  <si>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</si>
  <si>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</si>
  <si>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</si>
  <si>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</si>
  <si>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</si>
  <si>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</si>
  <si>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</si>
  <si>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</si>
  <si>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</si>
  <si>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</si>
  <si>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</si>
  <si>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</si>
  <si>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</si>
  <si>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</si>
  <si>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</si>
  <si>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</si>
  <si>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</si>
  <si>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</si>
  <si>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</si>
  <si>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</si>
  <si>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</si>
  <si>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</si>
  <si>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</si>
  <si>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</si>
  <si>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</si>
  <si>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</si>
  <si>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</si>
  <si>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</si>
  <si>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</si>
  <si>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</si>
  <si>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</si>
  <si>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</si>
  <si>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</si>
  <si>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</si>
  <si>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</si>
  <si>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</si>
  <si>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</si>
  <si>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</si>
  <si>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</si>
  <si>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</si>
  <si>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</si>
  <si>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</si>
  <si>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</si>
  <si>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</si>
  <si>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</si>
  <si>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</si>
  <si>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</si>
  <si>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</si>
  <si>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</si>
  <si>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</si>
  <si>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</si>
  <si>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</si>
  <si>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</si>
  <si>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</si>
  <si>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</si>
  <si>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</si>
  <si>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</si>
  <si>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</si>
  <si>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</si>
  <si>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</si>
  <si>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</si>
  <si>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</si>
  <si>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</si>
  <si>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</si>
  <si>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</si>
  <si>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</si>
  <si>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</si>
  <si>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</si>
  <si>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</si>
  <si>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Fouls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</si>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</sst>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D6" sqref="D6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253</v>
      </c>
      <c r="F1" t="s">
        <v>9</v>
      </c>
      <c r="G1" t="str">
        <f>'Stats G2'!B3</f>
        <v>Joyce</v>
      </c>
    </row>
    <row r="2" spans="2:13" x14ac:dyDescent="0.2">
      <c r="B2" t="str">
        <f>G1</f>
        <v>Joyce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256</v>
      </c>
      <c r="J2" t="s">
        <v>10</v>
      </c>
      <c r="K2" t="s">
        <v>11</v>
      </c>
      <c r="L2" t="s">
        <v>12</v>
      </c>
      <c r="M2" t="s">
        <v>275</v>
      </c>
    </row>
    <row r="3" spans="2:13" x14ac:dyDescent="0.2">
      <c r="B3">
        <f>I18</f>
        <v>122</v>
      </c>
      <c r="C3" s="3" t="s">
        <v>15</v>
      </c>
      <c r="D3" s="4">
        <f>I37</f>
        <v>102</v>
      </c>
      <c r="F3" t="str">
        <f>'Stats G2'!A5</f>
        <v>Neema</v>
      </c>
      <c r="G3" t="str">
        <f>'Stats G2'!B5</f>
        <v>Namdar</v>
      </c>
      <c r="H3">
        <f>'Stats G2'!C5</f>
        <v>0</v>
      </c>
      <c r="I3">
        <f>'Stats G2'!H5*2+'Stats G2'!N5*3+'Stats G2'!T5</f>
        <v>11</v>
      </c>
      <c r="J3" t="str">
        <f>SUM('Stats G2'!N5+'Stats G2'!H5)&amp;"-"&amp;SUM('Stats G2'!E5+'Stats G2'!K5)</f>
        <v>4-9</v>
      </c>
      <c r="K3" t="str">
        <f>SUM('Stats G2'!N5)&amp;"-"&amp;SUM('Stats G2'!K5)</f>
        <v>3-8</v>
      </c>
      <c r="L3" t="str">
        <f>SUM('Stats G2'!T5)&amp;"-"&amp;SUM('Stats G2'!Q5)</f>
        <v>0-0</v>
      </c>
      <c r="M3">
        <f>'Stats G2'!V5</f>
        <v>0</v>
      </c>
    </row>
    <row r="4" spans="2:13" x14ac:dyDescent="0.2">
      <c r="F4" t="str">
        <f>'Stats G2'!A6</f>
        <v>Sam</v>
      </c>
      <c r="G4" t="str">
        <f>'Stats G2'!B6</f>
        <v>Velez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  <c r="M4">
        <f>'Stats G2'!V6</f>
        <v>0</v>
      </c>
    </row>
    <row r="5" spans="2:13" x14ac:dyDescent="0.2">
      <c r="F5" t="str">
        <f>'Stats G2'!A7</f>
        <v>Tyus</v>
      </c>
      <c r="G5" t="str">
        <f>'Stats G2'!B7</f>
        <v>Jefferson</v>
      </c>
      <c r="H5">
        <f>'Stats G2'!C7</f>
        <v>3</v>
      </c>
      <c r="I5">
        <f>'Stats G2'!H7*2+'Stats G2'!N7*3+'Stats G2'!T7</f>
        <v>17</v>
      </c>
      <c r="J5" t="str">
        <f>SUM('Stats G2'!N7+'Stats G2'!H7)&amp;"-"&amp;SUM('Stats G2'!E7+'Stats G2'!K7)</f>
        <v>7-14</v>
      </c>
      <c r="K5" t="str">
        <f>SUM('Stats G2'!N7)&amp;"-"&amp;SUM('Stats G2'!K7)</f>
        <v>3-3</v>
      </c>
      <c r="L5" t="str">
        <f>SUM('Stats G2'!T7)&amp;"-"&amp;SUM('Stats G2'!Q7)</f>
        <v>0-1</v>
      </c>
      <c r="M5">
        <f>'Stats G2'!V7</f>
        <v>0</v>
      </c>
    </row>
    <row r="6" spans="2:13" x14ac:dyDescent="0.2">
      <c r="F6" t="str">
        <f>'Stats G2'!A8</f>
        <v>Frank</v>
      </c>
      <c r="G6" t="str">
        <f>'Stats G2'!B8</f>
        <v>Jackson</v>
      </c>
      <c r="H6">
        <f>'Stats G2'!C8</f>
        <v>5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  <c r="M6">
        <f>'Stats G2'!V8</f>
        <v>0</v>
      </c>
    </row>
    <row r="7" spans="2:13" x14ac:dyDescent="0.2">
      <c r="F7" t="str">
        <f>'Stats G2'!A9</f>
        <v>Trey</v>
      </c>
      <c r="G7" t="str">
        <f>'Stats G2'!B9</f>
        <v>Kennedy</v>
      </c>
      <c r="H7">
        <f>'Stats G2'!C9</f>
        <v>10</v>
      </c>
      <c r="I7">
        <f>'Stats G2'!H9*2+'Stats G2'!N9*3+'Stats G2'!T9</f>
        <v>0</v>
      </c>
      <c r="J7" t="str">
        <f>SUM('Stats G2'!N9+'Stats G2'!H9)&amp;"-"&amp;SUM('Stats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G2'!V9</f>
        <v>0</v>
      </c>
    </row>
    <row r="8" spans="2:13" x14ac:dyDescent="0.2">
      <c r="F8" t="str">
        <f>'Stats G2'!A10</f>
        <v>Will</v>
      </c>
      <c r="G8" t="str">
        <f>'Stats G2'!B10</f>
        <v>Joyce</v>
      </c>
      <c r="H8">
        <f>'Stats G2'!C10</f>
        <v>11</v>
      </c>
      <c r="I8">
        <f>'Stats G2'!H10*2+'Stats G2'!N10*3+'Stats G2'!T10</f>
        <v>5</v>
      </c>
      <c r="J8" t="str">
        <f>SUM('Stats G2'!N10+'Stats G2'!H10)&amp;"-"&amp;SUM('Stats G2'!E10+'Stats G2'!K10)</f>
        <v>2-4</v>
      </c>
      <c r="K8" t="str">
        <f>SUM('Stats G2'!N10)&amp;"-"&amp;SUM('Stats G2'!K10)</f>
        <v>0-0</v>
      </c>
      <c r="L8" t="str">
        <f>SUM('Stats G2'!T10)&amp;"-"&amp;SUM('Stats G2'!Q10)</f>
        <v>1-2</v>
      </c>
      <c r="M8">
        <f>'Stats G2'!V10</f>
        <v>0</v>
      </c>
    </row>
    <row r="9" spans="2:13" x14ac:dyDescent="0.2">
      <c r="F9" t="str">
        <f>'Stats G2'!A11</f>
        <v>Jael</v>
      </c>
      <c r="G9" t="str">
        <f>'Stats G2'!B11</f>
        <v>Vaughn</v>
      </c>
      <c r="H9">
        <f>'Stats G2'!C11</f>
        <v>12</v>
      </c>
      <c r="I9">
        <f>'Stats G2'!H11*2+'Stats G2'!N11*3+'Stats G2'!T11</f>
        <v>3</v>
      </c>
      <c r="J9" t="str">
        <f>SUM('Stats G2'!N11+'Stats G2'!H11)&amp;"-"&amp;SUM('Stats G2'!E11+'Stats G2'!K11)</f>
        <v>1-9</v>
      </c>
      <c r="K9" t="str">
        <f>SUM('Stats G2'!N11)&amp;"-"&amp;SUM('Stats G2'!K11)</f>
        <v>1-3</v>
      </c>
      <c r="L9" t="str">
        <f>SUM('Stats G2'!T11)&amp;"-"&amp;SUM('Stats G2'!Q11)</f>
        <v>0-0</v>
      </c>
      <c r="M9">
        <f>'Stats G2'!V11</f>
        <v>3</v>
      </c>
    </row>
    <row r="10" spans="2:13" x14ac:dyDescent="0.2">
      <c r="F10" t="str">
        <f>'Stats G2'!A12</f>
        <v>Fardaws</v>
      </c>
      <c r="G10" t="str">
        <f>'Stats G2'!B12</f>
        <v>Aimaq</v>
      </c>
      <c r="H10">
        <f>'Stats G2'!C12</f>
        <v>21</v>
      </c>
      <c r="I10">
        <f>'Stats G2'!H12*2+'Stats G2'!N12*3+'Stats G2'!T12</f>
        <v>19</v>
      </c>
      <c r="J10" t="str">
        <f>SUM('Stats G2'!N12+'Stats G2'!H12)&amp;"-"&amp;SUM('Stats G2'!E12+'Stats G2'!K12)</f>
        <v>7-12</v>
      </c>
      <c r="K10" t="str">
        <f>SUM('Stats G2'!N12)&amp;"-"&amp;SUM('Stats G2'!K12)</f>
        <v>0-0</v>
      </c>
      <c r="L10" t="str">
        <f>SUM('Stats G2'!T12)&amp;"-"&amp;SUM('Stats G2'!Q12)</f>
        <v>5-7</v>
      </c>
      <c r="M10">
        <f>'Stats G2'!V12</f>
        <v>1</v>
      </c>
    </row>
    <row r="11" spans="2:13" x14ac:dyDescent="0.2">
      <c r="F11" t="str">
        <f>'Stats G2'!A13</f>
        <v>Yoeli</v>
      </c>
      <c r="G11" t="str">
        <f>'Stats G2'!B13</f>
        <v>Childs</v>
      </c>
      <c r="H11">
        <f>'Stats G2'!C13</f>
        <v>22</v>
      </c>
      <c r="I11">
        <f>'Stats G2'!H13*2+'Stats G2'!N13*3+'Stats G2'!T13</f>
        <v>33</v>
      </c>
      <c r="J11" t="str">
        <f>SUM('Stats G2'!N13+'Stats G2'!H13)&amp;"-"&amp;SUM('Stats G2'!E13+'Stats G2'!K13)</f>
        <v>15-23</v>
      </c>
      <c r="K11" t="str">
        <f>SUM('Stats G2'!N13)&amp;"-"&amp;SUM('Stats G2'!K13)</f>
        <v>3-7</v>
      </c>
      <c r="L11" t="str">
        <f>SUM('Stats G2'!T13)&amp;"-"&amp;SUM('Stats G2'!Q13)</f>
        <v>0-0</v>
      </c>
      <c r="M11">
        <f>'Stats G2'!V13</f>
        <v>0</v>
      </c>
    </row>
    <row r="12" spans="2:13" x14ac:dyDescent="0.2">
      <c r="F12" t="str">
        <f>'Stats G2'!A14</f>
        <v>Nicholas</v>
      </c>
      <c r="G12" t="str">
        <f>'Stats G2'!B14</f>
        <v>Paulos</v>
      </c>
      <c r="H12">
        <f>'Stats G2'!C14</f>
        <v>31</v>
      </c>
      <c r="I12">
        <f>'Stats G2'!H14*2+'Stats G2'!N14*3+'Stats G2'!T14</f>
        <v>11</v>
      </c>
      <c r="J12" t="str">
        <f>SUM('Stats G2'!N14+'Stats G2'!H14)&amp;"-"&amp;SUM('Stats G2'!E14+'Stats G2'!K14)</f>
        <v>4-9</v>
      </c>
      <c r="K12" t="str">
        <f>SUM('Stats G2'!N14)&amp;"-"&amp;SUM('Stats G2'!K14)</f>
        <v>3-7</v>
      </c>
      <c r="L12" t="str">
        <f>SUM('Stats G2'!T14)&amp;"-"&amp;SUM('Stats G2'!Q14)</f>
        <v>0-0</v>
      </c>
      <c r="M12">
        <f>'Stats G2'!V14</f>
        <v>3</v>
      </c>
    </row>
    <row r="13" spans="2:13" x14ac:dyDescent="0.2">
      <c r="F13" t="str">
        <f>'Stats G2'!A15</f>
        <v>Zac</v>
      </c>
      <c r="G13" t="str">
        <f>'Stats G2'!B15</f>
        <v>Seljaas</v>
      </c>
      <c r="H13">
        <f>'Stats G2'!C15</f>
        <v>99</v>
      </c>
      <c r="I13">
        <f>'Stats G2'!H15*2+'Stats G2'!N15*3+'Stats G2'!T15</f>
        <v>23</v>
      </c>
      <c r="J13" t="str">
        <f>SUM('Stats G2'!N15+'Stats G2'!H15)&amp;"-"&amp;SUM('Stats G2'!E15+'Stats G2'!K15)</f>
        <v>9-22</v>
      </c>
      <c r="K13" t="str">
        <f>SUM('Stats G2'!N15)&amp;"-"&amp;SUM('Stats G2'!K15)</f>
        <v>5-15</v>
      </c>
      <c r="L13" t="str">
        <f>SUM('Stats G2'!T15)&amp;"-"&amp;SUM('Stats G2'!Q15)</f>
        <v>0-0</v>
      </c>
      <c r="M13">
        <f>'Stats G2'!V15</f>
        <v>1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G2'!V16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G2'!N17+'Stats G2'!H17)&amp;"-"&amp;SUM('Stats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G2'!V17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G2'!N18+'Stats G2'!H18)&amp;"-"&amp;SUM('Stats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G2'!V18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G2'!V19</f>
        <v>0</v>
      </c>
    </row>
    <row r="18" spans="6:13" x14ac:dyDescent="0.2">
      <c r="H18" s="2" t="s">
        <v>14</v>
      </c>
      <c r="I18">
        <f>SUM(I3:I17)</f>
        <v>122</v>
      </c>
      <c r="J18" t="str">
        <f>SUM('Stats G2'!N20+'Stats G2'!H20)&amp;"-"&amp;SUM('Stats G2'!E20+'Stats G2'!K20)</f>
        <v>49-102</v>
      </c>
      <c r="K18" t="str">
        <f>SUM('Stats G2'!N20)&amp;"-"&amp;SUM('Stats G2'!K20)</f>
        <v>18-43</v>
      </c>
      <c r="L18" t="str">
        <f>SUM('Stats G2'!T20)&amp;"-"&amp;SUM('Stats G2'!Q20)</f>
        <v>6-10</v>
      </c>
      <c r="M18">
        <f>SUM(M3:M17)</f>
        <v>8</v>
      </c>
    </row>
    <row r="20" spans="6:13" x14ac:dyDescent="0.2">
      <c r="F20" t="s">
        <v>13</v>
      </c>
      <c r="G20" t="str">
        <f>'Stats G2'!B21</f>
        <v>Fulton</v>
      </c>
    </row>
    <row r="21" spans="6:13" x14ac:dyDescent="0.2">
      <c r="F21" t="s">
        <v>1</v>
      </c>
      <c r="G21" t="s">
        <v>2</v>
      </c>
      <c r="H21" t="s">
        <v>0</v>
      </c>
      <c r="I21" t="s">
        <v>256</v>
      </c>
      <c r="J21" t="s">
        <v>10</v>
      </c>
      <c r="K21" t="s">
        <v>11</v>
      </c>
      <c r="L21" t="s">
        <v>12</v>
      </c>
      <c r="M21" t="s">
        <v>275</v>
      </c>
    </row>
    <row r="22" spans="6:13" x14ac:dyDescent="0.2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G2'!H23*2+'Stats G2'!N23*3+'Stats G2'!T23</f>
        <v>15</v>
      </c>
      <c r="J22" t="str">
        <f>SUM('Stats G2'!N23+'Stats G2'!H23)&amp;"-"&amp;SUM('Stats G2'!E23+'Stats G2'!K23)</f>
        <v>6-17</v>
      </c>
      <c r="K22" t="str">
        <f>SUM('Stats G2'!N23)&amp;"-"&amp;SUM('Stats G2'!K23)</f>
        <v>3-9</v>
      </c>
      <c r="L22" t="str">
        <f>SUM('Stats G2'!T23)&amp;"-"&amp;SUM('Stats G2'!Q23)</f>
        <v>0-0</v>
      </c>
      <c r="M22">
        <f>'Stats G2'!V23</f>
        <v>1</v>
      </c>
    </row>
    <row r="23" spans="6:13" x14ac:dyDescent="0.2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G2'!H24*2+'Stats G2'!N24*3+'Stats G2'!T24</f>
        <v>11</v>
      </c>
      <c r="J23" t="str">
        <f>SUM('Stats G2'!N24+'Stats G2'!H24)&amp;"-"&amp;SUM('Stats G2'!E24+'Stats G2'!K24)</f>
        <v>4-10</v>
      </c>
      <c r="K23" t="str">
        <f>SUM('Stats G2'!N24)&amp;"-"&amp;SUM('Stats G2'!K24)</f>
        <v>3-7</v>
      </c>
      <c r="L23" t="str">
        <f>SUM('Stats G2'!T24)&amp;"-"&amp;SUM('Stats G2'!Q24)</f>
        <v>0-0</v>
      </c>
      <c r="M23">
        <f>'Stats G2'!V24</f>
        <v>5</v>
      </c>
    </row>
    <row r="24" spans="6:13" x14ac:dyDescent="0.2">
      <c r="F24" t="str">
        <f>'Stats G2'!A25</f>
        <v>Conner</v>
      </c>
      <c r="G24" t="str">
        <f>'Stats G2'!B25</f>
        <v>Toolson</v>
      </c>
      <c r="H24">
        <f>'Stats G2'!C25</f>
        <v>5</v>
      </c>
      <c r="I24">
        <f>'Stats G2'!H25*2+'Stats G2'!N25*3+'Stats G2'!T25</f>
        <v>0</v>
      </c>
      <c r="J24" t="str">
        <f>SUM('Stats G2'!N25+'Stats G2'!H25)&amp;"-"&amp;SUM('Stats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  <c r="M24">
        <f>'Stats G2'!V25</f>
        <v>0</v>
      </c>
    </row>
    <row r="25" spans="6:13" x14ac:dyDescent="0.2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G2'!H26*2+'Stats G2'!N26*3+'Stats G2'!T26</f>
        <v>13</v>
      </c>
      <c r="J25" t="str">
        <f>SUM('Stats G2'!N26+'Stats G2'!H26)&amp;"-"&amp;SUM('Stats G2'!E26+'Stats G2'!K26)</f>
        <v>5-13</v>
      </c>
      <c r="K25" t="str">
        <f>SUM('Stats G2'!N26)&amp;"-"&amp;SUM('Stats G2'!K26)</f>
        <v>3-9</v>
      </c>
      <c r="L25" t="str">
        <f>SUM('Stats G2'!T26)&amp;"-"&amp;SUM('Stats G2'!Q26)</f>
        <v>0-0</v>
      </c>
      <c r="M25">
        <f>'Stats G2'!V26</f>
        <v>2</v>
      </c>
    </row>
    <row r="26" spans="6:13" x14ac:dyDescent="0.2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G2'!H27*2+'Stats G2'!N27*3+'Stats G2'!T27</f>
        <v>22</v>
      </c>
      <c r="J26" t="str">
        <f>SUM('Stats G2'!N27+'Stats G2'!H27)&amp;"-"&amp;SUM('Stats G2'!E27+'Stats G2'!K27)</f>
        <v>9-14</v>
      </c>
      <c r="K26" t="str">
        <f>SUM('Stats G2'!N27)&amp;"-"&amp;SUM('Stats G2'!K27)</f>
        <v>3-6</v>
      </c>
      <c r="L26" t="str">
        <f>SUM('Stats G2'!T27)&amp;"-"&amp;SUM('Stats G2'!Q27)</f>
        <v>1-3</v>
      </c>
      <c r="M26">
        <f>'Stats G2'!V27</f>
        <v>1</v>
      </c>
    </row>
    <row r="27" spans="6:13" x14ac:dyDescent="0.2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G2'!V28</f>
        <v>0</v>
      </c>
    </row>
    <row r="28" spans="6:13" x14ac:dyDescent="0.2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G2'!H29*2+'Stats G2'!N29*3+'Stats G2'!T29</f>
        <v>16</v>
      </c>
      <c r="J28" t="str">
        <f>SUM('Stats G2'!N29+'Stats G2'!H29)&amp;"-"&amp;SUM('Stats G2'!E29+'Stats G2'!K29)</f>
        <v>6-12</v>
      </c>
      <c r="K28" t="str">
        <f>SUM('Stats G2'!N29)&amp;"-"&amp;SUM('Stats G2'!K29)</f>
        <v>4-9</v>
      </c>
      <c r="L28" t="str">
        <f>SUM('Stats G2'!T29)&amp;"-"&amp;SUM('Stats G2'!Q29)</f>
        <v>0-0</v>
      </c>
      <c r="M28">
        <f>'Stats G2'!V29</f>
        <v>1</v>
      </c>
    </row>
    <row r="29" spans="6:13" x14ac:dyDescent="0.2">
      <c r="F29" t="str">
        <f>'Stats G2'!A30</f>
        <v>Trevor</v>
      </c>
      <c r="G29" t="str">
        <f>'Stats G2'!B30</f>
        <v>Thompson</v>
      </c>
      <c r="H29">
        <f>'Stats G2'!C30</f>
        <v>23</v>
      </c>
      <c r="I29">
        <f>'Stats G2'!H30*2+'Stats G2'!N30*3+'Stats G2'!T30</f>
        <v>6</v>
      </c>
      <c r="J29" t="str">
        <f>SUM('Stats G2'!N30+'Stats G2'!H30)&amp;"-"&amp;SUM('Stats G2'!E30+'Stats G2'!K30)</f>
        <v>2-6</v>
      </c>
      <c r="K29" t="str">
        <f>SUM('Stats G2'!N30)&amp;"-"&amp;SUM('Stats G2'!K30)</f>
        <v>1-3</v>
      </c>
      <c r="L29" t="str">
        <f>SUM('Stats G2'!T30)&amp;"-"&amp;SUM('Stats G2'!Q30)</f>
        <v>1-1</v>
      </c>
      <c r="M29">
        <f>'Stats G2'!V30</f>
        <v>1</v>
      </c>
    </row>
    <row r="30" spans="6:13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G2'!H31*2+'Stats G2'!N31*3+'Stats G2'!T31</f>
        <v>0</v>
      </c>
      <c r="J30" t="str">
        <f>SUM('Stats G2'!N31+'Stats G2'!H31)&amp;"-"&amp;SUM('Stats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G2'!V31</f>
        <v>0</v>
      </c>
    </row>
    <row r="31" spans="6:13" x14ac:dyDescent="0.2">
      <c r="F31" t="str">
        <f>'Stats G2'!A32</f>
        <v>Connor</v>
      </c>
      <c r="G31" t="str">
        <f>'Stats G2'!B32</f>
        <v>Toolson</v>
      </c>
      <c r="H31">
        <f>'Stats G2'!C32</f>
        <v>0</v>
      </c>
      <c r="I31">
        <f>'Stats G2'!H32*2+'Stats G2'!N32*3+'Stats G2'!T32</f>
        <v>19</v>
      </c>
      <c r="J31" t="str">
        <f>SUM('Stats G2'!N32+'Stats G2'!H32)&amp;"-"&amp;SUM('Stats G2'!E32+'Stats G2'!K32)</f>
        <v>7-18</v>
      </c>
      <c r="K31" t="str">
        <f>SUM('Stats G2'!N32)&amp;"-"&amp;SUM('Stats G2'!K32)</f>
        <v>3-13</v>
      </c>
      <c r="L31" t="str">
        <f>SUM('Stats G2'!T32)&amp;"-"&amp;SUM('Stats G2'!Q32)</f>
        <v>2-2</v>
      </c>
      <c r="M31">
        <f>'Stats G2'!V32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G2'!N33+'Stats G2'!H33)&amp;"-"&amp;SUM('Stats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G2'!V33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G2'!N34+'Stats G2'!H34)&amp;"-"&amp;SUM('Stats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G2'!V34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G2'!N35+'Stats G2'!H35)&amp;"-"&amp;SUM('Stats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G2'!V35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G2'!V36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G2'!V37</f>
        <v>0</v>
      </c>
    </row>
    <row r="37" spans="6:13" x14ac:dyDescent="0.2">
      <c r="H37" s="2" t="s">
        <v>14</v>
      </c>
      <c r="I37">
        <f>SUM(I22:I36)</f>
        <v>102</v>
      </c>
      <c r="J37" t="str">
        <f>SUM('Stats G2'!N38+'Stats G2'!H38)&amp;"-"&amp;SUM('Stats G2'!E38+'Stats G2'!K38)</f>
        <v>39-90</v>
      </c>
      <c r="K37" t="str">
        <f>SUM('Stats G2'!N38)&amp;"-"&amp;SUM('Stats G2'!K38)</f>
        <v>20-56</v>
      </c>
      <c r="L37" t="str">
        <f>SUM('Stats G2'!T38)&amp;"-"&amp;SUM('Stats G2'!Q38)</f>
        <v>4-6</v>
      </c>
      <c r="M37">
        <f>SUM(M22:M36)</f>
        <v>11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opLeftCell="G3" workbookViewId="0">
      <selection activeCell="W9" sqref="W9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2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2" hidden="1" x14ac:dyDescent="0.2"/>
    <row r="3" spans="1:22" x14ac:dyDescent="0.2">
      <c r="A3" s="2" t="s">
        <v>16</v>
      </c>
      <c r="B3" s="1" t="s">
        <v>29</v>
      </c>
    </row>
    <row r="4" spans="1:22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  <c r="V4" t="s">
        <v>274</v>
      </c>
    </row>
    <row r="5" spans="1:22" s="6" customFormat="1" x14ac:dyDescent="0.2">
      <c r="A5" s="5" t="str">
        <f>_xlfn.IFNA(VLOOKUP($B$3&amp;ROWS($A$5:A5),Rosters!$B$2:$C$162,2,0),"?")</f>
        <v>Neema</v>
      </c>
      <c r="B5" s="5" t="str">
        <f>_xlfn.IFNA(VLOOKUP($B$3&amp;ROWS($B$5:B5),Rosters!$B$2:$D$162,3,0),"?")</f>
        <v>Namdar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1</v>
      </c>
      <c r="I5" s="5"/>
      <c r="J5" s="5"/>
      <c r="K5" s="5">
        <v>8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0</v>
      </c>
      <c r="U5" s="5"/>
    </row>
    <row r="6" spans="1:22" s="6" customFormat="1" x14ac:dyDescent="0.2">
      <c r="A6" s="6" t="str">
        <f>_xlfn.IFNA(VLOOKUP($B$3&amp;ROWS($A$5:A6),Rosters!$B$2:$C$162,2,0),"?")</f>
        <v>Sam</v>
      </c>
      <c r="B6" s="6" t="str">
        <f>_xlfn.IFNA(VLOOKUP($B$3&amp;ROWS($B$5:B6),Rosters!$B$2:$D$162,3,0),"?")</f>
        <v>Velez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2" s="6" customFormat="1" x14ac:dyDescent="0.2">
      <c r="A7" s="5" t="str">
        <f>_xlfn.IFNA(VLOOKUP($B$3&amp;ROWS($A$5:A7),Rosters!$B$2:$C$162,2,0),"?")</f>
        <v>Tyus</v>
      </c>
      <c r="B7" s="5" t="str">
        <f>_xlfn.IFNA(VLOOKUP($B$3&amp;ROWS($B$5:B7),Rosters!$B$2:$D$162,3,0),"?")</f>
        <v>Jefferson</v>
      </c>
      <c r="C7" s="5">
        <f>_xlfn.IFNA(VLOOKUP($B$3&amp;ROWS($C$5:C7),Rosters!$B$2:$E$162,4,0),"")</f>
        <v>3</v>
      </c>
      <c r="D7" s="5"/>
      <c r="E7" s="5">
        <v>11</v>
      </c>
      <c r="F7" s="5"/>
      <c r="G7" s="5"/>
      <c r="H7" s="5">
        <v>4</v>
      </c>
      <c r="I7" s="5"/>
      <c r="J7" s="5"/>
      <c r="K7" s="5">
        <v>3</v>
      </c>
      <c r="L7" s="5"/>
      <c r="M7" s="5"/>
      <c r="N7" s="5">
        <v>3</v>
      </c>
      <c r="O7" s="5"/>
      <c r="P7" s="5"/>
      <c r="Q7" s="5">
        <v>1</v>
      </c>
      <c r="R7" s="5"/>
      <c r="S7" s="5"/>
      <c r="T7" s="5">
        <v>0</v>
      </c>
      <c r="U7" s="5"/>
    </row>
    <row r="8" spans="1:22" s="6" customFormat="1" x14ac:dyDescent="0.2">
      <c r="A8" s="6" t="str">
        <f>_xlfn.IFNA(VLOOKUP($B$3&amp;ROWS($A$5:A8),Rosters!$B$2:$C$162,2,0),"?")</f>
        <v>Frank</v>
      </c>
      <c r="B8" s="6" t="str">
        <f>_xlfn.IFNA(VLOOKUP($B$3&amp;ROWS($B$5:B8),Rosters!$B$2:$D$162,3,0),"?")</f>
        <v>Jackson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">
      <c r="A9" s="5" t="str">
        <f>_xlfn.IFNA(VLOOKUP($B$3&amp;ROWS($A$5:A9),Rosters!$B$2:$C$162,2,0),"?")</f>
        <v>Trey</v>
      </c>
      <c r="B9" s="5" t="str">
        <f>_xlfn.IFNA(VLOOKUP($B$3&amp;ROWS($B$5:B9),Rosters!$B$2:$D$162,3,0),"?")</f>
        <v>Kennedy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">
      <c r="A10" s="6" t="str">
        <f>_xlfn.IFNA(VLOOKUP($B$3&amp;ROWS($A$5:A10),Rosters!$B$2:$C$162,2,0),"?")</f>
        <v>Will</v>
      </c>
      <c r="B10" s="6" t="str">
        <f>_xlfn.IFNA(VLOOKUP($B$3&amp;ROWS($B$5:B10),Rosters!$B$2:$D$162,3,0),"?")</f>
        <v>Joyce</v>
      </c>
      <c r="C10" s="6">
        <f>_xlfn.IFNA(VLOOKUP($B$3&amp;ROWS($C$5:C10),Rosters!$B$2:$E$162,4,0),"")</f>
        <v>11</v>
      </c>
      <c r="E10" s="6">
        <v>4</v>
      </c>
      <c r="H10" s="6">
        <v>2</v>
      </c>
      <c r="K10" s="6">
        <v>0</v>
      </c>
      <c r="N10" s="6">
        <v>0</v>
      </c>
      <c r="Q10" s="6">
        <v>2</v>
      </c>
      <c r="T10" s="6">
        <v>1</v>
      </c>
    </row>
    <row r="11" spans="1:22" s="6" customFormat="1" x14ac:dyDescent="0.2">
      <c r="A11" s="5" t="str">
        <f>_xlfn.IFNA(VLOOKUP($B$3&amp;ROWS($A$5:A11),Rosters!$B$2:$C$162,2,0),"?")</f>
        <v>Jael</v>
      </c>
      <c r="B11" s="5" t="str">
        <f>_xlfn.IFNA(VLOOKUP($B$3&amp;ROWS($B$5:B11),Rosters!$B$2:$D$162,3,0),"?")</f>
        <v>Vaughn</v>
      </c>
      <c r="C11" s="5">
        <f>_xlfn.IFNA(VLOOKUP($B$3&amp;ROWS($C$5:C11),Rosters!$B$2:$E$162,4,0),"")</f>
        <v>12</v>
      </c>
      <c r="D11" s="5"/>
      <c r="E11" s="5">
        <v>6</v>
      </c>
      <c r="F11" s="5"/>
      <c r="G11" s="5"/>
      <c r="H11" s="5">
        <v>0</v>
      </c>
      <c r="I11" s="5"/>
      <c r="J11" s="5"/>
      <c r="K11" s="5">
        <v>3</v>
      </c>
      <c r="L11" s="5"/>
      <c r="M11" s="5"/>
      <c r="N11" s="5">
        <v>1</v>
      </c>
      <c r="O11" s="5"/>
      <c r="P11" s="5"/>
      <c r="Q11" s="5">
        <v>0</v>
      </c>
      <c r="R11" s="5"/>
      <c r="S11" s="5"/>
      <c r="T11" s="5">
        <v>0</v>
      </c>
      <c r="U11" s="5"/>
      <c r="V11" s="6">
        <v>3</v>
      </c>
    </row>
    <row r="12" spans="1:22" s="6" customFormat="1" x14ac:dyDescent="0.2">
      <c r="A12" s="6" t="str">
        <f>_xlfn.IFNA(VLOOKUP($B$3&amp;ROWS($A$5:A12),Rosters!$B$2:$C$162,2,0),"?")</f>
        <v>Fardaws</v>
      </c>
      <c r="B12" s="6" t="str">
        <f>_xlfn.IFNA(VLOOKUP($B$3&amp;ROWS($B$5:B12),Rosters!$B$2:$D$162,3,0),"?")</f>
        <v>Aimaq</v>
      </c>
      <c r="C12" s="6">
        <f>_xlfn.IFNA(VLOOKUP($B$3&amp;ROWS($C$5:C12),Rosters!$B$2:$E$162,4,0),"")</f>
        <v>21</v>
      </c>
      <c r="E12" s="6">
        <v>12</v>
      </c>
      <c r="H12" s="6">
        <v>7</v>
      </c>
      <c r="K12" s="6">
        <v>0</v>
      </c>
      <c r="N12" s="6">
        <v>0</v>
      </c>
      <c r="Q12" s="6">
        <v>7</v>
      </c>
      <c r="T12" s="6">
        <v>5</v>
      </c>
      <c r="V12" s="6">
        <v>1</v>
      </c>
    </row>
    <row r="13" spans="1:22" s="6" customFormat="1" x14ac:dyDescent="0.2">
      <c r="A13" s="5" t="str">
        <f>_xlfn.IFNA(VLOOKUP($B$3&amp;ROWS($A$5:A13),Rosters!$B$2:$C$162,2,0),"?")</f>
        <v>Yoeli</v>
      </c>
      <c r="B13" s="5" t="str">
        <f>_xlfn.IFNA(VLOOKUP($B$3&amp;ROWS($B$5:B13),Rosters!$B$2:$D$162,3,0),"?")</f>
        <v>Childs</v>
      </c>
      <c r="C13" s="5">
        <f>_xlfn.IFNA(VLOOKUP($B$3&amp;ROWS($C$5:C13),Rosters!$B$2:$E$162,4,0),"")</f>
        <v>22</v>
      </c>
      <c r="D13" s="5"/>
      <c r="E13" s="5">
        <v>16</v>
      </c>
      <c r="F13" s="5"/>
      <c r="G13" s="5"/>
      <c r="H13" s="5">
        <v>12</v>
      </c>
      <c r="I13" s="5"/>
      <c r="J13" s="5"/>
      <c r="K13" s="5">
        <v>7</v>
      </c>
      <c r="L13" s="5"/>
      <c r="M13" s="5"/>
      <c r="N13" s="5">
        <v>3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">
      <c r="A14" s="6" t="str">
        <f>_xlfn.IFNA(VLOOKUP($B$3&amp;ROWS($A$5:A14),Rosters!$B$2:$C$162,2,0),"?")</f>
        <v>Nicholas</v>
      </c>
      <c r="B14" s="6" t="str">
        <f>_xlfn.IFNA(VLOOKUP($B$3&amp;ROWS($B$5:B14),Rosters!$B$2:$D$162,3,0),"?")</f>
        <v>Paulos</v>
      </c>
      <c r="C14" s="6">
        <f>_xlfn.IFNA(VLOOKUP($B$3&amp;ROWS($C$5:C14),Rosters!$B$2:$E$162,4,0),"")</f>
        <v>31</v>
      </c>
      <c r="E14" s="6">
        <v>2</v>
      </c>
      <c r="H14" s="6">
        <v>1</v>
      </c>
      <c r="K14" s="6">
        <v>7</v>
      </c>
      <c r="N14" s="6">
        <v>3</v>
      </c>
      <c r="Q14" s="6">
        <v>0</v>
      </c>
      <c r="T14" s="6">
        <v>0</v>
      </c>
      <c r="V14" s="6">
        <v>3</v>
      </c>
    </row>
    <row r="15" spans="1:22" s="6" customFormat="1" x14ac:dyDescent="0.2">
      <c r="A15" s="5" t="str">
        <f>_xlfn.IFNA(VLOOKUP($B$3&amp;ROWS($A$5:A15),Rosters!$B$2:$C$162,2,0),"?")</f>
        <v>Zac</v>
      </c>
      <c r="B15" s="5" t="str">
        <f>_xlfn.IFNA(VLOOKUP($B$3&amp;ROWS($B$5:B15),Rosters!$B$2:$D$162,3,0),"?")</f>
        <v>Seljaas</v>
      </c>
      <c r="C15" s="5">
        <f>_xlfn.IFNA(VLOOKUP($B$3&amp;ROWS($C$5:C15),Rosters!$B$2:$E$162,4,0),"")</f>
        <v>99</v>
      </c>
      <c r="D15" s="5"/>
      <c r="E15" s="5">
        <v>7</v>
      </c>
      <c r="F15" s="5"/>
      <c r="G15" s="5"/>
      <c r="H15" s="5">
        <v>4</v>
      </c>
      <c r="I15" s="5"/>
      <c r="J15" s="5"/>
      <c r="K15" s="5">
        <v>15</v>
      </c>
      <c r="L15" s="5"/>
      <c r="M15" s="5"/>
      <c r="N15" s="5">
        <v>5</v>
      </c>
      <c r="O15" s="5"/>
      <c r="P15" s="5"/>
      <c r="Q15" s="5">
        <v>0</v>
      </c>
      <c r="R15" s="5"/>
      <c r="S15" s="5"/>
      <c r="T15" s="5">
        <v>0</v>
      </c>
      <c r="U15" s="5"/>
      <c r="V15" s="6">
        <v>1</v>
      </c>
    </row>
    <row r="16" spans="1:22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59</v>
      </c>
      <c r="H20">
        <f>SUM(H5:H19)</f>
        <v>31</v>
      </c>
      <c r="K20">
        <f>SUM(K5:K19)</f>
        <v>43</v>
      </c>
      <c r="N20">
        <f>SUM(N5:N19)</f>
        <v>18</v>
      </c>
      <c r="Q20">
        <f>SUM(Q5:Q19)</f>
        <v>10</v>
      </c>
      <c r="T20">
        <f>SUM(T5:T19)</f>
        <v>6</v>
      </c>
    </row>
    <row r="21" spans="1:22" x14ac:dyDescent="0.2">
      <c r="A21" s="2" t="s">
        <v>17</v>
      </c>
      <c r="B21" s="1" t="s">
        <v>28</v>
      </c>
    </row>
    <row r="22" spans="1:22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2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8</v>
      </c>
      <c r="F23" s="5"/>
      <c r="G23" s="5"/>
      <c r="H23" s="5">
        <v>3</v>
      </c>
      <c r="I23" s="5"/>
      <c r="J23" s="5"/>
      <c r="K23" s="5">
        <v>9</v>
      </c>
      <c r="L23" s="5"/>
      <c r="M23" s="5"/>
      <c r="N23" s="5">
        <v>3</v>
      </c>
      <c r="O23" s="5"/>
      <c r="P23" s="5"/>
      <c r="Q23" s="5">
        <v>0</v>
      </c>
      <c r="R23" s="5"/>
      <c r="S23" s="5"/>
      <c r="T23" s="5">
        <v>0</v>
      </c>
      <c r="U23" s="5"/>
      <c r="V23" s="6">
        <v>1</v>
      </c>
    </row>
    <row r="24" spans="1:22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3</v>
      </c>
      <c r="H24" s="6">
        <v>1</v>
      </c>
      <c r="K24" s="6">
        <v>7</v>
      </c>
      <c r="N24" s="6">
        <v>3</v>
      </c>
      <c r="Q24" s="6">
        <v>0</v>
      </c>
      <c r="T24" s="6">
        <v>0</v>
      </c>
      <c r="V24" s="6">
        <v>5</v>
      </c>
    </row>
    <row r="25" spans="1:22" s="6" customFormat="1" x14ac:dyDescent="0.2">
      <c r="A25" s="5" t="str">
        <f>_xlfn.IFNA(VLOOKUP($B$21&amp;ROWS($A$23:A25),Rosters!$B$2:$C$162,2,0),"?")</f>
        <v>Conner</v>
      </c>
      <c r="B25" s="5" t="str">
        <f>_xlfn.IFNA(VLOOKUP($B$21&amp;ROWS($B$23:B25),Rosters!$B$2:$D$162,3,0),"?")</f>
        <v>Toolson</v>
      </c>
      <c r="C25" s="5">
        <f>_xlfn.IFNA(VLOOKUP($B$21&amp;ROWS($C$23:C25),Rosters!$B$2:$E$162,4,0),"")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4</v>
      </c>
      <c r="H26" s="6">
        <v>2</v>
      </c>
      <c r="K26" s="6">
        <v>9</v>
      </c>
      <c r="N26" s="6">
        <v>3</v>
      </c>
      <c r="Q26" s="6">
        <v>0</v>
      </c>
      <c r="T26" s="6">
        <v>0</v>
      </c>
      <c r="V26" s="6">
        <v>2</v>
      </c>
    </row>
    <row r="27" spans="1:22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8</v>
      </c>
      <c r="F27" s="5"/>
      <c r="G27" s="5"/>
      <c r="H27" s="5">
        <v>6</v>
      </c>
      <c r="I27" s="5"/>
      <c r="J27" s="5"/>
      <c r="K27" s="5">
        <v>6</v>
      </c>
      <c r="L27" s="5"/>
      <c r="M27" s="5"/>
      <c r="N27" s="5">
        <v>3</v>
      </c>
      <c r="O27" s="5"/>
      <c r="P27" s="5"/>
      <c r="Q27" s="5">
        <v>3</v>
      </c>
      <c r="R27" s="5"/>
      <c r="S27" s="5"/>
      <c r="T27" s="5">
        <v>1</v>
      </c>
      <c r="U27" s="5"/>
      <c r="V27" s="6">
        <v>1</v>
      </c>
    </row>
    <row r="28" spans="1:22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3</v>
      </c>
      <c r="F29" s="5"/>
      <c r="G29" s="5"/>
      <c r="H29" s="5">
        <v>2</v>
      </c>
      <c r="I29" s="5"/>
      <c r="J29" s="5"/>
      <c r="K29" s="5">
        <v>9</v>
      </c>
      <c r="L29" s="5"/>
      <c r="M29" s="5"/>
      <c r="N29" s="5">
        <v>4</v>
      </c>
      <c r="O29" s="5"/>
      <c r="P29" s="5"/>
      <c r="Q29" s="5">
        <v>0</v>
      </c>
      <c r="R29" s="5"/>
      <c r="S29" s="5"/>
      <c r="T29" s="5">
        <v>0</v>
      </c>
      <c r="U29" s="5"/>
      <c r="V29" s="6">
        <v>1</v>
      </c>
    </row>
    <row r="30" spans="1:22" s="6" customFormat="1" x14ac:dyDescent="0.2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f>_xlfn.IFNA(VLOOKUP($B$21&amp;ROWS($C$23:C30),Rosters!$B$2:$E$162,4,0),"")</f>
        <v>23</v>
      </c>
      <c r="E30" s="6">
        <v>3</v>
      </c>
      <c r="H30" s="6">
        <v>1</v>
      </c>
      <c r="K30" s="6">
        <v>3</v>
      </c>
      <c r="N30" s="6">
        <v>1</v>
      </c>
      <c r="Q30" s="6">
        <v>1</v>
      </c>
      <c r="T30" s="6">
        <v>1</v>
      </c>
      <c r="V30" s="6">
        <v>1</v>
      </c>
    </row>
    <row r="31" spans="1:22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">
        <v>224</v>
      </c>
      <c r="B32" s="6" t="s">
        <v>230</v>
      </c>
      <c r="C32" s="6">
        <v>0</v>
      </c>
      <c r="E32" s="6">
        <v>5</v>
      </c>
      <c r="H32" s="6">
        <v>4</v>
      </c>
      <c r="K32" s="6">
        <v>13</v>
      </c>
      <c r="N32" s="6">
        <v>3</v>
      </c>
      <c r="Q32" s="6">
        <v>2</v>
      </c>
      <c r="T32" s="6">
        <v>2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34</v>
      </c>
      <c r="H38">
        <f>SUM(H23:H37)</f>
        <v>19</v>
      </c>
      <c r="K38">
        <f>SUM(K23:K37)</f>
        <v>56</v>
      </c>
      <c r="N38">
        <f>SUM(N23:N37)</f>
        <v>20</v>
      </c>
      <c r="Q38">
        <f>SUM(Q23:Q37)</f>
        <v>6</v>
      </c>
      <c r="T38">
        <f>SUM(T23:T37)</f>
        <v>4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B5" sqref="B5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251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41</v>
      </c>
      <c r="D4" t="s">
        <v>42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259</v>
      </c>
      <c r="D5" t="s">
        <v>44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45</v>
      </c>
      <c r="D6" t="s">
        <v>46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260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261</v>
      </c>
      <c r="D8" t="s">
        <v>43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257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47</v>
      </c>
      <c r="D12" t="s">
        <v>48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49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64</v>
      </c>
      <c r="D14" t="s">
        <v>65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52</v>
      </c>
      <c r="D15" t="s">
        <v>53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69</v>
      </c>
      <c r="D16" t="s">
        <v>70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62</v>
      </c>
      <c r="D17" t="s">
        <v>63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68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71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72</v>
      </c>
      <c r="D20" t="s">
        <v>73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50</v>
      </c>
      <c r="D21" t="s">
        <v>51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66</v>
      </c>
      <c r="D22" t="s">
        <v>67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56</v>
      </c>
      <c r="D23" t="s">
        <v>57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54</v>
      </c>
      <c r="D24" t="s">
        <v>55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60</v>
      </c>
      <c r="D25" t="s">
        <v>61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58</v>
      </c>
      <c r="D26" t="s">
        <v>59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74</v>
      </c>
      <c r="D27" t="s">
        <v>262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80</v>
      </c>
      <c r="D28" t="s">
        <v>81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89</v>
      </c>
      <c r="D29" t="s">
        <v>90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82</v>
      </c>
      <c r="D30" t="s">
        <v>83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263</v>
      </c>
      <c r="D31" t="s">
        <v>75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76</v>
      </c>
      <c r="D32" t="s">
        <v>77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86</v>
      </c>
      <c r="D33" t="s">
        <v>87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88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84</v>
      </c>
      <c r="D35" t="s">
        <v>85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91</v>
      </c>
      <c r="D36" t="s">
        <v>92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78</v>
      </c>
      <c r="D37" t="s">
        <v>79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93</v>
      </c>
      <c r="D38" t="s">
        <v>94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102</v>
      </c>
      <c r="D39" t="s">
        <v>103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100</v>
      </c>
      <c r="D40" t="s">
        <v>101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104</v>
      </c>
      <c r="D41" t="s">
        <v>105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264</v>
      </c>
      <c r="D42" t="s">
        <v>110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98</v>
      </c>
      <c r="D43" t="s">
        <v>99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95</v>
      </c>
      <c r="D45" t="s">
        <v>96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106</v>
      </c>
      <c r="D46" t="s">
        <v>107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97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108</v>
      </c>
      <c r="D49" t="s">
        <v>109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265</v>
      </c>
      <c r="D50" t="s">
        <v>266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121</v>
      </c>
      <c r="D51" t="s">
        <v>122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125</v>
      </c>
      <c r="D52" t="s">
        <v>126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56</v>
      </c>
      <c r="D53" t="s">
        <v>127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117</v>
      </c>
      <c r="D54" t="s">
        <v>118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132</v>
      </c>
      <c r="D55" t="s">
        <v>133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119</v>
      </c>
      <c r="D56" t="s">
        <v>120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88</v>
      </c>
      <c r="D57" t="s">
        <v>129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134</v>
      </c>
      <c r="D58" t="s">
        <v>135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123</v>
      </c>
      <c r="D59" t="s">
        <v>124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136</v>
      </c>
      <c r="D60" t="s">
        <v>137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267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115</v>
      </c>
      <c r="D62" t="s">
        <v>116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241</v>
      </c>
      <c r="D63" t="s">
        <v>128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130</v>
      </c>
      <c r="D64" t="s">
        <v>131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142</v>
      </c>
      <c r="D65" t="s">
        <v>143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156</v>
      </c>
      <c r="D66" t="s">
        <v>157</v>
      </c>
      <c r="E66" s="7" t="s">
        <v>254</v>
      </c>
    </row>
    <row r="67" spans="1:5" x14ac:dyDescent="0.2">
      <c r="A67" t="s">
        <v>23</v>
      </c>
      <c r="B67" t="str">
        <f>A67&amp;COUNTIF($A$2:$A67,A67)</f>
        <v>Covington3</v>
      </c>
      <c r="C67" t="s">
        <v>158</v>
      </c>
      <c r="D67" t="s">
        <v>159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139</v>
      </c>
      <c r="D68" t="s">
        <v>140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149</v>
      </c>
      <c r="D69" t="s">
        <v>150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146</v>
      </c>
      <c r="D70" t="s">
        <v>147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138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144</v>
      </c>
      <c r="D72" t="s">
        <v>145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152</v>
      </c>
      <c r="D73" t="s">
        <v>153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148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82</v>
      </c>
      <c r="D75" t="s">
        <v>151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154</v>
      </c>
      <c r="D76" t="s">
        <v>155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56</v>
      </c>
      <c r="D77" t="s">
        <v>141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164</v>
      </c>
      <c r="D78" t="s">
        <v>165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172</v>
      </c>
      <c r="D79" t="s">
        <v>173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162</v>
      </c>
      <c r="D80" t="s">
        <v>163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161</v>
      </c>
      <c r="D81" t="s">
        <v>148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166</v>
      </c>
      <c r="D82" t="s">
        <v>167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174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268</v>
      </c>
      <c r="D84" t="s">
        <v>77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175</v>
      </c>
      <c r="D85" t="s">
        <v>176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269</v>
      </c>
      <c r="D86" t="s">
        <v>160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168</v>
      </c>
      <c r="D87" t="s">
        <v>169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170</v>
      </c>
      <c r="D88" t="s">
        <v>171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187</v>
      </c>
      <c r="D89" t="s">
        <v>188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69</v>
      </c>
      <c r="D90" t="s">
        <v>178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179</v>
      </c>
      <c r="D91" t="s">
        <v>180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98</v>
      </c>
      <c r="D92" t="s">
        <v>183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166</v>
      </c>
      <c r="D93" t="s">
        <v>65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255</v>
      </c>
      <c r="D94" t="s">
        <v>191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189</v>
      </c>
      <c r="D95" t="s">
        <v>190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88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186</v>
      </c>
      <c r="D97" t="s">
        <v>165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184</v>
      </c>
      <c r="D98" t="s">
        <v>185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69</v>
      </c>
      <c r="D99" t="s">
        <v>177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181</v>
      </c>
      <c r="D100" t="s">
        <v>182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194</v>
      </c>
      <c r="D101" t="s">
        <v>81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60</v>
      </c>
      <c r="D102" t="s">
        <v>192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74</v>
      </c>
      <c r="D103" t="s">
        <v>173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193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197</v>
      </c>
      <c r="D105" t="s">
        <v>198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199</v>
      </c>
      <c r="D106" t="s">
        <v>200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191</v>
      </c>
      <c r="D107" t="s">
        <v>196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201</v>
      </c>
      <c r="D108" t="s">
        <v>202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203</v>
      </c>
      <c r="D109" t="s">
        <v>198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195</v>
      </c>
      <c r="D110" t="s">
        <v>101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204</v>
      </c>
      <c r="D111" t="s">
        <v>56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205</v>
      </c>
      <c r="D112" t="s">
        <v>206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172</v>
      </c>
      <c r="D113" t="s">
        <v>207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172</v>
      </c>
      <c r="D114" t="s">
        <v>216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210</v>
      </c>
      <c r="D115" t="s">
        <v>211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212</v>
      </c>
      <c r="D116" t="s">
        <v>213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208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217</v>
      </c>
      <c r="D118" t="s">
        <v>218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270</v>
      </c>
      <c r="D119" t="s">
        <v>42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209</v>
      </c>
      <c r="D120" t="s">
        <v>148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214</v>
      </c>
      <c r="D121" t="s">
        <v>215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224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152</v>
      </c>
      <c r="D123" t="s">
        <v>219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271</v>
      </c>
      <c r="D124" t="s">
        <v>230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220</v>
      </c>
      <c r="D125" t="s">
        <v>221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224</v>
      </c>
      <c r="D126" t="s">
        <v>229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227</v>
      </c>
      <c r="D127" t="s">
        <v>228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231</v>
      </c>
      <c r="D128" t="s">
        <v>232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225</v>
      </c>
      <c r="D129" t="s">
        <v>226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222</v>
      </c>
      <c r="D130" t="s">
        <v>223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239</v>
      </c>
      <c r="D131" t="s">
        <v>240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191</v>
      </c>
      <c r="D132" t="s">
        <v>235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236</v>
      </c>
      <c r="D133" t="s">
        <v>237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244</v>
      </c>
      <c r="D134" t="s">
        <v>245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241</v>
      </c>
      <c r="D135" t="s">
        <v>242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145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233</v>
      </c>
      <c r="D137" t="s">
        <v>234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238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246</v>
      </c>
      <c r="D139" t="s">
        <v>226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243</v>
      </c>
      <c r="D140" t="s">
        <v>103</v>
      </c>
      <c r="E140">
        <v>30</v>
      </c>
    </row>
    <row r="141" spans="1:5" x14ac:dyDescent="0.2">
      <c r="A141" t="s">
        <v>258</v>
      </c>
      <c r="B141" t="str">
        <f>A141&amp;COUNTIF($A$2:$A141,A141)</f>
        <v>Guest1</v>
      </c>
      <c r="C141" t="s">
        <v>247</v>
      </c>
      <c r="D141" t="s">
        <v>248</v>
      </c>
      <c r="E141">
        <v>2</v>
      </c>
    </row>
    <row r="142" spans="1:5" x14ac:dyDescent="0.2">
      <c r="A142" t="s">
        <v>258</v>
      </c>
      <c r="B142" t="str">
        <f>A142&amp;COUNTIF($A$2:$A142,A142)</f>
        <v>Guest2</v>
      </c>
      <c r="C142" t="s">
        <v>82</v>
      </c>
      <c r="D142" t="s">
        <v>249</v>
      </c>
      <c r="E142">
        <v>10</v>
      </c>
    </row>
    <row r="143" spans="1:5" x14ac:dyDescent="0.2">
      <c r="A143" t="s">
        <v>258</v>
      </c>
      <c r="B143" t="str">
        <f>A143&amp;COUNTIF($A$2:$A143,A143)</f>
        <v>Guest3</v>
      </c>
      <c r="C143" t="s">
        <v>272</v>
      </c>
      <c r="D143" t="s">
        <v>250</v>
      </c>
      <c r="E143">
        <v>19</v>
      </c>
    </row>
    <row r="144" spans="1:5" x14ac:dyDescent="0.2">
      <c r="A144" t="s">
        <v>258</v>
      </c>
      <c r="B144" t="str">
        <f>A144&amp;COUNTIF($A$2:$A144,A144)</f>
        <v>Guest4</v>
      </c>
      <c r="C144" t="s">
        <v>252</v>
      </c>
      <c r="D144" t="s">
        <v>273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2021-07-10T14:38:06Z</dcterms:modified>
</cp:coreProperties>
</file>