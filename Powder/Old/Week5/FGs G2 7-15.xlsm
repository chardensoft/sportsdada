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5801A1A0-7765-4778-B027-E71AD3485B42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4" i="1" s="1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F13" i="2"/>
  <c r="C25" i="1"/>
  <c r="H24" i="2" s="1"/>
  <c r="B6" i="1"/>
  <c r="G4" i="2" s="1"/>
  <c r="A24" i="1"/>
  <c r="F23" i="2" s="1"/>
  <c r="F35" i="2"/>
  <c r="G34" i="2"/>
  <c r="C30" i="1"/>
  <c r="H29" i="2" s="1"/>
  <c r="B13" i="1"/>
  <c r="G11" i="2" s="1"/>
  <c r="H34" i="2"/>
  <c r="B5" i="1"/>
  <c r="C32" i="1"/>
  <c r="H31" i="2" s="1"/>
  <c r="A5" i="1"/>
  <c r="F3" i="2" s="1"/>
  <c r="A12" i="1"/>
  <c r="F10" i="2" s="1"/>
  <c r="B19" i="1"/>
  <c r="G17" i="2" s="1"/>
  <c r="B11" i="1"/>
  <c r="G9" i="2" s="1"/>
  <c r="C18" i="1"/>
  <c r="H16" i="2" s="1"/>
  <c r="C10" i="1"/>
  <c r="H8" i="2" s="1"/>
  <c r="H36" i="2"/>
  <c r="F34" i="2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C34" i="1"/>
  <c r="H33" i="2" s="1"/>
  <c r="C26" i="1"/>
  <c r="H25" i="2" s="1"/>
  <c r="A18" i="1"/>
  <c r="F16" i="2" s="1"/>
  <c r="A10" i="1"/>
  <c r="F8" i="2" s="1"/>
  <c r="G15" i="2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G36" i="2"/>
  <c r="B29" i="1"/>
  <c r="G28" i="2" s="1"/>
  <c r="A16" i="1"/>
  <c r="F14" i="2" s="1"/>
  <c r="A8" i="1"/>
  <c r="F6" i="2" s="1"/>
  <c r="G13" i="2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  <c r="G3" i="2"/>
</calcChain>
</file>

<file path=xl/sharedStrings.xml><?xml version="1.0" encoding="utf-8"?>
<sst xmlns="http://schemas.openxmlformats.org/spreadsheetml/2006/main" count="496" uniqueCount="285">
  <si>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</si>
  <si>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</si>
  <si>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</si>
  <si>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</si>
  <si>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</si>
  <si>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</si>
  <si>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</si>
  <si>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</si>
  <si>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</si>
  <si>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</si>
  <si>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</si>
  <si>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</si>
  <si>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</si>
  <si>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</si>
  <si>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</si>
  <si>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</si>
  <si>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</si>
  <si>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</si>
  <si>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</si>
  <si>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</si>
  <si>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</si>
  <si>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</si>
  <si>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</si>
  <si>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</si>
  <si>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</si>
  <si>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</si>
  <si>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</si>
  <si>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</si>
  <si>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</si>
  <si>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</si>
  <si>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</si>
  <si>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</si>
  <si>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</si>
  <si>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</si>
  <si>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</si>
  <si>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</si>
  <si>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</si>
  <si>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</si>
  <si>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</si>
  <si>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</si>
  <si>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</si>
  <si>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</si>
  <si>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</si>
  <si>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</si>
  <si>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</si>
  <si>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</si>
  <si>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</si>
  <si>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</si>
  <si>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</si>
  <si>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</si>
  <si>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</si>
  <si>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</si>
  <si>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</si>
  <si>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</si>
  <si>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</si>
  <si>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</si>
  <si>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</si>
  <si>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</si>
  <si>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</si>
  <si>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</si>
  <si>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</si>
  <si>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</si>
  <si>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</si>
  <si>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</si>
  <si>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</si>
  <si>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</si>
  <si>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</si>
  <si>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</si>
  <si>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</si>
  <si>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</si>
  <si>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</si>
  <si>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</si>
  <si>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</si>
  <si>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</si>
  <si>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</si>
  <si>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</si>
  <si>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</si>
  <si>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</si>
  <si>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</si>
  <si>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</si>
  <si>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</si>
  <si>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</si>
  <si>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</si>
  <si>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</si>
  <si>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</si>
  <si>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</si>
  <si>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</si>
  <si>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</si>
  <si>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</si>
  <si>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</si>
  <si>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</si>
  <si>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</si>
  <si>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</si>
  <si>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</si>
  <si>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</si>
  <si>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</si>
  <si>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</si>
  <si>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</si>
  <si>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</si>
  <si>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</si>
  <si>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</si>
  <si>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</si>
  <si>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</si>
  <si>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</si>
  <si>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</si>
  <si>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</si>
  <si>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</si>
  <si>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</si>
  <si>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</si>
  <si>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</si>
  <si>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</si>
  <si>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</si>
  <si>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</si>
  <si>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</si>
  <si>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</si>
  <si>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</si>
  <si>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</si>
  <si>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</si>
  <si>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</si>
  <si>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</si>
  <si>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</si>
  <si>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</si>
  <si>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</si>
  <si>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</si>
  <si>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</si>
  <si>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</si>
  <si>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</si>
  <si>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</si>
  <si>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</si>
  <si>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</si>
  <si>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</si>
  <si>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</si>
  <si>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</si>
  <si>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</si>
  <si>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</si>
  <si>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</si>
  <si>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</si>
  <si>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</si>
  <si>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</si>
  <si>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</si>
  <si>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</si>
  <si>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</si>
  <si>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</si>
  <si>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</si>
  <si>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</si>
  <si>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</si>
  <si>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</si>
  <si>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</si>
  <si>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</si>
  <si>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</si>
  <si>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</si>
  <si>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</si>
  <si>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</si>
  <si>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</si>
  <si>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</si>
  <si>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</si>
  <si>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</si>
  <si>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</si>
  <si>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</si>
  <si>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</si>
  <si>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</si>
  <si>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</si>
  <si>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</si>
  <si>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</si>
  <si>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</si>
  <si>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</si>
  <si>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</si>
  <si>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</si>
  <si>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</si>
  <si>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</si>
  <si>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</si>
  <si>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</si>
  <si>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</si>
  <si>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</si>
  <si>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</si>
  <si>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</si>
  <si>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</si>
  <si>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</si>
  <si>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</si>
  <si>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</si>
  <si>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</si>
  <si>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</si>
  <si>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</si>
  <si>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</si>
  <si>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</si>
  <si>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</si>
  <si>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</si>
  <si>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</si>
  <si>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</si>
  <si>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</si>
  <si>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</si>
  <si>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</si>
  <si>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</si>
  <si>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</si>
  <si>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</si>
  <si>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</si>
  <si>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</si>
  <si>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</si>
  <si>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</si>
  <si>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</si>
  <si>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</si>
  <si>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</si>
  <si>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</si>
  <si>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</si>
  <si>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</si>
  <si>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</si>
  <si>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</si>
  <si>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</si>
  <si>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</si>
  <si>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</si>
  <si>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</si>
  <si>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</si>
  <si>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</si>
  <si>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</si>
  <si>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</si>
  <si>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</si>
  <si>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</si>
  <si>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</si>
  <si>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</si>
  <si>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</si>
  <si>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</si>
  <si>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</si>
  <si>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</si>
  <si>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</si>
  <si>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</si>
  <si>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</si>
  <si>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</si>
  <si>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</si>
  <si>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</si>
  <si>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</si>
  <si>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</si>
  <si>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</si>
  <si>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</si>
  <si>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</si>
  <si>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</si>
  <si>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</si>
  <si>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</si>
  <si>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</si>
  <si>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</si>
  <si>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</si>
  <si>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</si>
  <si>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</si>
  <si>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</si>
  <si>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</si>
  <si>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</si>
  <si>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</si>
  <si>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</si>
  <si>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</si>
  <si>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</si>
  <si>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</si>
  <si>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</si>
  <si>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</si>
  <si>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</si>
  <si>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</si>
  <si>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</si>
  <si>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</si>
  <si>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</si>
  <si>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</si>
  <si>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</si>
  <si>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</si>
  <si>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</si>
  <si>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</si>
  <si>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</si>
  <si>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</si>
  <si>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</si>
  <si>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</si>
  <si>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</si>
  <si>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</si>
  <si>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</si>
  <si>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</si>
  <si>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</si>
  <si>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</si>
  <si>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</si>
  <si>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</si>
  <si>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</si>
  <si>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Mua</t>
  </si>
  <si>
    <t>Reed-Faleao</t>
  </si>
  <si>
    <t>Warr</t>
  </si>
  <si>
    <t>0-0</t>
  </si>
  <si>
    <t>Dashan</t>
  </si>
  <si>
    <t>Benson</t>
  </si>
  <si>
    <t>Yannick</t>
  </si>
  <si>
    <t>Liunga</t>
  </si>
  <si>
    <t>Barzin</t>
  </si>
  <si>
    <t>Baban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</si>
</sst>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31" sqref="D31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271</v>
      </c>
      <c r="F1" t="s">
        <v>9</v>
      </c>
      <c r="G1" t="str">
        <f>'Stats G2'!B3</f>
        <v>Dastrop</v>
      </c>
    </row>
    <row r="2" spans="2:12" x14ac:dyDescent="0.25">
      <c r="B2" t="str">
        <f>G1</f>
        <v>Dastrop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127</v>
      </c>
      <c r="C3" s="3" t="s">
        <v>15</v>
      </c>
      <c r="D3" s="4">
        <f>I37</f>
        <v>122</v>
      </c>
      <c r="F3" t="str">
        <f>'Stats G2'!A5</f>
        <v>Taylor</v>
      </c>
      <c r="G3" t="str">
        <f>'Stats G2'!B5</f>
        <v>Miller</v>
      </c>
      <c r="H3">
        <f>'Stats G2'!C5</f>
        <v>0</v>
      </c>
      <c r="I3">
        <f>'Stats G2'!H5*2+'Stats G2'!N5*3+'Stats G2'!T5</f>
        <v>19</v>
      </c>
      <c r="J3" t="str">
        <f>SUM('Stats G2'!N5+'Stats G2'!H5)&amp;"-"&amp;SUM('Stats G2'!E5+'Stats G2'!K5)</f>
        <v>7-14</v>
      </c>
      <c r="K3" t="str">
        <f>SUM('Stats G2'!N5)&amp;"-"&amp;SUM('Stats G2'!K5)</f>
        <v>2-4</v>
      </c>
      <c r="L3" t="str">
        <f>SUM('Stats G2'!T5)&amp;"-"&amp;SUM('Stats G2'!Q5)</f>
        <v>3-4</v>
      </c>
    </row>
    <row r="4" spans="2:12" x14ac:dyDescent="0.25">
      <c r="F4" t="str">
        <f>'Stats G2'!A6</f>
        <v>Quae</v>
      </c>
      <c r="G4" t="str">
        <f>'Stats G2'!B6</f>
        <v>Furlow</v>
      </c>
      <c r="H4">
        <f>'Stats G2'!C6</f>
        <v>1</v>
      </c>
      <c r="I4">
        <f>'Stats G2'!H6*2+'Stats G2'!N6*3+'Stats G2'!T6</f>
        <v>35</v>
      </c>
      <c r="J4" t="str">
        <f>SUM('Stats G2'!N6+'Stats G2'!H6)&amp;"-"&amp;SUM('Stats G2'!E6+'Stats G2'!K6)</f>
        <v>14-27</v>
      </c>
      <c r="K4" t="str">
        <f>SUM('Stats G2'!N6)&amp;"-"&amp;SUM('Stats G2'!K6)</f>
        <v>1-4</v>
      </c>
      <c r="L4" t="str">
        <f>SUM('Stats G2'!T6)&amp;"-"&amp;SUM('Stats G2'!Q6)</f>
        <v>6-6</v>
      </c>
    </row>
    <row r="5" spans="2:12" x14ac:dyDescent="0.25">
      <c r="F5" t="str">
        <f>'Stats G2'!A7</f>
        <v>Jordan</v>
      </c>
      <c r="G5" t="str">
        <f>'Stats G2'!B7</f>
        <v>Gazdik</v>
      </c>
      <c r="H5">
        <f>'Stats G2'!C7</f>
        <v>2</v>
      </c>
      <c r="I5">
        <f>'Stats G2'!H7*2+'Stats G2'!N7*3+'Stats G2'!T7</f>
        <v>22</v>
      </c>
      <c r="J5" t="str">
        <f>SUM('Stats G2'!N7+'Stats G2'!H7)&amp;"-"&amp;SUM('Stats G2'!E7+'Stats G2'!K7)</f>
        <v>7-15</v>
      </c>
      <c r="K5" t="str">
        <f>SUM('Stats G2'!N7)&amp;"-"&amp;SUM('Stats G2'!K7)</f>
        <v>5-7</v>
      </c>
      <c r="L5" t="str">
        <f>SUM('Stats G2'!T7)&amp;"-"&amp;SUM('Stats G2'!Q7)</f>
        <v>3-4</v>
      </c>
    </row>
    <row r="6" spans="2:12" x14ac:dyDescent="0.25">
      <c r="F6" t="str">
        <f>'Stats G2'!A8</f>
        <v>Cory</v>
      </c>
      <c r="G6" t="str">
        <f>'Stats G2'!B8</f>
        <v>Calvert</v>
      </c>
      <c r="H6">
        <f>'Stats G2'!C8</f>
        <v>3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5">
      <c r="F7" t="str">
        <f>'Stats G2'!A9</f>
        <v>Chris</v>
      </c>
      <c r="G7" t="str">
        <f>'Stats G2'!B9</f>
        <v>Seeley</v>
      </c>
      <c r="H7">
        <f>'Stats G2'!C9</f>
        <v>4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5">
      <c r="F8" t="str">
        <f>'Stats G2'!A10</f>
        <v>Kylor</v>
      </c>
      <c r="G8" t="str">
        <f>'Stats G2'!B10</f>
        <v>Kelley</v>
      </c>
      <c r="H8">
        <f>'Stats G2'!C10</f>
        <v>6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5">
      <c r="F9" t="str">
        <f>'Stats G2'!A11</f>
        <v>Hunter</v>
      </c>
      <c r="G9" t="str">
        <f>'Stats G2'!B11</f>
        <v>Erickson</v>
      </c>
      <c r="H9">
        <f>'Stats G2'!C11</f>
        <v>10</v>
      </c>
      <c r="I9">
        <f>'Stats G2'!H11*2+'Stats G2'!N11*3+'Stats G2'!T11</f>
        <v>34</v>
      </c>
      <c r="J9" t="str">
        <f>SUM('Stats G2'!N11+'Stats G2'!H11)&amp;"-"&amp;SUM('Stats G2'!E11+'Stats G2'!K11)</f>
        <v>15-20</v>
      </c>
      <c r="K9" t="str">
        <f>SUM('Stats G2'!N11)&amp;"-"&amp;SUM('Stats G2'!K11)</f>
        <v>2-4</v>
      </c>
      <c r="L9" t="str">
        <f>SUM('Stats G2'!T11)&amp;"-"&amp;SUM('Stats G2'!Q11)</f>
        <v>2-3</v>
      </c>
    </row>
    <row r="10" spans="2:12" x14ac:dyDescent="0.25">
      <c r="F10" t="str">
        <f>'Stats G2'!A12</f>
        <v>Sedrick</v>
      </c>
      <c r="G10" t="str">
        <f>'Stats G2'!B12</f>
        <v>Barefield</v>
      </c>
      <c r="H10">
        <f>'Stats G2'!C12</f>
        <v>11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5">
      <c r="F11" t="str">
        <f>'Stats G2'!A13</f>
        <v>Mckay</v>
      </c>
      <c r="G11" t="str">
        <f>'Stats G2'!B13</f>
        <v>Johnson</v>
      </c>
      <c r="H11">
        <f>'Stats G2'!C13</f>
        <v>13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5">
      <c r="F12" t="str">
        <f>'Stats G2'!A14</f>
        <v>Khalil</v>
      </c>
      <c r="G12" t="str">
        <f>'Stats G2'!B14</f>
        <v>Ahmad</v>
      </c>
      <c r="H12">
        <f>'Stats G2'!C14</f>
        <v>14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5">
      <c r="F13" t="str">
        <f>'Stats G2'!A15</f>
        <v>Mua</v>
      </c>
      <c r="G13" t="str">
        <f>'Stats G2'!B15</f>
        <v>Reed-Faleao</v>
      </c>
      <c r="H13">
        <f>'Stats G2'!C15</f>
        <v>15</v>
      </c>
      <c r="I13">
        <f>'Stats G2'!H15*2+'Stats G2'!N15*3+'Stats G2'!T15</f>
        <v>2</v>
      </c>
      <c r="J13" t="str">
        <f>SUM('Stats G2'!N15+'Stats G2'!H15)&amp;"-"&amp;SUM('Stats G2'!E15+'Stats G2'!K15)</f>
        <v>1-5</v>
      </c>
      <c r="K13" t="str">
        <f>SUM('Stats G2'!N15)&amp;"-"&amp;SUM('Stats G2'!K15)</f>
        <v>0-3</v>
      </c>
      <c r="L13" t="str">
        <f>SUM('Stats G2'!T15)&amp;"-"&amp;SUM('Stats G2'!Q15)</f>
        <v>0-0</v>
      </c>
    </row>
    <row r="14" spans="2:12" x14ac:dyDescent="0.25">
      <c r="F14" t="str">
        <f>'Stats G2'!A16</f>
        <v>John</v>
      </c>
      <c r="G14" t="str">
        <f>'Stats G2'!B16</f>
        <v>Bennett</v>
      </c>
      <c r="H14">
        <f>'Stats G2'!C16</f>
        <v>22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5">
      <c r="F15" t="str">
        <f>'Stats G2'!A17</f>
        <v>Brandon</v>
      </c>
      <c r="G15" t="str">
        <f>'Stats G2'!B17</f>
        <v>Warr</v>
      </c>
      <c r="H15">
        <f>'Stats G2'!C17</f>
        <v>33</v>
      </c>
      <c r="I15">
        <f>'Stats G2'!H17*2+'Stats G2'!N17*3+'Stats G2'!T17</f>
        <v>15</v>
      </c>
      <c r="J15" t="str">
        <f>SUM('Stats G2'!N17+'Stats G2'!H17)&amp;"-"&amp;SUM('Stats G2'!E17+'Stats G2'!K17)</f>
        <v>6-16</v>
      </c>
      <c r="K15" t="str">
        <f>SUM('Stats G2'!N17)&amp;"-"&amp;SUM('Stats G2'!K17)</f>
        <v>1-6</v>
      </c>
      <c r="L15" t="str">
        <f>SUM('Stats G2'!T17)&amp;"-"&amp;SUM('Stats G2'!Q17)</f>
        <v>2-2</v>
      </c>
    </row>
    <row r="16" spans="2:12" x14ac:dyDescent="0.25">
      <c r="F16" t="str">
        <f>'Stats G2'!A18</f>
        <v>Johnny</v>
      </c>
      <c r="G16" t="str">
        <f>'Stats G2'!B18</f>
        <v>Dupre</v>
      </c>
      <c r="H16">
        <f>'Stats G2'!C18</f>
        <v>41</v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5">
      <c r="H18" s="2" t="s">
        <v>14</v>
      </c>
      <c r="I18">
        <f>SUM(I3:I17)</f>
        <v>127</v>
      </c>
      <c r="J18" t="str">
        <f>SUM('Stats G2'!N20+'Stats G2'!H20)&amp;"-"&amp;SUM('Stats G2'!E20+'Stats G2'!K20)</f>
        <v>50-97</v>
      </c>
      <c r="K18" t="str">
        <f>SUM('Stats G2'!N20)&amp;"-"&amp;SUM('Stats G2'!K20)</f>
        <v>11-28</v>
      </c>
      <c r="L18" t="str">
        <f>SUM('Stats G2'!T20)&amp;"-"&amp;SUM('Stats G2'!Q20)</f>
        <v>16-19</v>
      </c>
    </row>
    <row r="20" spans="6:12" x14ac:dyDescent="0.25">
      <c r="F20" t="s">
        <v>13</v>
      </c>
      <c r="G20" t="str">
        <f>'Stats G2'!B21</f>
        <v>Draney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Roman</v>
      </c>
      <c r="G22" t="str">
        <f>'Stats G2'!B23</f>
        <v>McKnight</v>
      </c>
      <c r="H22">
        <f>'Stats G2'!C23</f>
        <v>0</v>
      </c>
      <c r="I22">
        <f>'Stats G2'!H23*2+'Stats G2'!N23*3+'Stats G2'!T23</f>
        <v>23</v>
      </c>
      <c r="J22" t="str">
        <f>SUM('Stats G2'!N23+'Stats G2'!H23)&amp;"-"&amp;SUM('Stats G2'!E23+'Stats G2'!K23)</f>
        <v>10-15</v>
      </c>
      <c r="K22" t="str">
        <f>SUM('Stats G2'!N23)&amp;"-"&amp;SUM('Stats G2'!K23)</f>
        <v>3-6</v>
      </c>
      <c r="L22" t="str">
        <f>SUM('Stats G2'!T23)&amp;"-"&amp;SUM('Stats G2'!Q23)</f>
        <v>0-2</v>
      </c>
    </row>
    <row r="23" spans="6:12" x14ac:dyDescent="0.25">
      <c r="F23" t="str">
        <f>'Stats G2'!A24</f>
        <v xml:space="preserve">Brendan </v>
      </c>
      <c r="G23" t="str">
        <f>'Stats G2'!B24</f>
        <v>Bailey</v>
      </c>
      <c r="H23">
        <f>'Stats G2'!C24</f>
        <v>1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5">
      <c r="F24" t="str">
        <f>'Stats G2'!A25</f>
        <v>Marquis</v>
      </c>
      <c r="G24" t="str">
        <f>'Stats G2'!B25</f>
        <v>Velez</v>
      </c>
      <c r="H24">
        <f>'Stats G2'!C25</f>
        <v>2</v>
      </c>
      <c r="I24">
        <f>'Stats G2'!H25*2+'Stats G2'!N25*3+'Stats G2'!T25</f>
        <v>26</v>
      </c>
      <c r="J24" t="str">
        <f>SUM('Stats G2'!N25+'Stats G2'!H25)&amp;"-"&amp;SUM('Stats G2'!E25+'Stats G2'!K25)</f>
        <v>11-23</v>
      </c>
      <c r="K24" t="str">
        <f>SUM('Stats G2'!N25)&amp;"-"&amp;SUM('Stats G2'!K25)</f>
        <v>2-7</v>
      </c>
      <c r="L24" t="str">
        <f>SUM('Stats G2'!T25)&amp;"-"&amp;SUM('Stats G2'!Q25)</f>
        <v>2-4</v>
      </c>
    </row>
    <row r="25" spans="6:12" x14ac:dyDescent="0.25">
      <c r="F25" t="str">
        <f>'Stats G2'!A26</f>
        <v>Marcus</v>
      </c>
      <c r="G25" t="str">
        <f>'Stats G2'!B26</f>
        <v>Draney</v>
      </c>
      <c r="H25">
        <f>'Stats G2'!C26</f>
        <v>4</v>
      </c>
      <c r="I25">
        <f>'Stats G2'!H26*2+'Stats G2'!N26*3+'Stats G2'!T26</f>
        <v>24</v>
      </c>
      <c r="J25" t="str">
        <f>SUM('Stats G2'!N26+'Stats G2'!H26)&amp;"-"&amp;SUM('Stats G2'!E26+'Stats G2'!K26)</f>
        <v>8-17</v>
      </c>
      <c r="K25" t="str">
        <f>SUM('Stats G2'!N26)&amp;"-"&amp;SUM('Stats G2'!K26)</f>
        <v>2-6</v>
      </c>
      <c r="L25" t="str">
        <f>SUM('Stats G2'!T26)&amp;"-"&amp;SUM('Stats G2'!Q26)</f>
        <v>6-8</v>
      </c>
    </row>
    <row r="26" spans="6:12" x14ac:dyDescent="0.25">
      <c r="F26" t="str">
        <f>'Stats G2'!A27</f>
        <v>Stefan</v>
      </c>
      <c r="G26" t="str">
        <f>'Stats G2'!B27</f>
        <v>Briggs</v>
      </c>
      <c r="H26">
        <f>'Stats G2'!C27</f>
        <v>8</v>
      </c>
      <c r="I26">
        <f>'Stats G2'!H27*2+'Stats G2'!N27*3+'Stats G2'!T27</f>
        <v>22</v>
      </c>
      <c r="J26" t="str">
        <f>SUM('Stats G2'!N27+'Stats G2'!H27)&amp;"-"&amp;SUM('Stats G2'!E27+'Stats G2'!K27)</f>
        <v>7-13</v>
      </c>
      <c r="K26" t="str">
        <f>SUM('Stats G2'!N27)&amp;"-"&amp;SUM('Stats G2'!K27)</f>
        <v>3-7</v>
      </c>
      <c r="L26" t="str">
        <f>SUM('Stats G2'!T27)&amp;"-"&amp;SUM('Stats G2'!Q27)</f>
        <v>5-7</v>
      </c>
    </row>
    <row r="27" spans="6:12" x14ac:dyDescent="0.25">
      <c r="F27" t="str">
        <f>'Stats G2'!A28</f>
        <v>Derrick</v>
      </c>
      <c r="G27" t="str">
        <f>'Stats G2'!B28</f>
        <v>Buys</v>
      </c>
      <c r="H27">
        <f>'Stats G2'!C28</f>
        <v>11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5">
      <c r="F28" t="str">
        <f>'Stats G2'!A29</f>
        <v>James</v>
      </c>
      <c r="G28" t="str">
        <f>'Stats G2'!B29</f>
        <v>Kamich</v>
      </c>
      <c r="H28">
        <f>'Stats G2'!C29</f>
        <v>22</v>
      </c>
      <c r="I28">
        <f>'Stats G2'!H29*2+'Stats G2'!N29*3+'Stats G2'!T29</f>
        <v>0</v>
      </c>
      <c r="J28" t="str">
        <f>SUM('Stats G2'!N29+'Stats G2'!H29)&amp;"-"&amp;SUM('Stats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5">
      <c r="F29" t="str">
        <f>'Stats G2'!A30</f>
        <v>Duncan</v>
      </c>
      <c r="G29" t="str">
        <f>'Stats G2'!B30</f>
        <v>Reid</v>
      </c>
      <c r="H29">
        <f>'Stats G2'!C30</f>
        <v>22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5">
      <c r="F30" t="str">
        <f>'Stats G2'!A31</f>
        <v>Darrian</v>
      </c>
      <c r="G30" t="str">
        <f>'Stats G2'!B31</f>
        <v>Briggs</v>
      </c>
      <c r="H30">
        <f>'Stats G2'!C31</f>
        <v>22</v>
      </c>
      <c r="I30">
        <f>'Stats G2'!H31*2+'Stats G2'!N31*3+'Stats G2'!T31</f>
        <v>8</v>
      </c>
      <c r="J30" t="str">
        <f>SUM('Stats G2'!N31+'Stats G2'!H31)&amp;"-"&amp;SUM('Stats G2'!E31+'Stats G2'!K31)</f>
        <v>2-7</v>
      </c>
      <c r="K30" t="str">
        <f>SUM('Stats G2'!N31)&amp;"-"&amp;SUM('Stats G2'!K31)</f>
        <v>1-5</v>
      </c>
      <c r="L30" t="str">
        <f>SUM('Stats G2'!T31)&amp;"-"&amp;SUM('Stats G2'!Q31)</f>
        <v>3-4</v>
      </c>
    </row>
    <row r="31" spans="6:12" x14ac:dyDescent="0.25">
      <c r="F31" t="str">
        <f>'Stats G2'!A32</f>
        <v>Deonte</v>
      </c>
      <c r="G31" t="str">
        <f>'Stats G2'!B32</f>
        <v>Burton</v>
      </c>
      <c r="H31">
        <f>'Stats G2'!C32</f>
        <v>24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5">
      <c r="F32" t="str">
        <f>'Stats G2'!A33</f>
        <v>Jarret</v>
      </c>
      <c r="G32" t="str">
        <f>'Stats G2'!B33</f>
        <v>Jordan</v>
      </c>
      <c r="H32">
        <f>'Stats G2'!C33</f>
        <v>25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Ousmaine</v>
      </c>
      <c r="G33" t="str">
        <f>'Stats G2'!B34</f>
        <v>Dia</v>
      </c>
      <c r="H33">
        <f>'Stats G2'!C34</f>
        <v>30</v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5">
      <c r="F34" t="str">
        <f>'Stats G2'!A35</f>
        <v>Barzin</v>
      </c>
      <c r="G34" t="str">
        <f>'Stats G2'!B35</f>
        <v>Baban</v>
      </c>
      <c r="H34">
        <f>'Stats G2'!C35</f>
        <v>13</v>
      </c>
      <c r="I34">
        <f>'Stats G2'!H35*2+'Stats G2'!N35*3+'Stats G2'!T35</f>
        <v>1</v>
      </c>
      <c r="J34" t="str">
        <f>SUM('Stats G2'!N35+'Stats G2'!H35)&amp;"-"&amp;SUM('Stats G2'!E35+'Stats G2'!K35)</f>
        <v>0-1</v>
      </c>
      <c r="K34" t="str">
        <f>SUM('Stats G2'!N35)&amp;"-"&amp;SUM('Stats G2'!K35)</f>
        <v>0-0</v>
      </c>
      <c r="L34" t="str">
        <f>SUM('Stats G2'!T35)&amp;"-"&amp;SUM('Stats G2'!Q35)</f>
        <v>1-2</v>
      </c>
    </row>
    <row r="35" spans="6:12" x14ac:dyDescent="0.25">
      <c r="F35" t="str">
        <f>'Stats G2'!A36</f>
        <v>Dashan</v>
      </c>
      <c r="G35" t="str">
        <f>'Stats G2'!B36</f>
        <v>Benson</v>
      </c>
      <c r="H35" t="str">
        <f>'Stats G2'!C36</f>
        <v>0-0</v>
      </c>
      <c r="I35">
        <f>'Stats G2'!H36*2+'Stats G2'!N36*3+'Stats G2'!T36</f>
        <v>2</v>
      </c>
      <c r="J35" t="str">
        <f>SUM('Stats G2'!N36+'Stats G2'!H36)&amp;"-"&amp;SUM('Stats G2'!E36+'Stats G2'!K36)</f>
        <v>1-2</v>
      </c>
      <c r="K35" t="str">
        <f>SUM('Stats G2'!N36)&amp;"-"&amp;SUM('Stats G2'!K36)</f>
        <v>0-1</v>
      </c>
      <c r="L35" t="str">
        <f>SUM('Stats G2'!T36)&amp;"-"&amp;SUM('Stats G2'!Q36)</f>
        <v>0-0</v>
      </c>
    </row>
    <row r="36" spans="6:12" x14ac:dyDescent="0.25">
      <c r="F36" t="str">
        <f>'Stats G2'!A37</f>
        <v>Yannick</v>
      </c>
      <c r="G36" t="str">
        <f>'Stats G2'!B37</f>
        <v>Liunga</v>
      </c>
      <c r="H36">
        <f>'Stats G2'!C37</f>
        <v>55</v>
      </c>
      <c r="I36">
        <f>'Stats G2'!H37*2+'Stats G2'!N37*3+'Stats G2'!T37</f>
        <v>16</v>
      </c>
      <c r="J36" t="str">
        <f>SUM('Stats G2'!N37+'Stats G2'!H37)&amp;"-"&amp;SUM('Stats G2'!E37+'Stats G2'!K37)</f>
        <v>6-11</v>
      </c>
      <c r="K36" t="str">
        <f>SUM('Stats G2'!N37)&amp;"-"&amp;SUM('Stats G2'!K37)</f>
        <v>3-6</v>
      </c>
      <c r="L36" t="str">
        <f>SUM('Stats G2'!T37)&amp;"-"&amp;SUM('Stats G2'!Q37)</f>
        <v>1-2</v>
      </c>
    </row>
    <row r="37" spans="6:12" x14ac:dyDescent="0.25">
      <c r="H37" s="2" t="s">
        <v>14</v>
      </c>
      <c r="I37">
        <f>SUM(I22:I36)</f>
        <v>122</v>
      </c>
      <c r="J37" t="str">
        <f>SUM('Stats G2'!N38+'Stats G2'!H38)&amp;"-"&amp;SUM('Stats G2'!E38+'Stats G2'!K38)</f>
        <v>45-89</v>
      </c>
      <c r="K37" t="str">
        <f>SUM('Stats G2'!N38)&amp;"-"&amp;SUM('Stats G2'!K38)</f>
        <v>14-38</v>
      </c>
      <c r="L37" t="str">
        <f>SUM('Stats G2'!T38)&amp;"-"&amp;SUM('Stats G2'!Q38)</f>
        <v>18-29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F25" sqref="F25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24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10</v>
      </c>
      <c r="F5" s="5"/>
      <c r="G5" s="5"/>
      <c r="H5" s="5">
        <v>5</v>
      </c>
      <c r="I5" s="5"/>
      <c r="J5" s="5"/>
      <c r="K5" s="5">
        <v>4</v>
      </c>
      <c r="L5" s="5"/>
      <c r="M5" s="5"/>
      <c r="N5" s="5">
        <v>2</v>
      </c>
      <c r="O5" s="5"/>
      <c r="P5" s="5"/>
      <c r="Q5" s="5">
        <v>4</v>
      </c>
      <c r="R5" s="5"/>
      <c r="S5" s="5"/>
      <c r="T5" s="5">
        <v>3</v>
      </c>
      <c r="U5" s="5"/>
    </row>
    <row r="6" spans="1:21" s="6" customFormat="1" x14ac:dyDescent="0.25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23</v>
      </c>
      <c r="H6" s="6">
        <v>13</v>
      </c>
      <c r="K6" s="6">
        <v>4</v>
      </c>
      <c r="N6" s="6">
        <v>1</v>
      </c>
      <c r="Q6" s="6">
        <v>6</v>
      </c>
      <c r="T6" s="6">
        <v>6</v>
      </c>
    </row>
    <row r="7" spans="1:21" s="6" customFormat="1" x14ac:dyDescent="0.25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8</v>
      </c>
      <c r="F7" s="5"/>
      <c r="G7" s="5"/>
      <c r="H7" s="5">
        <v>2</v>
      </c>
      <c r="I7" s="5"/>
      <c r="J7" s="5"/>
      <c r="K7" s="5">
        <v>7</v>
      </c>
      <c r="L7" s="5"/>
      <c r="M7" s="5"/>
      <c r="N7" s="5">
        <v>5</v>
      </c>
      <c r="O7" s="5"/>
      <c r="P7" s="5"/>
      <c r="Q7" s="5">
        <v>4</v>
      </c>
      <c r="R7" s="5"/>
      <c r="S7" s="5"/>
      <c r="T7" s="5">
        <v>3</v>
      </c>
      <c r="U7" s="5"/>
    </row>
    <row r="8" spans="1:21" s="6" customFormat="1" x14ac:dyDescent="0.25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5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16</v>
      </c>
      <c r="F11" s="5"/>
      <c r="G11" s="5"/>
      <c r="H11" s="5">
        <v>13</v>
      </c>
      <c r="I11" s="5"/>
      <c r="J11" s="5"/>
      <c r="K11" s="5">
        <v>4</v>
      </c>
      <c r="L11" s="5"/>
      <c r="M11" s="5"/>
      <c r="N11" s="5">
        <v>2</v>
      </c>
      <c r="O11" s="5"/>
      <c r="P11" s="5"/>
      <c r="Q11" s="5">
        <v>3</v>
      </c>
      <c r="R11" s="5"/>
      <c r="S11" s="5"/>
      <c r="T11" s="5">
        <v>2</v>
      </c>
      <c r="U11" s="5"/>
    </row>
    <row r="12" spans="1:21" s="6" customFormat="1" x14ac:dyDescent="0.25">
      <c r="A12" s="6" t="str">
        <f>_xlfn.IFNA(VLOOKUP($B$3&amp;ROWS($A$5:A12),Rosters!$B$2:$C$162,2,0),"?")</f>
        <v>Sedrick</v>
      </c>
      <c r="B12" s="6" t="str">
        <f>_xlfn.IFNA(VLOOKUP($B$3&amp;ROWS($B$5:B12),Rosters!$B$2:$D$162,3,0),"?")</f>
        <v>Barefield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5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5">
      <c r="A15" s="5" t="s">
        <v>275</v>
      </c>
      <c r="B15" s="5" t="s">
        <v>276</v>
      </c>
      <c r="C15" s="5">
        <f>_xlfn.IFNA(VLOOKUP($B$3&amp;ROWS($C$5:C15),Rosters!$B$2:$E$162,4,0),"")</f>
        <v>15</v>
      </c>
      <c r="D15" s="5"/>
      <c r="E15" s="5">
        <v>2</v>
      </c>
      <c r="F15" s="5"/>
      <c r="G15" s="5"/>
      <c r="H15" s="5">
        <v>1</v>
      </c>
      <c r="I15" s="5"/>
      <c r="J15" s="5"/>
      <c r="K15" s="5">
        <v>3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5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5">
      <c r="A17" s="5" t="s">
        <v>74</v>
      </c>
      <c r="B17" s="5" t="s">
        <v>277</v>
      </c>
      <c r="C17" s="5">
        <f>_xlfn.IFNA(VLOOKUP($B$3&amp;ROWS($C$5:C17),Rosters!$B$2:$E$162,4,0),"")</f>
        <v>33</v>
      </c>
      <c r="D17" s="5"/>
      <c r="E17" s="5">
        <v>10</v>
      </c>
      <c r="F17" s="5"/>
      <c r="G17" s="5"/>
      <c r="H17" s="5">
        <v>5</v>
      </c>
      <c r="I17" s="5"/>
      <c r="J17" s="5"/>
      <c r="K17" s="5">
        <v>6</v>
      </c>
      <c r="L17" s="5"/>
      <c r="M17" s="5"/>
      <c r="N17" s="5">
        <v>1</v>
      </c>
      <c r="O17" s="5"/>
      <c r="P17" s="5"/>
      <c r="Q17" s="5">
        <v>2</v>
      </c>
      <c r="R17" s="5"/>
      <c r="S17" s="5"/>
      <c r="T17" s="5">
        <v>2</v>
      </c>
      <c r="U17" s="5"/>
    </row>
    <row r="18" spans="1:21" s="6" customFormat="1" x14ac:dyDescent="0.25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69</v>
      </c>
      <c r="H20">
        <f>SUM(H5:H19)</f>
        <v>39</v>
      </c>
      <c r="K20">
        <f>SUM(K5:K19)</f>
        <v>28</v>
      </c>
      <c r="N20">
        <f>SUM(N5:N19)</f>
        <v>11</v>
      </c>
      <c r="Q20">
        <f>SUM(Q5:Q19)</f>
        <v>19</v>
      </c>
      <c r="T20">
        <f>SUM(T5:T19)</f>
        <v>16</v>
      </c>
    </row>
    <row r="21" spans="1:21" x14ac:dyDescent="0.25">
      <c r="A21" s="2" t="s">
        <v>17</v>
      </c>
      <c r="B21" s="1" t="s">
        <v>25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Roman</v>
      </c>
      <c r="B23" s="5" t="str">
        <f>_xlfn.IFNA(VLOOKUP($B$21&amp;ROWS($B$23:B23),Rosters!$B$2:$D$162,3,0),"?")</f>
        <v>McKnight</v>
      </c>
      <c r="C23" s="5">
        <f>_xlfn.IFNA(VLOOKUP($B$21&amp;ROWS($C$23:C23),Rosters!$B$2:$E$162,4,0),"")</f>
        <v>0</v>
      </c>
      <c r="D23" s="5"/>
      <c r="E23" s="5">
        <v>9</v>
      </c>
      <c r="F23" s="5"/>
      <c r="G23" s="5"/>
      <c r="H23" s="5">
        <v>7</v>
      </c>
      <c r="I23" s="5"/>
      <c r="J23" s="5"/>
      <c r="K23" s="5">
        <v>6</v>
      </c>
      <c r="L23" s="5"/>
      <c r="M23" s="5"/>
      <c r="N23" s="5">
        <v>3</v>
      </c>
      <c r="O23" s="5"/>
      <c r="P23" s="5"/>
      <c r="Q23" s="5">
        <v>2</v>
      </c>
      <c r="R23" s="5"/>
      <c r="S23" s="5"/>
      <c r="T23" s="5">
        <v>0</v>
      </c>
      <c r="U23" s="5"/>
    </row>
    <row r="24" spans="1:21" s="6" customFormat="1" x14ac:dyDescent="0.25">
      <c r="A24" s="6" t="str">
        <f>_xlfn.IFNA(VLOOKUP($B$21&amp;ROWS($A$23:A24),Rosters!$B$2:$C$162,2,0),"?")</f>
        <v xml:space="preserve">Brendan </v>
      </c>
      <c r="B24" s="6" t="str">
        <f>_xlfn.IFNA(VLOOKUP($B$21&amp;ROWS($B$23:B24),Rosters!$B$2:$D$162,3,0),"?")</f>
        <v>Bailey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Marquis</v>
      </c>
      <c r="B25" s="5" t="str">
        <f>_xlfn.IFNA(VLOOKUP($B$21&amp;ROWS($B$23:B25),Rosters!$B$2:$D$162,3,0),"?")</f>
        <v>Velez</v>
      </c>
      <c r="C25" s="5">
        <f>_xlfn.IFNA(VLOOKUP($B$21&amp;ROWS($C$23:C25),Rosters!$B$2:$E$162,4,0),"")</f>
        <v>2</v>
      </c>
      <c r="D25" s="5"/>
      <c r="E25" s="5">
        <v>16</v>
      </c>
      <c r="F25" s="5"/>
      <c r="G25" s="5"/>
      <c r="H25" s="5">
        <v>9</v>
      </c>
      <c r="I25" s="5"/>
      <c r="J25" s="5"/>
      <c r="K25" s="5">
        <v>7</v>
      </c>
      <c r="L25" s="5"/>
      <c r="M25" s="5"/>
      <c r="N25" s="5">
        <v>2</v>
      </c>
      <c r="O25" s="5"/>
      <c r="P25" s="5"/>
      <c r="Q25" s="5">
        <v>4</v>
      </c>
      <c r="R25" s="5"/>
      <c r="S25" s="5"/>
      <c r="T25" s="5">
        <v>2</v>
      </c>
      <c r="U25" s="5"/>
    </row>
    <row r="26" spans="1:21" s="6" customFormat="1" x14ac:dyDescent="0.25">
      <c r="A26" s="6" t="str">
        <f>_xlfn.IFNA(VLOOKUP($B$21&amp;ROWS($A$23:A26),Rosters!$B$2:$C$162,2,0),"?")</f>
        <v>Marcus</v>
      </c>
      <c r="B26" s="6" t="str">
        <f>_xlfn.IFNA(VLOOKUP($B$21&amp;ROWS($B$23:B26),Rosters!$B$2:$D$162,3,0),"?")</f>
        <v>Draney</v>
      </c>
      <c r="C26" s="6">
        <f>_xlfn.IFNA(VLOOKUP($B$21&amp;ROWS($C$23:C26),Rosters!$B$2:$E$162,4,0),"")</f>
        <v>4</v>
      </c>
      <c r="E26" s="6">
        <v>11</v>
      </c>
      <c r="H26" s="6">
        <v>6</v>
      </c>
      <c r="K26" s="6">
        <v>6</v>
      </c>
      <c r="N26" s="6">
        <v>2</v>
      </c>
      <c r="Q26" s="6">
        <v>8</v>
      </c>
      <c r="T26" s="6">
        <v>6</v>
      </c>
    </row>
    <row r="27" spans="1:21" s="6" customFormat="1" x14ac:dyDescent="0.25">
      <c r="A27" s="5" t="str">
        <f>_xlfn.IFNA(VLOOKUP($B$21&amp;ROWS($A$23:A27),Rosters!$B$2:$C$162,2,0),"?")</f>
        <v>Stefan</v>
      </c>
      <c r="B27" s="5" t="str">
        <f>_xlfn.IFNA(VLOOKUP($B$21&amp;ROWS($B$23:B27),Rosters!$B$2:$D$162,3,0),"?")</f>
        <v>Briggs</v>
      </c>
      <c r="C27" s="5">
        <f>_xlfn.IFNA(VLOOKUP($B$21&amp;ROWS($C$23:C27),Rosters!$B$2:$E$162,4,0),"")</f>
        <v>8</v>
      </c>
      <c r="D27" s="5"/>
      <c r="E27" s="5">
        <v>6</v>
      </c>
      <c r="F27" s="5"/>
      <c r="G27" s="5"/>
      <c r="H27" s="5">
        <v>4</v>
      </c>
      <c r="I27" s="5"/>
      <c r="J27" s="5"/>
      <c r="K27" s="5">
        <v>7</v>
      </c>
      <c r="L27" s="5"/>
      <c r="M27" s="5"/>
      <c r="N27" s="5">
        <v>3</v>
      </c>
      <c r="O27" s="5"/>
      <c r="P27" s="5"/>
      <c r="Q27" s="5">
        <v>7</v>
      </c>
      <c r="R27" s="5"/>
      <c r="S27" s="5"/>
      <c r="T27" s="5">
        <v>5</v>
      </c>
      <c r="U27" s="5"/>
    </row>
    <row r="28" spans="1:21" s="6" customFormat="1" x14ac:dyDescent="0.25">
      <c r="A28" s="6" t="str">
        <f>_xlfn.IFNA(VLOOKUP($B$21&amp;ROWS($A$23:A28),Rosters!$B$2:$C$162,2,0),"?")</f>
        <v>Derrick</v>
      </c>
      <c r="B28" s="6" t="str">
        <f>_xlfn.IFNA(VLOOKUP($B$21&amp;ROWS($B$23:B28),Rosters!$B$2:$D$162,3,0),"?")</f>
        <v>Buys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James</v>
      </c>
      <c r="B29" s="5" t="str">
        <f>_xlfn.IFNA(VLOOKUP($B$21&amp;ROWS($B$23:B29),Rosters!$B$2:$D$162,3,0),"?")</f>
        <v>Kamich</v>
      </c>
      <c r="C29" s="5">
        <f>_xlfn.IFNA(VLOOKUP($B$21&amp;ROWS($C$23:C29),Rosters!$B$2:$E$162,4,0),"")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5">
      <c r="A30" s="6" t="str">
        <f>_xlfn.IFNA(VLOOKUP($B$21&amp;ROWS($A$23:A30),Rosters!$B$2:$C$162,2,0),"?")</f>
        <v>Duncan</v>
      </c>
      <c r="B30" s="6" t="str">
        <f>_xlfn.IFNA(VLOOKUP($B$21&amp;ROWS($B$23:B30),Rosters!$B$2:$D$162,3,0),"?")</f>
        <v>Reid</v>
      </c>
      <c r="C30" s="6">
        <f>_xlfn.IFNA(VLOOKUP($B$21&amp;ROWS($C$23:C30),Rosters!$B$2:$E$162,4,0),"")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5">
      <c r="A31" s="5" t="str">
        <f>_xlfn.IFNA(VLOOKUP($B$21&amp;ROWS($A$23:A31),Rosters!$B$2:$C$162,2,0),"?")</f>
        <v>Darrian</v>
      </c>
      <c r="B31" s="5" t="str">
        <f>_xlfn.IFNA(VLOOKUP($B$21&amp;ROWS($B$23:B31),Rosters!$B$2:$D$162,3,0),"?")</f>
        <v>Briggs</v>
      </c>
      <c r="C31" s="5">
        <f>_xlfn.IFNA(VLOOKUP($B$21&amp;ROWS($C$23:C31),Rosters!$B$2:$E$162,4,0),"")</f>
        <v>22</v>
      </c>
      <c r="D31" s="5"/>
      <c r="E31" s="5">
        <v>2</v>
      </c>
      <c r="F31" s="5"/>
      <c r="G31" s="5"/>
      <c r="H31" s="5">
        <v>1</v>
      </c>
      <c r="I31" s="5"/>
      <c r="J31" s="5"/>
      <c r="K31" s="5">
        <v>5</v>
      </c>
      <c r="L31" s="5"/>
      <c r="M31" s="5"/>
      <c r="N31" s="5">
        <v>1</v>
      </c>
      <c r="O31" s="5"/>
      <c r="P31" s="5"/>
      <c r="Q31" s="5">
        <v>4</v>
      </c>
      <c r="R31" s="5"/>
      <c r="S31" s="5"/>
      <c r="T31" s="5">
        <v>3</v>
      </c>
      <c r="U31" s="5"/>
    </row>
    <row r="32" spans="1:21" s="6" customFormat="1" x14ac:dyDescent="0.25">
      <c r="A32" s="6" t="str">
        <f>_xlfn.IFNA(VLOOKUP($B$21&amp;ROWS($A$23:A32),Rosters!$B$2:$C$162,2,0),"?")</f>
        <v>Deonte</v>
      </c>
      <c r="B32" s="6" t="str">
        <f>_xlfn.IFNA(VLOOKUP($B$21&amp;ROWS($B$23:B32),Rosters!$B$2:$D$162,3,0),"?")</f>
        <v>Burton</v>
      </c>
      <c r="C32" s="6">
        <f>_xlfn.IFNA(VLOOKUP($B$21&amp;ROWS($C$23:C32),Rosters!$B$2:$E$162,4,0),"")</f>
        <v>24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Jarret</v>
      </c>
      <c r="B33" s="5" t="str">
        <f>_xlfn.IFNA(VLOOKUP($B$21&amp;ROWS($B$23:B33),Rosters!$B$2:$D$162,3,0),"?")</f>
        <v>Jordan</v>
      </c>
      <c r="C33" s="5">
        <f>_xlfn.IFNA(VLOOKUP($B$21&amp;ROWS($C$23:C33),Rosters!$B$2:$E$162,4,0),"")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Ousmaine</v>
      </c>
      <c r="B34" s="6" t="str">
        <f>_xlfn.IFNA(VLOOKUP($B$21&amp;ROWS($B$23:B34),Rosters!$B$2:$D$162,3,0),"?")</f>
        <v>Dia</v>
      </c>
      <c r="C34" s="6">
        <f>_xlfn.IFNA(VLOOKUP($B$21&amp;ROWS($C$23:C34),Rosters!$B$2:$E$162,4,0),"")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">
        <v>283</v>
      </c>
      <c r="B35" s="5" t="s">
        <v>284</v>
      </c>
      <c r="C35" s="5">
        <v>13</v>
      </c>
      <c r="D35" s="5"/>
      <c r="E35" s="5">
        <v>1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1</v>
      </c>
      <c r="U35" s="5"/>
    </row>
    <row r="36" spans="1:21" s="6" customFormat="1" x14ac:dyDescent="0.25">
      <c r="A36" s="6" t="s">
        <v>279</v>
      </c>
      <c r="B36" s="6" t="s">
        <v>280</v>
      </c>
      <c r="C36" s="6" t="s">
        <v>278</v>
      </c>
      <c r="D36"/>
      <c r="E36" s="6">
        <v>1</v>
      </c>
      <c r="F36"/>
      <c r="G36"/>
      <c r="H36" s="6">
        <v>1</v>
      </c>
      <c r="I36"/>
      <c r="J36"/>
      <c r="K36" s="6">
        <v>1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">
        <v>281</v>
      </c>
      <c r="B37" s="5" t="s">
        <v>282</v>
      </c>
      <c r="C37" s="5">
        <v>55</v>
      </c>
      <c r="D37" s="5"/>
      <c r="E37" s="5">
        <v>5</v>
      </c>
      <c r="F37" s="5"/>
      <c r="G37" s="5"/>
      <c r="H37" s="5">
        <v>3</v>
      </c>
      <c r="I37" s="5"/>
      <c r="J37" s="5"/>
      <c r="K37" s="5">
        <v>6</v>
      </c>
      <c r="L37" s="5"/>
      <c r="M37" s="5"/>
      <c r="N37" s="5">
        <v>3</v>
      </c>
      <c r="O37" s="5"/>
      <c r="P37" s="5"/>
      <c r="Q37" s="5">
        <v>2</v>
      </c>
      <c r="R37" s="5"/>
      <c r="S37" s="5"/>
      <c r="T37" s="5">
        <v>1</v>
      </c>
      <c r="U37" s="5"/>
    </row>
    <row r="38" spans="1:21" x14ac:dyDescent="0.25">
      <c r="E38">
        <f>SUM(E23:E37)</f>
        <v>51</v>
      </c>
      <c r="H38">
        <f>SUM(H23:H37)</f>
        <v>31</v>
      </c>
      <c r="K38">
        <f>SUM(K23:K37)</f>
        <v>38</v>
      </c>
      <c r="N38">
        <f>SUM(N23:N37)</f>
        <v>14</v>
      </c>
      <c r="Q38">
        <f>SUM(Q23:Q37)</f>
        <v>29</v>
      </c>
      <c r="T38">
        <f>SUM(T23:T37)</f>
        <v>18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2021-07-16T13:59:37Z</dcterms:modified>
</cp:coreProperties>
</file>