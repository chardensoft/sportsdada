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bergeson/Downloads/"/>
    </mc:Choice>
  </mc:AlternateContent>
  <xr:revisionPtr revIDLastSave="0" documentId="13_ncr:1_{52671A84-9956-0543-AEAF-FFF96530CBF2}" xr6:coauthVersionLast="47" xr6:coauthVersionMax="47" xr10:uidLastSave="{00000000-0000-0000-0000-000000000000}"/>
  <bookViews>
    <workbookView xWindow="0" yWindow="0" windowWidth="28800" windowHeight="1800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18" i="2" l="1"/>
  <c r="L37" i="2"/>
  <c r="K37" i="2"/>
  <c r="J37" i="2"/>
  <c r="K18" i="2"/>
  <c r="J18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H5" i="2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<sst xmlns="http://schemas.openxmlformats.org/spreadsheetml/2006/main" count="354" uniqueCount="222">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</sst>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Team Berger</v>
      </c>
    </row>
    <row r="2" spans="2:12" x14ac:dyDescent="0.2">
      <c r="B2" t="str">
        <f>G1</f>
        <v>Team Berger</v>
      </c>
      <c r="D2" t="str">
        <f>G20</f>
        <v>Team Bullock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138</v>
      </c>
      <c r="C3" s="3" t="s">
        <v>13</v>
      </c>
      <c r="D3" s="4">
        <f>I37</f>
        <v>84</v>
      </c>
      <c r="F3" t="str">
        <f>'Stats G2'!A5</f>
        <v>Sean</v>
      </c>
      <c r="G3" t="str">
        <f>'Stats G2'!B5</f>
        <v>Harris</v>
      </c>
      <c r="H3">
        <f>'Stats G2'!C5</f>
        <v>60</v>
      </c>
      <c r="I3">
        <f>'Stats G2'!H5*2+'Stats G2'!N5*3+'Stats G2'!T5</f>
        <v>9</v>
      </c>
      <c r="J3" t="str">
        <f>SUM('Stats G2'!H5+'Stats G2'!N5)&amp;"-"&amp;SUM('Stats G2'!E5+'Stats G2'!K5)</f>
        <v>4-8</v>
      </c>
      <c r="K3" t="str">
        <f>SUM('Stats G2'!N5)&amp;"-"&amp;SUM('Stats G2'!K5)</f>
        <v>1-3</v>
      </c>
      <c r="L3" t="str">
        <f>SUM('Stats G2'!T5)&amp;"-"&amp;SUM('Stats G2'!Q5)</f>
        <v>0-0</v>
      </c>
    </row>
    <row r="4" spans="2:12" x14ac:dyDescent="0.2">
      <c r="F4" t="str">
        <f>'Stats G2'!A6</f>
        <v>Parker</v>
      </c>
      <c r="G4" t="str">
        <f>'Stats G2'!B6</f>
        <v>Van Dyke</v>
      </c>
      <c r="H4">
        <f>'Stats G2'!C6</f>
        <v>7</v>
      </c>
      <c r="I4">
        <f>'Stats G2'!H6*2+'Stats G2'!N6*3+'Stats G2'!T6</f>
        <v>33</v>
      </c>
      <c r="J4" t="str">
        <f>SUM('Stats G2'!H6+'Stats G2'!N6)&amp;"-"&amp;SUM('Stats G2'!E6+'Stats G2'!K6)</f>
        <v>13-23</v>
      </c>
      <c r="K4" t="str">
        <f>SUM('Stats G2'!N6)&amp;"-"&amp;SUM('Stats G2'!K6)</f>
        <v>6-13</v>
      </c>
      <c r="L4" t="str">
        <f>SUM('Stats G2'!T6)&amp;"-"&amp;SUM('Stats G2'!Q6)</f>
        <v>1-1</v>
      </c>
    </row>
    <row r="5" spans="2:12" x14ac:dyDescent="0.2">
      <c r="F5" t="str">
        <f>'Stats G2'!A7</f>
        <v>Danny</v>
      </c>
      <c r="G5" t="str">
        <f>'Stats G2'!B7</f>
        <v>Berger</v>
      </c>
      <c r="H5">
        <f>'Stats G2'!C7</f>
        <v>10</v>
      </c>
      <c r="I5">
        <f>'Stats G2'!H7*2+'Stats G2'!N7*3+'Stats G2'!T7</f>
        <v>4</v>
      </c>
      <c r="J5" t="str">
        <f>SUM('Stats G2'!H7+'Stats G2'!N7)&amp;"-"&amp;SUM('Stats G2'!E7+'Stats G2'!K7)</f>
        <v>1-5</v>
      </c>
      <c r="K5" t="str">
        <f>SUM('Stats G2'!N7)&amp;"-"&amp;SUM('Stats G2'!K7)</f>
        <v>0-2</v>
      </c>
      <c r="L5" t="str">
        <f>SUM('Stats G2'!T7)&amp;"-"&amp;SUM('Stats G2'!Q7)</f>
        <v>2-2</v>
      </c>
    </row>
    <row r="6" spans="2:12" x14ac:dyDescent="0.2">
      <c r="F6" t="str">
        <f>'Stats G2'!A8</f>
        <v>Zac</v>
      </c>
      <c r="G6" t="str">
        <f>'Stats G2'!B8</f>
        <v>Seljaas</v>
      </c>
      <c r="H6">
        <f>'Stats G2'!C8</f>
        <v>99</v>
      </c>
      <c r="I6">
        <f>'Stats G2'!H8*2+'Stats G2'!N8*3+'Stats G2'!T8</f>
        <v>32</v>
      </c>
      <c r="J6" t="str">
        <f>SUM('Stats G2'!H8+'Stats G2'!N8)&amp;"-"&amp;SUM('Stats G2'!E8+'Stats G2'!K8)</f>
        <v>11-22</v>
      </c>
      <c r="K6" t="str">
        <f>SUM('Stats G2'!N8)&amp;"-"&amp;SUM('Stats G2'!K8)</f>
        <v>6-15</v>
      </c>
      <c r="L6" t="str">
        <f>SUM('Stats G2'!T8)&amp;"-"&amp;SUM('Stats G2'!Q8)</f>
        <v>4-4</v>
      </c>
    </row>
    <row r="7" spans="2:12" x14ac:dyDescent="0.2">
      <c r="F7" t="str">
        <f>'Stats G2'!A9</f>
        <v>Peter</v>
      </c>
      <c r="G7" t="str">
        <f>'Stats G2'!B9</f>
        <v>Brown</v>
      </c>
      <c r="H7">
        <f>'Stats G2'!C9</f>
        <v>33</v>
      </c>
      <c r="I7">
        <f>'Stats G2'!H9*2+'Stats G2'!N9*3+'Stats G2'!T9</f>
        <v>17</v>
      </c>
      <c r="J7" t="str">
        <f>SUM('Stats G2'!H9+'Stats G2'!N9)&amp;"-"&amp;SUM('Stats G2'!E9+'Stats G2'!K9)</f>
        <v>7-9</v>
      </c>
      <c r="K7" t="str">
        <f>SUM('Stats G2'!N9)&amp;"-"&amp;SUM('Stats G2'!K9)</f>
        <v>1-1</v>
      </c>
      <c r="L7" t="str">
        <f>SUM('Stats G2'!T9)&amp;"-"&amp;SUM('Stats G2'!Q9)</f>
        <v>2-2</v>
      </c>
    </row>
    <row r="8" spans="2:12" x14ac:dyDescent="0.2">
      <c r="F8" t="str">
        <f>'Stats G2'!A10</f>
        <v>Zavon</v>
      </c>
      <c r="G8" t="str">
        <f>'Stats G2'!B10</f>
        <v>Jackson</v>
      </c>
      <c r="H8">
        <f>'Stats G2'!C10</f>
        <v>24</v>
      </c>
      <c r="I8">
        <f>'Stats G2'!H10*2+'Stats G2'!N10*3+'Stats G2'!T10</f>
        <v>27</v>
      </c>
      <c r="J8" t="str">
        <f>SUM('Stats G2'!H10+'Stats G2'!N10)&amp;"-"&amp;SUM('Stats G2'!E10+'Stats G2'!K10)</f>
        <v>11-13</v>
      </c>
      <c r="K8" t="str">
        <f>SUM('Stats G2'!N10)&amp;"-"&amp;SUM('Stats G2'!K10)</f>
        <v>1-1</v>
      </c>
      <c r="L8" t="str">
        <f>SUM('Stats G2'!T10)&amp;"-"&amp;SUM('Stats G2'!Q10)</f>
        <v>4-5</v>
      </c>
    </row>
    <row r="9" spans="2:12" x14ac:dyDescent="0.2">
      <c r="F9" t="str">
        <f>'Stats G2'!A11</f>
        <v>Spencer</v>
      </c>
      <c r="G9" t="str">
        <f>'Stats G2'!B11</f>
        <v>Butterfield</v>
      </c>
      <c r="H9">
        <f>'Stats G2'!C11</f>
        <v>21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Rylan</v>
      </c>
      <c r="G10" t="str">
        <f>'Stats G2'!B12</f>
        <v>Jones</v>
      </c>
      <c r="H10">
        <f>'Stats G2'!C12</f>
        <v>15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Brandon</v>
      </c>
      <c r="G11" t="str">
        <f>'Stats G2'!B13</f>
        <v>Sly</v>
      </c>
      <c r="H11">
        <f>'Stats G2'!C13</f>
        <v>2</v>
      </c>
      <c r="I11">
        <f>'Stats G2'!H13*2+'Stats G2'!N13*3+'Stats G2'!T13</f>
        <v>16</v>
      </c>
      <c r="J11" t="str">
        <f>SUM('Stats G2'!H13+'Stats G2'!N13)&amp;"-"&amp;SUM('Stats G2'!E13+'Stats G2'!K13)</f>
        <v>8-12</v>
      </c>
      <c r="K11" t="str">
        <f>SUM('Stats G2'!N13)&amp;"-"&amp;SUM('Stats G2'!K13)</f>
        <v>0-2</v>
      </c>
      <c r="L11" t="str">
        <f>SUM('Stats G2'!T13)&amp;"-"&amp;SUM('Stats G2'!Q13)</f>
        <v>0-0</v>
      </c>
    </row>
    <row r="12" spans="2:12" x14ac:dyDescent="0.2">
      <c r="F12" t="str">
        <f>'Stats G2'!A14</f>
        <v>Viko</v>
      </c>
      <c r="G12" t="str">
        <f>'Stats G2'!B14</f>
        <v>Noma'aea</v>
      </c>
      <c r="H12">
        <f>'Stats G2'!C14</f>
        <v>6</v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Steven</v>
      </c>
      <c r="G13" t="str">
        <f>'Stats G2'!B15</f>
        <v>Ashworth</v>
      </c>
      <c r="H13">
        <f>'Stats G2'!C15</f>
        <v>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138</v>
      </c>
      <c r="J18" t="str">
        <f>SUM('Stats G2'!H20+'Stats G2'!N20)&amp;"-"&amp;SUM('Stats G2'!E20+'Stats G2'!K20)</f>
        <v>55-92</v>
      </c>
      <c r="K18" t="str">
        <f>SUM('Stats G2'!N20)&amp;"-"&amp;SUM('Stats G2'!K20)</f>
        <v>15-37</v>
      </c>
      <c r="L18" t="str">
        <f>SUM('Stats G2'!T20)&amp;"-"&amp;SUM('Stats G2'!Q20)</f>
        <v>13-14</v>
      </c>
    </row>
    <row r="20" spans="6:12" x14ac:dyDescent="0.2">
      <c r="F20" t="s">
        <v>11</v>
      </c>
      <c r="G20" t="str">
        <f>'Stats G2'!B21</f>
        <v>Team Bullock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Tyus</v>
      </c>
      <c r="G22" t="str">
        <f>'Stats G2'!B23</f>
        <v>Jefferson</v>
      </c>
      <c r="H22">
        <f>'Stats G2'!C23</f>
        <v>3</v>
      </c>
      <c r="I22">
        <f>'Stats G2'!H23*2+'Stats G2'!N23*3+'Stats G2'!T23</f>
        <v>4</v>
      </c>
      <c r="J22" t="str">
        <f>SUM('Stats G2'!H23+'Stats G2'!N23)&amp;"-"&amp;SUM('Stats G2'!E23+'Stats G2'!K23)</f>
        <v>2-5</v>
      </c>
      <c r="K22" t="str">
        <f>SUM('Stats G2'!N23)&amp;"-"&amp;SUM('Stats G2'!K23)</f>
        <v>0-1</v>
      </c>
      <c r="L22" t="str">
        <f>SUM('Stats G2'!T23)&amp;"-"&amp;SUM('Stats G2'!Q23)</f>
        <v>0-0</v>
      </c>
    </row>
    <row r="23" spans="6:12" x14ac:dyDescent="0.2">
      <c r="F23" t="str">
        <f>'Stats G2'!A24</f>
        <v>Jordan</v>
      </c>
      <c r="G23" t="str">
        <f>'Stats G2'!B24</f>
        <v>Loveridge</v>
      </c>
      <c r="H23">
        <f>'Stats G2'!C24</f>
        <v>21</v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Kyndayl</v>
      </c>
      <c r="G24" t="str">
        <f>'Stats G2'!B25</f>
        <v>Hill</v>
      </c>
      <c r="H24">
        <f>'Stats G2'!C25</f>
        <v>15</v>
      </c>
      <c r="I24">
        <f>'Stats G2'!H25*2+'Stats G2'!N25*3+'Stats G2'!T25</f>
        <v>6</v>
      </c>
      <c r="J24" t="str">
        <f>SUM('Stats G2'!H25+'Stats G2'!N25)&amp;"-"&amp;SUM('Stats G2'!E25+'Stats G2'!K25)</f>
        <v>1-14</v>
      </c>
      <c r="K24" t="str">
        <f>SUM('Stats G2'!N25)&amp;"-"&amp;SUM('Stats G2'!K25)</f>
        <v>0-3</v>
      </c>
      <c r="L24" t="str">
        <f>SUM('Stats G2'!T25)&amp;"-"&amp;SUM('Stats G2'!Q25)</f>
        <v>4-6</v>
      </c>
    </row>
    <row r="25" spans="6:12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G2'!H26*2+'Stats G2'!N26*3+'Stats G2'!T26</f>
        <v>13</v>
      </c>
      <c r="J25" t="str">
        <f>SUM('Stats G2'!H26+'Stats G2'!N26)&amp;"-"&amp;SUM('Stats G2'!E26+'Stats G2'!K26)</f>
        <v>6-7</v>
      </c>
      <c r="K25" t="str">
        <f>SUM('Stats G2'!N26)&amp;"-"&amp;SUM('Stats G2'!K26)</f>
        <v>1-2</v>
      </c>
      <c r="L25" t="str">
        <f>SUM('Stats G2'!T26)&amp;"-"&amp;SUM('Stats G2'!Q26)</f>
        <v>0-0</v>
      </c>
    </row>
    <row r="26" spans="6:12" x14ac:dyDescent="0.2">
      <c r="F26" t="str">
        <f>'Stats G2'!A27</f>
        <v>Charles</v>
      </c>
      <c r="G26" t="str">
        <f>'Stats G2'!B27</f>
        <v>Nann</v>
      </c>
      <c r="H26">
        <f>'Stats G2'!C27</f>
        <v>7</v>
      </c>
      <c r="I26">
        <f>'Stats G2'!H27*2+'Stats G2'!N27*3+'Stats G2'!T27</f>
        <v>8</v>
      </c>
      <c r="J26" t="str">
        <f>SUM('Stats G2'!H27+'Stats G2'!N27)&amp;"-"&amp;SUM('Stats G2'!E27+'Stats G2'!K27)</f>
        <v>4-9</v>
      </c>
      <c r="K26" t="str">
        <f>SUM('Stats G2'!N27)&amp;"-"&amp;SUM('Stats G2'!K27)</f>
        <v>0-2</v>
      </c>
      <c r="L26" t="str">
        <f>SUM('Stats G2'!T27)&amp;"-"&amp;SUM('Stats G2'!Q27)</f>
        <v>0-0</v>
      </c>
    </row>
    <row r="27" spans="6:12" x14ac:dyDescent="0.2">
      <c r="F27" t="str">
        <f>'Stats G2'!A28</f>
        <v>Marqus</v>
      </c>
      <c r="G27" t="str">
        <f>'Stats G2'!B28</f>
        <v>Gilson</v>
      </c>
      <c r="H27">
        <f>'Stats G2'!C28</f>
        <v>24</v>
      </c>
      <c r="I27">
        <f>'Stats G2'!H28*2+'Stats G2'!N28*3+'Stats G2'!T28</f>
        <v>23</v>
      </c>
      <c r="J27" t="str">
        <f>SUM('Stats G2'!H28+'Stats G2'!N28)&amp;"-"&amp;SUM('Stats G2'!E28+'Stats G2'!K28)</f>
        <v>10-15</v>
      </c>
      <c r="K27" t="str">
        <f>SUM('Stats G2'!N28)&amp;"-"&amp;SUM('Stats G2'!K28)</f>
        <v>0-2</v>
      </c>
      <c r="L27" t="str">
        <f>SUM('Stats G2'!T28)&amp;"-"&amp;SUM('Stats G2'!Q28)</f>
        <v>3-6</v>
      </c>
    </row>
    <row r="28" spans="6:12" x14ac:dyDescent="0.2">
      <c r="F28" t="str">
        <f>'Stats G2'!A29</f>
        <v>Ray</v>
      </c>
      <c r="G28" t="str">
        <f>'Stats G2'!B29</f>
        <v>Gallegos</v>
      </c>
      <c r="H28">
        <f>'Stats G2'!C29</f>
        <v>8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Colton</v>
      </c>
      <c r="G29" t="str">
        <f>'Stats G2'!B30</f>
        <v>Burgon</v>
      </c>
      <c r="H29">
        <f>'Stats G2'!C30</f>
        <v>20</v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Thomas</v>
      </c>
      <c r="G30" t="str">
        <f>'Stats G2'!B31</f>
        <v>Bullock</v>
      </c>
      <c r="H30">
        <f>'Stats G2'!C31</f>
        <v>22</v>
      </c>
      <c r="I30">
        <f>'Stats G2'!H31*2+'Stats G2'!N31*3+'Stats G2'!T31</f>
        <v>8</v>
      </c>
      <c r="J30" t="str">
        <f>SUM('Stats G2'!H31+'Stats G2'!N31)&amp;"-"&amp;SUM('Stats G2'!E31+'Stats G2'!K31)</f>
        <v>3-15</v>
      </c>
      <c r="K30" t="str">
        <f>SUM('Stats G2'!N31)&amp;"-"&amp;SUM('Stats G2'!K31)</f>
        <v>0-5</v>
      </c>
      <c r="L30" t="str">
        <f>SUM('Stats G2'!T31)&amp;"-"&amp;SUM('Stats G2'!Q31)</f>
        <v>2-2</v>
      </c>
    </row>
    <row r="31" spans="6:12" x14ac:dyDescent="0.2">
      <c r="F31" t="str">
        <f>'Stats G2'!A32</f>
        <v>Tyler</v>
      </c>
      <c r="G31" t="str">
        <f>'Stats G2'!B32</f>
        <v>Burgess</v>
      </c>
      <c r="H31">
        <f>'Stats G2'!C32</f>
        <v>23</v>
      </c>
      <c r="I31">
        <f>'Stats G2'!H32*2+'Stats G2'!N32*3+'Stats G2'!T32</f>
        <v>10</v>
      </c>
      <c r="J31" t="str">
        <f>SUM('Stats G2'!H32+'Stats G2'!N32)&amp;"-"&amp;SUM('Stats G2'!E32+'Stats G2'!K32)</f>
        <v>4-11</v>
      </c>
      <c r="K31" t="str">
        <f>SUM('Stats G2'!N32)&amp;"-"&amp;SUM('Stats G2'!K32)</f>
        <v>2-7</v>
      </c>
      <c r="L31" t="str">
        <f>SUM('Stats G2'!T32)&amp;"-"&amp;SUM('Stats G2'!Q32)</f>
        <v>0-0</v>
      </c>
    </row>
    <row r="32" spans="6:12" x14ac:dyDescent="0.2">
      <c r="F32" t="str">
        <f>'Stats G2'!A33</f>
        <v>Kentrell</v>
      </c>
      <c r="G32" t="str">
        <f>'Stats G2'!B33</f>
        <v>Barkley</v>
      </c>
      <c r="H32">
        <f>'Stats G2'!C33</f>
        <v>12</v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Brenden</v>
      </c>
      <c r="G33" t="str">
        <f>'Stats G2'!B34</f>
        <v>Morris</v>
      </c>
      <c r="H33">
        <f>'Stats G2'!C34</f>
        <v>23</v>
      </c>
      <c r="I33">
        <f>'Stats G2'!H34*2+'Stats G2'!N34*3+'Stats G2'!T34</f>
        <v>12</v>
      </c>
      <c r="J33" t="str">
        <f>SUM('Stats G2'!H34+'Stats G2'!N34)&amp;"-"&amp;SUM('Stats G2'!E34+'Stats G2'!K34)</f>
        <v>5-11</v>
      </c>
      <c r="K33" t="str">
        <f>SUM('Stats G2'!N34)&amp;"-"&amp;SUM('Stats G2'!K34)</f>
        <v>2-3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84</v>
      </c>
      <c r="J37" t="str">
        <f>SUM('Stats G2'!H38+'Stats G2'!N38)&amp;"-"&amp;SUM('Stats G2'!E38+'Stats G2'!K38)</f>
        <v>35-87</v>
      </c>
      <c r="K37" t="str">
        <f>SUM('Stats G2'!N38)&amp;"-"&amp;SUM('Stats G2'!K38)</f>
        <v>5-25</v>
      </c>
      <c r="L37" t="str">
        <f>SUM('Stats G2'!T38)&amp;"-"&amp;SUM('Stats G2'!Q38)</f>
        <v>9-14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AB34" sqref="AB3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151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Sean</v>
      </c>
      <c r="B5" s="5" t="str">
        <f>_xlfn.IFNA(VLOOKUP($B$3&amp;ROWS($B$5:B5),Rosters!$B$2:$D$163,3,0),"?")</f>
        <v>Harris</v>
      </c>
      <c r="C5" s="5">
        <f>_xlfn.IFNA(VLOOKUP($B$3&amp;ROWS($C$5:C5),Rosters!$B$2:$E$163,4,0),"")</f>
        <v>60</v>
      </c>
      <c r="D5" s="5"/>
      <c r="E5" s="5">
        <v>5</v>
      </c>
      <c r="F5" s="5"/>
      <c r="G5" s="5"/>
      <c r="H5" s="5">
        <v>3</v>
      </c>
      <c r="I5" s="5"/>
      <c r="J5" s="5"/>
      <c r="K5" s="5">
        <v>3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Parker</v>
      </c>
      <c r="B6" s="6" t="str">
        <f>_xlfn.IFNA(VLOOKUP($B$3&amp;ROWS($B$5:B6),Rosters!$B$2:$D$163,3,0),"?")</f>
        <v>Van Dyke</v>
      </c>
      <c r="C6" s="6">
        <f>_xlfn.IFNA(VLOOKUP($B$3&amp;ROWS($C$5:C6),Rosters!$B$2:$E$163,4,0),"")</f>
        <v>7</v>
      </c>
      <c r="E6" s="6">
        <v>10</v>
      </c>
      <c r="H6" s="6">
        <v>7</v>
      </c>
      <c r="K6" s="6">
        <v>13</v>
      </c>
      <c r="N6" s="6">
        <v>6</v>
      </c>
      <c r="Q6" s="6">
        <v>1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Danny</v>
      </c>
      <c r="B7" s="5" t="str">
        <f>_xlfn.IFNA(VLOOKUP($B$3&amp;ROWS($B$5:B7),Rosters!$B$2:$D$163,3,0),"?")</f>
        <v>Berger</v>
      </c>
      <c r="C7" s="5">
        <v>10</v>
      </c>
      <c r="D7" s="5"/>
      <c r="E7" s="5">
        <v>3</v>
      </c>
      <c r="F7" s="5"/>
      <c r="G7" s="5"/>
      <c r="H7" s="5">
        <v>1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2</v>
      </c>
      <c r="R7" s="5"/>
      <c r="S7" s="5"/>
      <c r="T7" s="5">
        <v>2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Zac</v>
      </c>
      <c r="B8" s="6" t="str">
        <f>_xlfn.IFNA(VLOOKUP($B$3&amp;ROWS($B$5:B8),Rosters!$B$2:$D$163,3,0),"?")</f>
        <v>Seljaas</v>
      </c>
      <c r="C8" s="6">
        <f>_xlfn.IFNA(VLOOKUP($B$3&amp;ROWS($C$5:C8),Rosters!$B$2:$E$163,4,0),"")</f>
        <v>99</v>
      </c>
      <c r="E8" s="6">
        <v>7</v>
      </c>
      <c r="H8" s="6">
        <v>5</v>
      </c>
      <c r="K8" s="6">
        <v>15</v>
      </c>
      <c r="N8" s="6">
        <v>6</v>
      </c>
      <c r="Q8" s="6">
        <v>4</v>
      </c>
      <c r="T8" s="6">
        <v>4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Peter</v>
      </c>
      <c r="B9" s="5" t="str">
        <f>_xlfn.IFNA(VLOOKUP($B$3&amp;ROWS($B$5:B9),Rosters!$B$2:$D$163,3,0),"?")</f>
        <v>Brown</v>
      </c>
      <c r="C9" s="5">
        <f>_xlfn.IFNA(VLOOKUP($B$3&amp;ROWS($C$5:C9),Rosters!$B$2:$E$163,4,0),"")</f>
        <v>33</v>
      </c>
      <c r="D9" s="5"/>
      <c r="E9" s="5">
        <v>8</v>
      </c>
      <c r="F9" s="5"/>
      <c r="G9" s="5"/>
      <c r="H9" s="5">
        <v>6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2</v>
      </c>
      <c r="R9" s="5"/>
      <c r="S9" s="5"/>
      <c r="T9" s="5">
        <v>2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Zavon</v>
      </c>
      <c r="B10" s="6" t="str">
        <f>_xlfn.IFNA(VLOOKUP($B$3&amp;ROWS($B$5:B10),Rosters!$B$2:$D$163,3,0),"?")</f>
        <v>Jackson</v>
      </c>
      <c r="C10" s="6">
        <f>_xlfn.IFNA(VLOOKUP($B$3&amp;ROWS($C$5:C10),Rosters!$B$2:$E$163,4,0),"")</f>
        <v>24</v>
      </c>
      <c r="E10" s="6">
        <v>12</v>
      </c>
      <c r="H10" s="6">
        <v>10</v>
      </c>
      <c r="K10" s="6">
        <v>1</v>
      </c>
      <c r="N10" s="6">
        <v>1</v>
      </c>
      <c r="Q10" s="6">
        <v>5</v>
      </c>
      <c r="T10" s="6">
        <v>4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Spencer</v>
      </c>
      <c r="B11" s="5" t="str">
        <f>_xlfn.IFNA(VLOOKUP($B$3&amp;ROWS($B$5:B11),Rosters!$B$2:$D$163,3,0),"?")</f>
        <v>Butterfield</v>
      </c>
      <c r="C11" s="5">
        <f>_xlfn.IFNA(VLOOKUP($B$3&amp;ROWS($C$5:C11),Rosters!$B$2:$E$163,4,0),"")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Rylan</v>
      </c>
      <c r="B12" s="6" t="str">
        <f>_xlfn.IFNA(VLOOKUP($B$3&amp;ROWS($B$5:B12),Rosters!$B$2:$D$163,3,0),"?")</f>
        <v>Jones</v>
      </c>
      <c r="C12" s="6">
        <f>_xlfn.IFNA(VLOOKUP($B$3&amp;ROWS($C$5:C12),Rosters!$B$2:$E$163,4,0),"")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Brandon</v>
      </c>
      <c r="B13" s="5" t="str">
        <f>_xlfn.IFNA(VLOOKUP($B$3&amp;ROWS($B$5:B13),Rosters!$B$2:$D$163,3,0),"?")</f>
        <v>Sly</v>
      </c>
      <c r="C13" s="5">
        <f>_xlfn.IFNA(VLOOKUP($B$3&amp;ROWS($C$5:C13),Rosters!$B$2:$E$163,4,0),"")</f>
        <v>2</v>
      </c>
      <c r="D13" s="5"/>
      <c r="E13" s="5">
        <v>10</v>
      </c>
      <c r="F13" s="5"/>
      <c r="G13" s="5"/>
      <c r="H13" s="5">
        <v>8</v>
      </c>
      <c r="I13" s="5"/>
      <c r="J13" s="5"/>
      <c r="K13" s="5">
        <v>2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Viko</v>
      </c>
      <c r="B14" s="6" t="str">
        <f>_xlfn.IFNA(VLOOKUP($B$3&amp;ROWS($B$5:B14),Rosters!$B$2:$D$163,3,0),"?")</f>
        <v>Noma'aea</v>
      </c>
      <c r="C14" s="6">
        <f>_xlfn.IFNA(VLOOKUP($B$3&amp;ROWS($C$5:C14),Rosters!$B$2:$E$163,4,0),"")</f>
        <v>6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Steven</v>
      </c>
      <c r="B15" s="5" t="str">
        <f>_xlfn.IFNA(VLOOKUP($B$3&amp;ROWS($B$5:B15),Rosters!$B$2:$D$163,3,0),"?")</f>
        <v>Ashworth</v>
      </c>
      <c r="C15" s="5">
        <f>_xlfn.IFNA(VLOOKUP($B$3&amp;ROWS($C$5:C15),Rosters!$B$2:$E$163,4,0),"")</f>
        <v>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55</v>
      </c>
      <c r="H20" s="6">
        <f>SUM(H5:H19)</f>
        <v>40</v>
      </c>
      <c r="K20" s="6">
        <f>SUM(K5:K19)</f>
        <v>37</v>
      </c>
      <c r="N20" s="6">
        <f>SUM(N5:N19)</f>
        <v>15</v>
      </c>
      <c r="Q20" s="6">
        <f>SUM(Q5:Q19)</f>
        <v>14</v>
      </c>
      <c r="T20" s="6">
        <f>SUM(T5:T19)</f>
        <v>13</v>
      </c>
      <c r="W20" s="6">
        <f>SUM(W5:W19)</f>
        <v>0</v>
      </c>
    </row>
    <row r="21" spans="1:24" x14ac:dyDescent="0.2">
      <c r="A21" s="2" t="s">
        <v>15</v>
      </c>
      <c r="B21" s="1" t="s">
        <v>87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Tyus</v>
      </c>
      <c r="B23" s="5" t="str">
        <f>_xlfn.IFNA(VLOOKUP($B$21&amp;ROWS($B$23:B23),Rosters!$B$2:$D$163,3,0),"?")</f>
        <v>Jefferson</v>
      </c>
      <c r="C23" s="5">
        <f>_xlfn.IFNA(VLOOKUP($B$21&amp;ROWS($C$23:C23),Rosters!$B$2:$E$163,4,0),"")</f>
        <v>3</v>
      </c>
      <c r="D23" s="5"/>
      <c r="E23" s="5">
        <v>4</v>
      </c>
      <c r="F23" s="5"/>
      <c r="G23" s="5"/>
      <c r="H23" s="5">
        <v>2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Jordan</v>
      </c>
      <c r="B24" t="str">
        <f>_xlfn.IFNA(VLOOKUP($B$21&amp;ROWS($B$23:B24),Rosters!$B$2:$D$163,3,0),"?")</f>
        <v>Loveridge</v>
      </c>
      <c r="C24">
        <f>_xlfn.IFNA(VLOOKUP($B$21&amp;ROWS($C$23:C24),Rosters!$B$2:$E$163,4,0),"")</f>
        <v>21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Kyndayl</v>
      </c>
      <c r="B25" s="5" t="str">
        <f>_xlfn.IFNA(VLOOKUP($B$21&amp;ROWS($B$23:B25),Rosters!$B$2:$D$163,3,0),"?")</f>
        <v>Hill</v>
      </c>
      <c r="C25" s="5">
        <f>_xlfn.IFNA(VLOOKUP($B$21&amp;ROWS($C$23:C25),Rosters!$B$2:$E$163,4,0),"")</f>
        <v>15</v>
      </c>
      <c r="D25" s="5"/>
      <c r="E25" s="5">
        <v>11</v>
      </c>
      <c r="F25" s="5"/>
      <c r="G25" s="5"/>
      <c r="H25" s="5">
        <v>1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6</v>
      </c>
      <c r="R25" s="5"/>
      <c r="S25" s="5"/>
      <c r="T25" s="5">
        <v>4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Duce</v>
      </c>
      <c r="B26" t="str">
        <f>_xlfn.IFNA(VLOOKUP($B$21&amp;ROWS($B$23:B26),Rosters!$B$2:$D$163,3,0),"?")</f>
        <v>Zaid</v>
      </c>
      <c r="C26">
        <f>_xlfn.IFNA(VLOOKUP($B$21&amp;ROWS($C$23:C26),Rosters!$B$2:$E$163,4,0),"")</f>
        <v>5</v>
      </c>
      <c r="D26" s="6"/>
      <c r="E26" s="6">
        <v>5</v>
      </c>
      <c r="F26" s="6"/>
      <c r="G26" s="6"/>
      <c r="H26" s="6">
        <v>5</v>
      </c>
      <c r="I26" s="6"/>
      <c r="J26" s="6"/>
      <c r="K26" s="6">
        <v>2</v>
      </c>
      <c r="L26" s="6"/>
      <c r="M26" s="6"/>
      <c r="N26" s="6">
        <v>1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Charles</v>
      </c>
      <c r="B27" s="5" t="str">
        <f>_xlfn.IFNA(VLOOKUP($B$21&amp;ROWS($B$23:B27),Rosters!$B$2:$D$163,3,0),"?")</f>
        <v>Nann</v>
      </c>
      <c r="C27" s="5">
        <f>_xlfn.IFNA(VLOOKUP($B$21&amp;ROWS($C$23:C27),Rosters!$B$2:$E$163,4,0),"")</f>
        <v>7</v>
      </c>
      <c r="D27" s="5"/>
      <c r="E27" s="5">
        <v>7</v>
      </c>
      <c r="F27" s="5"/>
      <c r="G27" s="5"/>
      <c r="H27" s="5">
        <v>4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Marqus</v>
      </c>
      <c r="B28" t="str">
        <f>_xlfn.IFNA(VLOOKUP($B$21&amp;ROWS($B$23:B28),Rosters!$B$2:$D$163,3,0),"?")</f>
        <v>Gilson</v>
      </c>
      <c r="C28">
        <f>_xlfn.IFNA(VLOOKUP($B$21&amp;ROWS($C$23:C28),Rosters!$B$2:$E$163,4,0),"")</f>
        <v>24</v>
      </c>
      <c r="D28" s="6"/>
      <c r="E28" s="6">
        <v>13</v>
      </c>
      <c r="F28" s="6"/>
      <c r="G28" s="6"/>
      <c r="H28" s="6">
        <v>10</v>
      </c>
      <c r="I28" s="6"/>
      <c r="J28" s="6"/>
      <c r="K28" s="6">
        <v>2</v>
      </c>
      <c r="L28" s="6"/>
      <c r="M28" s="6"/>
      <c r="N28" s="6">
        <v>0</v>
      </c>
      <c r="O28" s="6"/>
      <c r="P28" s="6"/>
      <c r="Q28" s="6">
        <v>6</v>
      </c>
      <c r="R28" s="6"/>
      <c r="S28" s="6"/>
      <c r="T28" s="6">
        <v>3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Ray</v>
      </c>
      <c r="B29" s="5" t="str">
        <f>_xlfn.IFNA(VLOOKUP($B$21&amp;ROWS($B$23:B29),Rosters!$B$2:$D$163,3,0),"?")</f>
        <v>Gallegos</v>
      </c>
      <c r="C29" s="5">
        <f>_xlfn.IFNA(VLOOKUP($B$21&amp;ROWS($C$23:C29),Rosters!$B$2:$E$163,4,0),"")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Colton</v>
      </c>
      <c r="B30" t="str">
        <f>_xlfn.IFNA(VLOOKUP($B$21&amp;ROWS($B$23:B30),Rosters!$B$2:$D$163,3,0),"?")</f>
        <v>Burgon</v>
      </c>
      <c r="C30">
        <f>_xlfn.IFNA(VLOOKUP($B$21&amp;ROWS($C$23:C30),Rosters!$B$2:$E$163,4,0),"")</f>
        <v>20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Thomas</v>
      </c>
      <c r="B31" s="5" t="str">
        <f>_xlfn.IFNA(VLOOKUP($B$21&amp;ROWS($B$23:B31),Rosters!$B$2:$D$163,3,0),"?")</f>
        <v>Bullock</v>
      </c>
      <c r="C31" s="5">
        <f>_xlfn.IFNA(VLOOKUP($B$21&amp;ROWS($C$23:C31),Rosters!$B$2:$E$163,4,0),"")</f>
        <v>22</v>
      </c>
      <c r="D31" s="5"/>
      <c r="E31" s="5">
        <v>10</v>
      </c>
      <c r="F31" s="5"/>
      <c r="G31" s="5"/>
      <c r="H31" s="5">
        <v>3</v>
      </c>
      <c r="I31" s="5"/>
      <c r="J31" s="5"/>
      <c r="K31" s="5">
        <v>5</v>
      </c>
      <c r="L31" s="5"/>
      <c r="M31" s="5"/>
      <c r="N31" s="5">
        <v>0</v>
      </c>
      <c r="O31" s="5"/>
      <c r="P31" s="5"/>
      <c r="Q31" s="5">
        <v>2</v>
      </c>
      <c r="R31" s="5"/>
      <c r="S31" s="5"/>
      <c r="T31" s="5">
        <v>2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Tyler</v>
      </c>
      <c r="B32" t="str">
        <f>_xlfn.IFNA(VLOOKUP($B$21&amp;ROWS($B$23:B32),Rosters!$B$2:$D$163,3,0),"?")</f>
        <v>Burgess</v>
      </c>
      <c r="C32">
        <f>_xlfn.IFNA(VLOOKUP($B$21&amp;ROWS($C$23:C32),Rosters!$B$2:$E$163,4,0),"")</f>
        <v>23</v>
      </c>
      <c r="D32" s="6"/>
      <c r="E32" s="6">
        <v>4</v>
      </c>
      <c r="F32" s="6"/>
      <c r="G32" s="6"/>
      <c r="H32" s="6">
        <v>2</v>
      </c>
      <c r="I32" s="6"/>
      <c r="J32" s="6"/>
      <c r="K32" s="6">
        <v>7</v>
      </c>
      <c r="L32" s="6"/>
      <c r="M32" s="6"/>
      <c r="N32" s="6">
        <v>2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Kentrell</v>
      </c>
      <c r="B33" s="5" t="str">
        <f>_xlfn.IFNA(VLOOKUP($B$21&amp;ROWS($B$23:B33),Rosters!$B$2:$D$163,3,0),"?")</f>
        <v>Barkley</v>
      </c>
      <c r="C33" s="5">
        <f>_xlfn.IFNA(VLOOKUP($B$21&amp;ROWS($C$23:C33),Rosters!$B$2:$E$163,4,0),"")</f>
        <v>12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Brenden</v>
      </c>
      <c r="B34" t="str">
        <f>_xlfn.IFNA(VLOOKUP($B$21&amp;ROWS($B$23:B34),Rosters!$B$2:$D$163,3,0),"?")</f>
        <v>Morris</v>
      </c>
      <c r="C34">
        <f>_xlfn.IFNA(VLOOKUP($B$21&amp;ROWS($C$23:C34),Rosters!$B$2:$E$163,4,0),"")</f>
        <v>23</v>
      </c>
      <c r="D34" s="6"/>
      <c r="E34" s="6">
        <v>8</v>
      </c>
      <c r="F34" s="6"/>
      <c r="G34" s="6"/>
      <c r="H34" s="6">
        <v>3</v>
      </c>
      <c r="I34" s="6"/>
      <c r="J34" s="6"/>
      <c r="K34" s="6">
        <v>3</v>
      </c>
      <c r="L34" s="6"/>
      <c r="M34" s="6"/>
      <c r="N34" s="6">
        <v>2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62</v>
      </c>
      <c r="H38">
        <f>SUM(H23:H37)</f>
        <v>30</v>
      </c>
      <c r="K38">
        <f>SUM(K23:K37)</f>
        <v>25</v>
      </c>
      <c r="N38">
        <f>SUM(N23:N37)</f>
        <v>5</v>
      </c>
      <c r="Q38">
        <f>SUM(Q23:Q37)</f>
        <v>14</v>
      </c>
      <c r="T38">
        <f>SUM(T23:T37)</f>
        <v>9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Bergeson</cp:lastModifiedBy>
  <dcterms:created xsi:type="dcterms:W3CDTF">2021-06-24T17:53:51Z</dcterms:created>
  <dcterms:modified xsi:type="dcterms:W3CDTF">2022-07-15T03:42:52Z</dcterms:modified>
</cp:coreProperties>
</file>