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5/"/>
    </mc:Choice>
  </mc:AlternateContent>
  <xr:revisionPtr revIDLastSave="0" documentId="13_ncr:1_{9AB7ECA1-2D5B-7440-89BA-D1167ECDFA06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 s="1"/>
  <c r="L23" i="2"/>
  <c r="I24" i="2"/>
  <c r="J24" i="2"/>
  <c r="K24" i="2" s="1"/>
  <c r="L24" i="2"/>
  <c r="I25" i="2"/>
  <c r="J25" i="2"/>
  <c r="L25" i="2"/>
  <c r="I26" i="2"/>
  <c r="J26" i="2"/>
  <c r="L26" i="2"/>
  <c r="I27" i="2"/>
  <c r="J27" i="2"/>
  <c r="K27" i="2" s="1"/>
  <c r="L27" i="2"/>
  <c r="I28" i="2"/>
  <c r="J28" i="2"/>
  <c r="K28" i="2" s="1"/>
  <c r="L28" i="2"/>
  <c r="I29" i="2"/>
  <c r="J29" i="2"/>
  <c r="K29" i="2" s="1"/>
  <c r="L29" i="2"/>
  <c r="I30" i="2"/>
  <c r="J30" i="2"/>
  <c r="K30" i="2" s="1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L34" i="2"/>
  <c r="I35" i="2"/>
  <c r="J35" i="2"/>
  <c r="L35" i="2"/>
  <c r="I36" i="2"/>
  <c r="J36" i="2"/>
  <c r="K36" i="2" s="1"/>
  <c r="L36" i="2"/>
  <c r="L22" i="2"/>
  <c r="J22" i="2"/>
  <c r="I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6" i="2"/>
  <c r="K17" i="2"/>
  <c r="I4" i="2"/>
  <c r="J4" i="2"/>
  <c r="I5" i="2"/>
  <c r="J5" i="2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J11" i="2"/>
  <c r="K11" i="2" s="1"/>
  <c r="I12" i="2"/>
  <c r="K12" i="2" s="1"/>
  <c r="J12" i="2"/>
  <c r="I13" i="2"/>
  <c r="J13" i="2"/>
  <c r="K13" i="2" s="1"/>
  <c r="I14" i="2"/>
  <c r="J14" i="2"/>
  <c r="K14" i="2" s="1"/>
  <c r="I15" i="2"/>
  <c r="J15" i="2"/>
  <c r="K15" i="2" s="1"/>
  <c r="I16" i="2"/>
  <c r="K16" i="2" s="1"/>
  <c r="J16" i="2"/>
  <c r="I17" i="2"/>
  <c r="J17" i="2"/>
  <c r="C32" i="1"/>
  <c r="H31" i="2" s="1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5" i="2" l="1"/>
  <c r="K26" i="2"/>
  <c r="L37" i="2"/>
  <c r="K34" i="2"/>
  <c r="K25" i="2"/>
  <c r="K22" i="2"/>
  <c r="I37" i="2"/>
  <c r="D3" i="2" s="1"/>
  <c r="L18" i="2"/>
  <c r="K5" i="2"/>
  <c r="K3" i="2"/>
  <c r="K4" i="2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B11" i="1"/>
  <c r="G9" i="2" s="1"/>
  <c r="H36" i="2"/>
  <c r="A19" i="1"/>
  <c r="F17" i="2" s="1"/>
  <c r="B10" i="1"/>
  <c r="G8" i="2" s="1"/>
  <c r="G36" i="2"/>
  <c r="C34" i="1"/>
  <c r="H33" i="2" s="1"/>
  <c r="C26" i="1"/>
  <c r="H25" i="2" s="1"/>
  <c r="A10" i="1"/>
  <c r="F8" i="2" s="1"/>
  <c r="A16" i="1"/>
  <c r="F14" i="2" s="1"/>
  <c r="A8" i="1"/>
  <c r="F6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J37" i="2"/>
  <c r="F3" i="2"/>
  <c r="K37" i="2" l="1"/>
  <c r="K18" i="2"/>
</calcChain>
</file>

<file path=xl/sharedStrings.xml><?xml version="1.0" encoding="utf-8"?>
<sst xmlns="http://schemas.openxmlformats.org/spreadsheetml/2006/main" count="492" uniqueCount="280">
  <si>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</si>
  <si>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</si>
  <si>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</si>
  <si>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</si>
  <si>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</si>
  <si>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</si>
  <si>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</si>
  <si>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</si>
  <si>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</si>
  <si>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</si>
  <si>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</si>
  <si>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</si>
  <si>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</si>
  <si>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</si>
  <si>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</si>
  <si>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</si>
  <si>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</si>
  <si>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</si>
  <si>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</si>
  <si>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</si>
  <si>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</si>
  <si>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</si>
  <si>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</si>
  <si>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</si>
  <si>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</si>
  <si>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</si>
  <si>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</si>
  <si>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</si>
  <si>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</si>
  <si>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</si>
  <si>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</si>
  <si>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</si>
  <si>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</si>
  <si>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</si>
  <si>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</si>
  <si>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</si>
  <si>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</si>
  <si>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</si>
  <si>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</si>
  <si>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</si>
  <si>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</si>
  <si>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</si>
  <si>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</si>
  <si>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</si>
  <si>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</si>
  <si>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</si>
  <si>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</si>
  <si>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</si>
  <si>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</si>
  <si>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</si>
  <si>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</si>
  <si>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</si>
  <si>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</si>
  <si>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</si>
  <si>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</si>
  <si>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</si>
  <si>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</si>
  <si>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</si>
  <si>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</si>
  <si>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</si>
  <si>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</si>
  <si>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</si>
  <si>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</si>
  <si>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</si>
  <si>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</si>
  <si>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</si>
  <si>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</si>
  <si>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</si>
  <si>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</si>
  <si>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</si>
  <si>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</si>
  <si>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</si>
  <si>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</si>
  <si>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</si>
  <si>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</si>
  <si>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</si>
  <si>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</si>
  <si>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</si>
  <si>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</si>
  <si>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</si>
  <si>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</si>
  <si>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</si>
  <si>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</si>
  <si>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</si>
  <si>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</si>
  <si>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</si>
  <si>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</si>
  <si>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</si>
  <si>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</si>
  <si>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</si>
  <si>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</si>
  <si>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</si>
  <si>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</si>
  <si>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</si>
  <si>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</si>
  <si>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</si>
  <si>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</si>
  <si>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</si>
  <si>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</si>
  <si>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</si>
  <si>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</si>
  <si>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</si>
  <si>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</si>
  <si>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</si>
  <si>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</si>
  <si>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</si>
  <si>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</si>
  <si>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</si>
  <si>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</si>
  <si>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</si>
  <si>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</si>
  <si>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</si>
  <si>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</si>
  <si>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</si>
  <si>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</si>
  <si>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</si>
  <si>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</si>
  <si>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</si>
  <si>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</si>
  <si>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</si>
  <si>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</si>
  <si>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</si>
  <si>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</si>
  <si>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</si>
  <si>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</si>
  <si>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</si>
  <si>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</si>
  <si>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</si>
  <si>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</si>
  <si>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</si>
  <si>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</si>
  <si>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</si>
  <si>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</si>
  <si>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</si>
  <si>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</si>
  <si>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</si>
  <si>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</si>
  <si>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</si>
  <si>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</si>
  <si>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</si>
  <si>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</si>
  <si>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</si>
  <si>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</si>
  <si>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</si>
  <si>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</si>
  <si>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</si>
  <si>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</si>
  <si>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</si>
  <si>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</si>
  <si>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</si>
  <si>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</si>
  <si>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</si>
  <si>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</si>
  <si>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</si>
  <si>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</si>
  <si>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</si>
  <si>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</si>
  <si>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</si>
  <si>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</si>
  <si>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</si>
  <si>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</si>
  <si>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</si>
  <si>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</si>
  <si>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</si>
  <si>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</si>
  <si>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</si>
  <si>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</si>
  <si>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</si>
  <si>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</si>
  <si>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</si>
  <si>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</si>
  <si>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</si>
  <si>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</si>
  <si>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</si>
  <si>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</si>
  <si>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</si>
  <si>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</si>
  <si>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</si>
  <si>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</si>
  <si>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</si>
  <si>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</si>
  <si>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</si>
  <si>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</si>
  <si>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</si>
  <si>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</si>
  <si>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</si>
  <si>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</si>
  <si>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</si>
  <si>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</si>
  <si>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</si>
  <si>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</si>
  <si>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</si>
  <si>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</si>
  <si>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</si>
  <si>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</si>
  <si>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</si>
  <si>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</si>
  <si>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</si>
  <si>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</si>
  <si>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</si>
  <si>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</si>
  <si>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</si>
  <si>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</si>
  <si>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</si>
  <si>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</si>
  <si>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</si>
  <si>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</si>
  <si>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</si>
  <si>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</si>
  <si>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</si>
  <si>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</si>
  <si>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</si>
  <si>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</si>
  <si>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</si>
  <si>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</si>
  <si>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</si>
  <si>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</si>
  <si>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</si>
  <si>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</si>
  <si>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</si>
  <si>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</si>
  <si>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</si>
  <si>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</si>
  <si>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</si>
  <si>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</si>
  <si>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</si>
  <si>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</si>
  <si>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</si>
  <si>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</si>
  <si>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</si>
  <si>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</si>
  <si>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</si>
  <si>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</si>
  <si>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</si>
  <si>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</si>
  <si>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</si>
  <si>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</si>
  <si>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</si>
  <si>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</si>
  <si>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</si>
  <si>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</si>
  <si>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</si>
  <si>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</si>
  <si>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</si>
  <si>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</si>
  <si>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</si>
  <si>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</si>
  <si>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</si>
  <si>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</si>
  <si>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</si>
  <si>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</si>
  <si>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</si>
  <si>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</si>
  <si>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</si>
  <si>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</si>
  <si>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</si>
  <si>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</si>
  <si>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</si>
  <si>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</si>
  <si>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</si>
  <si>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</si>
  <si>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</si>
  <si>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</si>
  <si>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</si>
  <si>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</si>
  <si>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</si>
  <si>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</si>
  <si>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</si>
  <si>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</si>
  <si>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</si>
  <si>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Mua</t>
  </si>
  <si>
    <t>Warr</t>
  </si>
  <si>
    <t>Yannick</t>
  </si>
  <si>
    <t>Liunga</t>
  </si>
  <si>
    <t>0-0</t>
  </si>
  <si>
    <t>Baban</t>
  </si>
  <si>
    <t>Dashan</t>
  </si>
  <si>
    <t>Benson</t>
  </si>
  <si>
    <t>Barzin</t>
  </si>
  <si>
    <t>Reed-Faleao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</si>
</sst>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E1" workbookViewId="0">
      <selection activeCell="K7" sqref="K7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Dastrop</v>
      </c>
    </row>
    <row r="2" spans="2:12" x14ac:dyDescent="0.2">
      <c r="B2" t="str">
        <f>G1</f>
        <v>Dastrop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265</v>
      </c>
    </row>
    <row r="3" spans="2:12" x14ac:dyDescent="0.2">
      <c r="B3">
        <f>I18</f>
        <v>5</v>
      </c>
      <c r="C3" s="3" t="s">
        <v>6</v>
      </c>
      <c r="D3" s="4">
        <f>I37</f>
        <v>4</v>
      </c>
      <c r="F3" t="str">
        <f>'Stats G1'!A5</f>
        <v>Taylor</v>
      </c>
      <c r="G3" t="str">
        <f>'Stats G1'!B5</f>
        <v>Miller</v>
      </c>
      <c r="H3">
        <f>'Stats G1'!C5</f>
        <v>0</v>
      </c>
      <c r="I3">
        <f>'Stats G1'!E5</f>
        <v>0</v>
      </c>
      <c r="J3">
        <f>'Stats G1'!H5</f>
        <v>4</v>
      </c>
      <c r="K3">
        <f>J3+I3</f>
        <v>4</v>
      </c>
      <c r="L3">
        <f>'Stats G1'!N5</f>
        <v>0</v>
      </c>
    </row>
    <row r="4" spans="2:12" x14ac:dyDescent="0.2">
      <c r="F4" t="str">
        <f>'Stats G1'!A6</f>
        <v>Quae</v>
      </c>
      <c r="G4" t="str">
        <f>'Stats G1'!B6</f>
        <v>Furlow</v>
      </c>
      <c r="H4">
        <f>'Stats G1'!C6</f>
        <v>1</v>
      </c>
      <c r="I4">
        <f>'Stats G1'!E6</f>
        <v>4</v>
      </c>
      <c r="J4">
        <f>'Stats G1'!H6</f>
        <v>5</v>
      </c>
      <c r="K4">
        <f t="shared" ref="K4:K17" si="0">J4+I4</f>
        <v>9</v>
      </c>
      <c r="L4">
        <f>'Stats G1'!N6</f>
        <v>4</v>
      </c>
    </row>
    <row r="5" spans="2:12" x14ac:dyDescent="0.2">
      <c r="F5" t="str">
        <f>'Stats G1'!A7</f>
        <v>Jordan</v>
      </c>
      <c r="G5" t="str">
        <f>'Stats G1'!B7</f>
        <v>Gazdik</v>
      </c>
      <c r="H5">
        <f>'Stats G1'!C7</f>
        <v>2</v>
      </c>
      <c r="I5">
        <f>'Stats G1'!E7</f>
        <v>1</v>
      </c>
      <c r="J5">
        <f>'Stats G1'!H7</f>
        <v>2</v>
      </c>
      <c r="K5">
        <f t="shared" si="0"/>
        <v>3</v>
      </c>
      <c r="L5">
        <f>'Stats G1'!N7</f>
        <v>3</v>
      </c>
    </row>
    <row r="6" spans="2:12" x14ac:dyDescent="0.2">
      <c r="F6" t="str">
        <f>'Stats G1'!A8</f>
        <v>Cory</v>
      </c>
      <c r="G6" t="str">
        <f>'Stats G1'!B8</f>
        <v>Calvert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G1'!N8</f>
        <v>0</v>
      </c>
    </row>
    <row r="7" spans="2:12" x14ac:dyDescent="0.2">
      <c r="F7" t="str">
        <f>'Stats G1'!A9</f>
        <v>Chris</v>
      </c>
      <c r="G7" t="str">
        <f>'Stats G1'!B9</f>
        <v>Seeley</v>
      </c>
      <c r="H7">
        <f>'Stats G1'!C9</f>
        <v>4</v>
      </c>
      <c r="I7">
        <f>'Stats G1'!E9</f>
        <v>0</v>
      </c>
      <c r="J7">
        <f>'Stats G1'!H9</f>
        <v>0</v>
      </c>
      <c r="K7">
        <f t="shared" si="0"/>
        <v>0</v>
      </c>
      <c r="L7">
        <f>'Stats G1'!N9</f>
        <v>0</v>
      </c>
    </row>
    <row r="8" spans="2:12" x14ac:dyDescent="0.2">
      <c r="F8" t="str">
        <f>'Stats G1'!A10</f>
        <v>Kylor</v>
      </c>
      <c r="G8" t="str">
        <f>'Stats G1'!B10</f>
        <v>Kelley</v>
      </c>
      <c r="H8">
        <f>'Stats G1'!C10</f>
        <v>6</v>
      </c>
      <c r="I8">
        <f>'Stats G1'!E10</f>
        <v>0</v>
      </c>
      <c r="J8">
        <f>'Stats G1'!H10</f>
        <v>0</v>
      </c>
      <c r="K8">
        <f t="shared" si="0"/>
        <v>0</v>
      </c>
      <c r="L8">
        <f>'Stats G1'!N10</f>
        <v>0</v>
      </c>
    </row>
    <row r="9" spans="2:12" x14ac:dyDescent="0.2">
      <c r="F9" t="str">
        <f>'Stats G1'!A11</f>
        <v>Hunter</v>
      </c>
      <c r="G9" t="str">
        <f>'Stats G1'!B11</f>
        <v>Erickson</v>
      </c>
      <c r="H9">
        <f>'Stats G1'!C11</f>
        <v>10</v>
      </c>
      <c r="I9">
        <f>'Stats G1'!E11</f>
        <v>0</v>
      </c>
      <c r="J9">
        <f>'Stats G1'!H11</f>
        <v>3</v>
      </c>
      <c r="K9">
        <f t="shared" si="0"/>
        <v>3</v>
      </c>
      <c r="L9">
        <f>'Stats G1'!N11</f>
        <v>3</v>
      </c>
    </row>
    <row r="10" spans="2:12" x14ac:dyDescent="0.2">
      <c r="F10" t="str">
        <f>'Stats G1'!A12</f>
        <v>Sedrick</v>
      </c>
      <c r="G10" t="str">
        <f>'Stats G1'!B12</f>
        <v>Barefield</v>
      </c>
      <c r="H10">
        <f>'Stats G1'!C12</f>
        <v>11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G1'!N12</f>
        <v>0</v>
      </c>
    </row>
    <row r="11" spans="2:12" x14ac:dyDescent="0.2">
      <c r="F11" t="str">
        <f>'Stats G1'!A13</f>
        <v>Mckay</v>
      </c>
      <c r="G11" t="str">
        <f>'Stats G1'!B13</f>
        <v>Johnson</v>
      </c>
      <c r="H11">
        <f>'Stats G1'!C13</f>
        <v>13</v>
      </c>
      <c r="I11">
        <f>'Stats G1'!E13</f>
        <v>0</v>
      </c>
      <c r="J11">
        <f>'Stats G1'!H13</f>
        <v>1</v>
      </c>
      <c r="K11">
        <f t="shared" si="0"/>
        <v>1</v>
      </c>
      <c r="L11">
        <f>'Stats G1'!N13</f>
        <v>2</v>
      </c>
    </row>
    <row r="12" spans="2:12" x14ac:dyDescent="0.2">
      <c r="F12" t="str">
        <f>'Stats G1'!A14</f>
        <v>Khalil</v>
      </c>
      <c r="G12" t="str">
        <f>'Stats G1'!B14</f>
        <v>Ahmad</v>
      </c>
      <c r="H12">
        <f>'Stats G1'!C14</f>
        <v>14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G1'!N14</f>
        <v>0</v>
      </c>
    </row>
    <row r="13" spans="2:12" x14ac:dyDescent="0.2">
      <c r="F13" t="str">
        <f>'Stats G1'!A15</f>
        <v>Mua</v>
      </c>
      <c r="G13" t="s">
        <v>279</v>
      </c>
      <c r="H13">
        <f>'Stats G1'!C15</f>
        <v>15</v>
      </c>
      <c r="I13">
        <f>'Stats G1'!E15</f>
        <v>0</v>
      </c>
      <c r="J13">
        <f>'Stats G1'!H15</f>
        <v>1</v>
      </c>
      <c r="K13">
        <f t="shared" si="0"/>
        <v>1</v>
      </c>
      <c r="L13">
        <f>'Stats G1'!N15</f>
        <v>1</v>
      </c>
    </row>
    <row r="14" spans="2:12" x14ac:dyDescent="0.2">
      <c r="F14" t="str">
        <f>'Stats G1'!A16</f>
        <v>John</v>
      </c>
      <c r="G14" t="str">
        <f>'Stats G1'!B16</f>
        <v>Bennett</v>
      </c>
      <c r="H14">
        <f>'Stats G1'!C16</f>
        <v>22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G1'!N16</f>
        <v>0</v>
      </c>
    </row>
    <row r="15" spans="2:12" x14ac:dyDescent="0.2">
      <c r="F15" t="str">
        <f>'Stats G1'!A17</f>
        <v>Brandon</v>
      </c>
      <c r="G15" t="str">
        <f>'Stats G1'!B17</f>
        <v>Warr</v>
      </c>
      <c r="H15">
        <f>'Stats G1'!C17</f>
        <v>33</v>
      </c>
      <c r="I15">
        <f>'Stats G1'!E17</f>
        <v>0</v>
      </c>
      <c r="J15">
        <f>'Stats G1'!H17</f>
        <v>3</v>
      </c>
      <c r="K15">
        <f t="shared" si="0"/>
        <v>3</v>
      </c>
      <c r="L15">
        <f>'Stats G1'!N17</f>
        <v>4</v>
      </c>
    </row>
    <row r="16" spans="2:12" x14ac:dyDescent="0.2">
      <c r="F16" t="str">
        <f>'Stats G1'!A18</f>
        <v>Johnny</v>
      </c>
      <c r="G16" t="str">
        <f>'Stats G1'!B18</f>
        <v>Dupre</v>
      </c>
      <c r="H16">
        <f>'Stats G1'!C18</f>
        <v>41</v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G1'!N18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G1'!N19</f>
        <v>0</v>
      </c>
    </row>
    <row r="18" spans="6:12" x14ac:dyDescent="0.2">
      <c r="H18" s="2" t="s">
        <v>5</v>
      </c>
      <c r="I18">
        <f>SUM(I3:I17)</f>
        <v>5</v>
      </c>
      <c r="J18">
        <f>SUM(J3:J17)</f>
        <v>19</v>
      </c>
      <c r="K18">
        <f>SUM(K3:K17)</f>
        <v>24</v>
      </c>
      <c r="L18">
        <f>SUM(L3:L17)</f>
        <v>17</v>
      </c>
    </row>
    <row r="20" spans="6:12" x14ac:dyDescent="0.2">
      <c r="F20" t="s">
        <v>4</v>
      </c>
      <c r="G20" t="str">
        <f>'Stats G1'!B21</f>
        <v>Draney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265</v>
      </c>
    </row>
    <row r="22" spans="6:12" x14ac:dyDescent="0.2">
      <c r="F22" t="str">
        <f>'Stats G1'!A23</f>
        <v>Roman</v>
      </c>
      <c r="G22" t="str">
        <f>'Stats G1'!B23</f>
        <v>McKnight</v>
      </c>
      <c r="H22">
        <f>'Stats G1'!C23</f>
        <v>0</v>
      </c>
      <c r="I22">
        <f>'Stats G1'!E23</f>
        <v>2</v>
      </c>
      <c r="J22">
        <f>'Stats G1'!H23</f>
        <v>5</v>
      </c>
      <c r="K22">
        <f>J22+I22</f>
        <v>7</v>
      </c>
      <c r="L22">
        <f>'Stats G1'!N23</f>
        <v>2</v>
      </c>
    </row>
    <row r="23" spans="6:12" x14ac:dyDescent="0.2">
      <c r="F23" t="str">
        <f>'Stats G1'!A24</f>
        <v xml:space="preserve">Brendan </v>
      </c>
      <c r="G23" t="str">
        <f>'Stats G1'!B24</f>
        <v>Bailey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G1'!N24</f>
        <v>0</v>
      </c>
    </row>
    <row r="24" spans="6:12" x14ac:dyDescent="0.2">
      <c r="F24" t="str">
        <f>'Stats G1'!A25</f>
        <v>Marquis</v>
      </c>
      <c r="G24" t="str">
        <f>'Stats G1'!B25</f>
        <v>Velez</v>
      </c>
      <c r="H24">
        <f>'Stats G1'!C25</f>
        <v>2</v>
      </c>
      <c r="I24">
        <f>'Stats G1'!E25</f>
        <v>0</v>
      </c>
      <c r="J24">
        <f>'Stats G1'!H25</f>
        <v>2</v>
      </c>
      <c r="K24">
        <f t="shared" si="1"/>
        <v>2</v>
      </c>
      <c r="L24">
        <f>'Stats G1'!N25</f>
        <v>1</v>
      </c>
    </row>
    <row r="25" spans="6:12" x14ac:dyDescent="0.2">
      <c r="F25" t="str">
        <f>'Stats G1'!A26</f>
        <v>Marcus</v>
      </c>
      <c r="G25" t="str">
        <f>'Stats G1'!B26</f>
        <v>Draney</v>
      </c>
      <c r="H25">
        <f>'Stats G1'!C26</f>
        <v>4</v>
      </c>
      <c r="I25">
        <f>'Stats G1'!E26</f>
        <v>1</v>
      </c>
      <c r="J25">
        <f>'Stats G1'!H26</f>
        <v>3</v>
      </c>
      <c r="K25">
        <f t="shared" si="1"/>
        <v>4</v>
      </c>
      <c r="L25">
        <f>'Stats G1'!N26</f>
        <v>0</v>
      </c>
    </row>
    <row r="26" spans="6:12" x14ac:dyDescent="0.2">
      <c r="F26" t="str">
        <f>'Stats G1'!A27</f>
        <v>Stefan</v>
      </c>
      <c r="G26" t="str">
        <f>'Stats G1'!B27</f>
        <v>Briggs</v>
      </c>
      <c r="H26">
        <f>'Stats G1'!C27</f>
        <v>8</v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G1'!N27</f>
        <v>0</v>
      </c>
    </row>
    <row r="27" spans="6:12" x14ac:dyDescent="0.2">
      <c r="F27" t="str">
        <f>'Stats G1'!A28</f>
        <v>Derrick</v>
      </c>
      <c r="G27" t="str">
        <f>'Stats G1'!B28</f>
        <v>Buys</v>
      </c>
      <c r="H27">
        <f>'Stats G1'!C28</f>
        <v>11</v>
      </c>
      <c r="I27">
        <f>'Stats G1'!E28</f>
        <v>0</v>
      </c>
      <c r="J27">
        <f>'Stats G1'!H28</f>
        <v>1</v>
      </c>
      <c r="K27">
        <f t="shared" si="1"/>
        <v>1</v>
      </c>
      <c r="L27">
        <f>'Stats G1'!N28</f>
        <v>0</v>
      </c>
    </row>
    <row r="28" spans="6:12" x14ac:dyDescent="0.2">
      <c r="F28" t="str">
        <f>'Stats G1'!A29</f>
        <v>James</v>
      </c>
      <c r="G28" t="str">
        <f>'Stats G1'!B29</f>
        <v>Kamich</v>
      </c>
      <c r="H28">
        <f>'Stats G1'!C29</f>
        <v>22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G1'!N29</f>
        <v>0</v>
      </c>
    </row>
    <row r="29" spans="6:12" x14ac:dyDescent="0.2">
      <c r="F29" t="str">
        <f>'Stats G1'!A30</f>
        <v>Duncan</v>
      </c>
      <c r="G29" t="str">
        <f>'Stats G1'!B30</f>
        <v>Reid</v>
      </c>
      <c r="H29">
        <f>'Stats G1'!C30</f>
        <v>22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G1'!N30</f>
        <v>0</v>
      </c>
    </row>
    <row r="30" spans="6:12" x14ac:dyDescent="0.2">
      <c r="F30" t="str">
        <f>'Stats G1'!A31</f>
        <v>Darrian</v>
      </c>
      <c r="G30" t="str">
        <f>'Stats G1'!B31</f>
        <v>Briggs</v>
      </c>
      <c r="H30">
        <f>'Stats G1'!C31</f>
        <v>22</v>
      </c>
      <c r="I30">
        <f>'Stats G1'!E31</f>
        <v>0</v>
      </c>
      <c r="J30">
        <f>'Stats G1'!H31</f>
        <v>4</v>
      </c>
      <c r="K30">
        <f t="shared" si="1"/>
        <v>4</v>
      </c>
      <c r="L30">
        <f>'Stats G1'!N31</f>
        <v>2</v>
      </c>
    </row>
    <row r="31" spans="6:12" x14ac:dyDescent="0.2">
      <c r="F31" t="str">
        <f>'Stats G1'!A32</f>
        <v>Deonte</v>
      </c>
      <c r="G31" t="str">
        <f>'Stats G1'!B32</f>
        <v>Burton</v>
      </c>
      <c r="H31">
        <f>'Stats G1'!C32</f>
        <v>24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G1'!N32</f>
        <v>0</v>
      </c>
    </row>
    <row r="32" spans="6:12" x14ac:dyDescent="0.2">
      <c r="F32" t="str">
        <f>'Stats G1'!A33</f>
        <v>Jarret</v>
      </c>
      <c r="G32" t="str">
        <f>'Stats G1'!B33</f>
        <v>Jordan</v>
      </c>
      <c r="H32">
        <f>'Stats G1'!C33</f>
        <v>25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G1'!N33</f>
        <v>0</v>
      </c>
    </row>
    <row r="33" spans="6:12" x14ac:dyDescent="0.2">
      <c r="F33" t="str">
        <f>'Stats G1'!A34</f>
        <v>Ousmaine</v>
      </c>
      <c r="G33" t="str">
        <f>'Stats G1'!B34</f>
        <v>Dia</v>
      </c>
      <c r="H33">
        <f>'Stats G1'!C34</f>
        <v>30</v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G1'!N34</f>
        <v>0</v>
      </c>
    </row>
    <row r="34" spans="6:12" x14ac:dyDescent="0.2">
      <c r="F34" t="str">
        <f>'Stats G1'!A35</f>
        <v>Yannick</v>
      </c>
      <c r="G34" t="str">
        <f>'Stats G1'!B35</f>
        <v>Liunga</v>
      </c>
      <c r="H34">
        <f>'Stats G1'!C35</f>
        <v>55</v>
      </c>
      <c r="I34">
        <f>'Stats G1'!E35</f>
        <v>1</v>
      </c>
      <c r="J34">
        <f>'Stats G1'!H35</f>
        <v>2</v>
      </c>
      <c r="K34">
        <f t="shared" si="1"/>
        <v>3</v>
      </c>
      <c r="L34">
        <f>'Stats G1'!N35</f>
        <v>3</v>
      </c>
    </row>
    <row r="35" spans="6:12" x14ac:dyDescent="0.2">
      <c r="F35" t="str">
        <f>'Stats G1'!A36</f>
        <v>Dashan</v>
      </c>
      <c r="G35" t="str">
        <f>'Stats G1'!B36</f>
        <v>Benson</v>
      </c>
      <c r="H35" t="str">
        <f>'Stats G1'!C36</f>
        <v>0-0</v>
      </c>
      <c r="I35">
        <f>'Stats G1'!E36</f>
        <v>0</v>
      </c>
      <c r="J35">
        <f>'Stats G1'!H36</f>
        <v>3</v>
      </c>
      <c r="K35">
        <f t="shared" si="1"/>
        <v>3</v>
      </c>
      <c r="L35">
        <f>'Stats G1'!N36</f>
        <v>2</v>
      </c>
    </row>
    <row r="36" spans="6:12" x14ac:dyDescent="0.2">
      <c r="F36" t="str">
        <f>'Stats G1'!A37</f>
        <v>Barzin</v>
      </c>
      <c r="G36" t="str">
        <f>'Stats G1'!B37</f>
        <v>Baban</v>
      </c>
      <c r="H36">
        <f>'Stats G1'!C37</f>
        <v>13</v>
      </c>
      <c r="I36">
        <f>'Stats G1'!E37</f>
        <v>0</v>
      </c>
      <c r="J36">
        <f>'Stats G1'!H37</f>
        <v>1</v>
      </c>
      <c r="K36">
        <f t="shared" si="1"/>
        <v>1</v>
      </c>
      <c r="L36">
        <f>'Stats G1'!N37</f>
        <v>1</v>
      </c>
    </row>
    <row r="37" spans="6:12" x14ac:dyDescent="0.2">
      <c r="H37" s="2" t="s">
        <v>5</v>
      </c>
      <c r="I37">
        <f>SUM(I22:I36)</f>
        <v>4</v>
      </c>
      <c r="J37">
        <f>SUM(J22:J36)</f>
        <v>21</v>
      </c>
      <c r="K37">
        <f>SUM(K22:K36)</f>
        <v>25</v>
      </c>
      <c r="L37">
        <f>SUM(L22:L36)</f>
        <v>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21" workbookViewId="0">
      <selection activeCell="G40" sqref="G4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16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</row>
    <row r="5" spans="1:21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4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4</v>
      </c>
      <c r="H6" s="6">
        <v>5</v>
      </c>
      <c r="K6" s="6">
        <v>0</v>
      </c>
      <c r="N6" s="6">
        <v>4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0</v>
      </c>
      <c r="F11" s="5"/>
      <c r="G11" s="5"/>
      <c r="H11" s="5">
        <v>3</v>
      </c>
      <c r="I11" s="5"/>
      <c r="J11" s="5"/>
      <c r="K11" s="5">
        <v>0</v>
      </c>
      <c r="L11" s="5"/>
      <c r="M11" s="5"/>
      <c r="N11" s="5">
        <v>3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Sedrick</v>
      </c>
      <c r="B12" s="6" t="str">
        <f>_xlfn.IFNA(VLOOKUP($B$3&amp;ROWS($B$5:B12),Rosters!$B$2:$D$162,3,0),"?")</f>
        <v>Barefield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2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270</v>
      </c>
      <c r="B15" s="5"/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66</v>
      </c>
      <c r="B17" s="5" t="s">
        <v>271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4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</v>
      </c>
      <c r="H20">
        <f>SUM(H5:H19)</f>
        <v>19</v>
      </c>
      <c r="K20">
        <f>SUM(K5:K19)</f>
        <v>0</v>
      </c>
      <c r="N20">
        <f>SUM(N5:N19)</f>
        <v>17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s="5" t="str">
        <f>_xlfn.IFNA(VLOOKUP($B$21&amp;ROWS($A$23:A23),Rosters!$B$2:$C$162,2,0),"?")</f>
        <v>Roman</v>
      </c>
      <c r="B23" s="5" t="str">
        <f>_xlfn.IFNA(VLOOKUP($B$21&amp;ROWS($B$23:B23),Rosters!$B$2:$D$162,3,0),"?")</f>
        <v>McKnight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 xml:space="preserve">Brendan </v>
      </c>
      <c r="B24" s="6" t="str">
        <f>_xlfn.IFNA(VLOOKUP($B$21&amp;ROWS($B$23:B24),Rosters!$B$2:$D$162,3,0),"?")</f>
        <v>Bailey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Marquis</v>
      </c>
      <c r="B25" s="5" t="str">
        <f>_xlfn.IFNA(VLOOKUP($B$21&amp;ROWS($B$23:B25),Rosters!$B$2:$D$162,3,0),"?")</f>
        <v>Velez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Marcus</v>
      </c>
      <c r="B26" s="6" t="str">
        <f>_xlfn.IFNA(VLOOKUP($B$21&amp;ROWS($B$23:B26),Rosters!$B$2:$D$162,3,0),"?")</f>
        <v>Draney</v>
      </c>
      <c r="C26" s="6">
        <f>_xlfn.IFNA(VLOOKUP($B$21&amp;ROWS($C$23:C26),Rosters!$B$2:$E$162,4,0),"")</f>
        <v>4</v>
      </c>
      <c r="E26" s="6">
        <v>1</v>
      </c>
      <c r="H26" s="6">
        <v>3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Stefan</v>
      </c>
      <c r="B27" s="5" t="str">
        <f>_xlfn.IFNA(VLOOKUP($B$21&amp;ROWS($B$23:B27),Rosters!$B$2:$D$162,3,0),"?")</f>
        <v>Briggs</v>
      </c>
      <c r="C27" s="5">
        <f>_xlfn.IFNA(VLOOKUP($B$21&amp;ROWS($C$23:C27),Rosters!$B$2:$E$162,4,0),"")</f>
        <v>8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Derrick</v>
      </c>
      <c r="B28" s="6" t="str">
        <f>_xlfn.IFNA(VLOOKUP($B$21&amp;ROWS($B$23:B28),Rosters!$B$2:$D$162,3,0),"?")</f>
        <v>Buys</v>
      </c>
      <c r="C28" s="6">
        <f>_xlfn.IFNA(VLOOKUP($B$21&amp;ROWS($C$23:C28),Rosters!$B$2:$E$162,4,0),"")</f>
        <v>11</v>
      </c>
      <c r="E28" s="6">
        <v>0</v>
      </c>
      <c r="H28" s="6">
        <v>1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James</v>
      </c>
      <c r="B29" s="5" t="str">
        <f>_xlfn.IFNA(VLOOKUP($B$21&amp;ROWS($B$23:B29),Rosters!$B$2:$D$162,3,0),"?")</f>
        <v>Kamich</v>
      </c>
      <c r="C29" s="5">
        <f>_xlfn.IFNA(VLOOKUP($B$21&amp;ROWS($C$23:C29),Rosters!$B$2:$E$162,4,0),"")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Duncan</v>
      </c>
      <c r="B30" s="6" t="str">
        <f>_xlfn.IFNA(VLOOKUP($B$21&amp;ROWS($B$23:B30),Rosters!$B$2:$D$162,3,0),"?")</f>
        <v>Reid</v>
      </c>
      <c r="C30" s="6">
        <f>_xlfn.IFNA(VLOOKUP($B$21&amp;ROWS($C$23:C30),Rosters!$B$2:$E$162,4,0),"")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Darrian</v>
      </c>
      <c r="B31" s="5" t="str">
        <f>_xlfn.IFNA(VLOOKUP($B$21&amp;ROWS($B$23:B31),Rosters!$B$2:$D$162,3,0),"?")</f>
        <v>Briggs</v>
      </c>
      <c r="C31" s="5">
        <f>_xlfn.IFNA(VLOOKUP($B$21&amp;ROWS($C$23:C31),Rosters!$B$2:$E$162,4,0),"")</f>
        <v>22</v>
      </c>
      <c r="D31" s="5"/>
      <c r="E31" s="5">
        <v>0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Deonte</v>
      </c>
      <c r="B32" s="6" t="str">
        <f>_xlfn.IFNA(VLOOKUP($B$21&amp;ROWS($B$23:B32),Rosters!$B$2:$D$162,3,0),"?")</f>
        <v>Burton</v>
      </c>
      <c r="C32" s="6">
        <f>_xlfn.IFNA(VLOOKUP($B$21&amp;ROWS($C$23:C32),Rosters!$B$2:$E$162,4,0),"")</f>
        <v>24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Jarret</v>
      </c>
      <c r="B33" s="5" t="str">
        <f>_xlfn.IFNA(VLOOKUP($B$21&amp;ROWS($B$23:B33),Rosters!$B$2:$D$162,3,0),"?")</f>
        <v>Jordan</v>
      </c>
      <c r="C33" s="5">
        <f>_xlfn.IFNA(VLOOKUP($B$21&amp;ROWS($C$23:C33),Rosters!$B$2:$E$162,4,0),"")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Ousmaine</v>
      </c>
      <c r="B34" s="6" t="str">
        <f>_xlfn.IFNA(VLOOKUP($B$21&amp;ROWS($B$23:B34),Rosters!$B$2:$D$162,3,0),"?")</f>
        <v>Dia</v>
      </c>
      <c r="C34" s="6">
        <f>_xlfn.IFNA(VLOOKUP($B$21&amp;ROWS($C$23:C34),Rosters!$B$2:$E$162,4,0),"")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272</v>
      </c>
      <c r="B35" s="5" t="s">
        <v>273</v>
      </c>
      <c r="C35" s="5">
        <v>55</v>
      </c>
      <c r="D35" s="5"/>
      <c r="E35" s="5">
        <v>1</v>
      </c>
      <c r="F35" s="5"/>
      <c r="G35" s="5"/>
      <c r="H35" s="5">
        <v>2</v>
      </c>
      <c r="I35" s="5"/>
      <c r="J35" s="5"/>
      <c r="K35" s="5">
        <v>0</v>
      </c>
      <c r="L35" s="5"/>
      <c r="M35" s="5"/>
      <c r="N35" s="5">
        <v>3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276</v>
      </c>
      <c r="B36" s="6" t="s">
        <v>277</v>
      </c>
      <c r="C36" s="6" t="s">
        <v>274</v>
      </c>
      <c r="D36"/>
      <c r="E36" s="6">
        <v>0</v>
      </c>
      <c r="F36"/>
      <c r="G36"/>
      <c r="H36" s="6">
        <v>3</v>
      </c>
      <c r="I36"/>
      <c r="J36"/>
      <c r="K36" s="6">
        <v>0</v>
      </c>
      <c r="L36"/>
      <c r="M36"/>
      <c r="N36" s="6">
        <v>2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278</v>
      </c>
      <c r="B37" s="5" t="s">
        <v>275</v>
      </c>
      <c r="C37" s="5">
        <v>13</v>
      </c>
      <c r="D37" s="5"/>
      <c r="E37" s="5">
        <v>0</v>
      </c>
      <c r="F37" s="5"/>
      <c r="G37" s="5"/>
      <c r="H37" s="5">
        <v>1</v>
      </c>
      <c r="I37" s="5"/>
      <c r="J37" s="5"/>
      <c r="K37" s="5">
        <v>0</v>
      </c>
      <c r="L37" s="5"/>
      <c r="M37" s="5"/>
      <c r="N37" s="5">
        <v>1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4</v>
      </c>
      <c r="H38">
        <f>SUM(H23:H37)</f>
        <v>21</v>
      </c>
      <c r="K38">
        <f>SUM(K23:K37)</f>
        <v>0</v>
      </c>
      <c r="N38">
        <f>SUM(N23:N37)</f>
        <v>11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2021-07-16T22:46:22Z</dcterms:modified>
</cp:coreProperties>
</file>