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6T152351Z-001/"/>
    </mc:Choice>
  </mc:AlternateContent>
  <xr:revisionPtr revIDLastSave="0" documentId="13_ncr:1_{423D0AD7-34EF-7446-B565-D43B9413519D}" xr6:coauthVersionLast="47" xr6:coauthVersionMax="47" xr10:uidLastSave="{00000000-0000-0000-0000-000000000000}"/>
  <bookViews>
    <workbookView xWindow="9380" yWindow="500" windowWidth="19420" windowHeight="159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12" i="2"/>
  <c r="K16" i="2"/>
  <c r="K23" i="2"/>
  <c r="K34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I28" i="2"/>
  <c r="J28" i="2"/>
  <c r="K28" i="2" s="1"/>
  <c r="I29" i="2"/>
  <c r="J29" i="2"/>
  <c r="K29" i="2" s="1"/>
  <c r="I30" i="2"/>
  <c r="J30" i="2"/>
  <c r="K30" i="2" s="1"/>
  <c r="I31" i="2"/>
  <c r="J31" i="2"/>
  <c r="K31" i="2" s="1"/>
  <c r="I32" i="2"/>
  <c r="J32" i="2"/>
  <c r="K32" i="2" s="1"/>
  <c r="I33" i="2"/>
  <c r="J33" i="2"/>
  <c r="I34" i="2"/>
  <c r="J34" i="2"/>
  <c r="I35" i="2"/>
  <c r="J35" i="2"/>
  <c r="K35" i="2" s="1"/>
  <c r="I36" i="2"/>
  <c r="J36" i="2"/>
  <c r="K36" i="2" s="1"/>
  <c r="I22" i="2"/>
  <c r="K22" i="2" s="1"/>
  <c r="J22" i="2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I11" i="2"/>
  <c r="J11" i="2"/>
  <c r="I12" i="2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24" i="2" l="1"/>
  <c r="L18" i="2"/>
  <c r="K11" i="2"/>
  <c r="K10" i="2"/>
  <c r="K4" i="2"/>
  <c r="K27" i="2"/>
  <c r="L37" i="2"/>
  <c r="K3" i="2"/>
  <c r="K33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37" i="2" l="1"/>
  <c r="K18" i="2"/>
  <c r="G20" i="2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H5" i="2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<sst xmlns="http://schemas.openxmlformats.org/spreadsheetml/2006/main" count="353" uniqueCount="218">
  <si>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</si>
  <si>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</si>
  <si>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</si>
  <si>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</si>
  <si>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</si>
  <si>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</si>
  <si>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</si>
  <si>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</si>
  <si>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</si>
  <si>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</si>
  <si>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</si>
  <si>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</si>
  <si>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</si>
  <si>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</si>
  <si>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</si>
  <si>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</si>
  <si>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</si>
  <si>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</si>
  <si>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</si>
  <si>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</si>
  <si>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</si>
  <si>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</si>
  <si>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</si>
  <si>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</si>
  <si>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</si>
  <si>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</si>
  <si>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</si>
  <si>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</si>
  <si>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</si>
  <si>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</si>
  <si>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</si>
  <si>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</si>
  <si>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</si>
  <si>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</si>
  <si>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</si>
  <si>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</si>
  <si>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</si>
  <si>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</si>
  <si>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</si>
  <si>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</si>
  <si>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</si>
  <si>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</si>
  <si>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</si>
  <si>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</si>
  <si>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</si>
  <si>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</si>
  <si>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</si>
  <si>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</si>
  <si>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</si>
  <si>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</si>
  <si>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</si>
  <si>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</si>
  <si>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</si>
  <si>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</si>
  <si>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</si>
  <si>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</si>
  <si>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</si>
  <si>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</si>
  <si>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</si>
  <si>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</si>
  <si>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</si>
  <si>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</si>
  <si>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</si>
  <si>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</si>
  <si>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</si>
  <si>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</si>
  <si>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</si>
  <si>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</si>
  <si>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</si>
  <si>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</si>
  <si>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</si>
  <si>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</si>
  <si>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</si>
  <si>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</si>
  <si>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</si>
  <si>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</si>
  <si>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</si>
  <si>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</si>
  <si>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</si>
  <si>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</si>
  <si>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</si>
  <si>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</si>
  <si>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</si>
  <si>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</si>
  <si>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</si>
  <si>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</si>
  <si>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</si>
  <si>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</si>
  <si>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</si>
  <si>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</si>
  <si>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</si>
  <si>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</si>
  <si>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</si>
  <si>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</si>
  <si>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</si>
  <si>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</si>
  <si>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</si>
  <si>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</si>
  <si>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</si>
  <si>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</si>
  <si>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</si>
  <si>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</si>
  <si>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</si>
  <si>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</si>
  <si>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</si>
  <si>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</si>
  <si>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</si>
  <si>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</si>
  <si>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</si>
  <si>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</si>
  <si>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</si>
  <si>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</si>
  <si>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</si>
  <si>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</si>
  <si>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</si>
  <si>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</si>
  <si>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</si>
  <si>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</si>
  <si>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</si>
  <si>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</si>
  <si>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</si>
  <si>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</si>
  <si>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</si>
  <si>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</si>
  <si>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</si>
  <si>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</si>
  <si>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</si>
  <si>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</si>
  <si>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</si>
  <si>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</si>
  <si>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</si>
  <si>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</si>
  <si>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</si>
  <si>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</si>
  <si>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</si>
  <si>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</si>
  <si>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</si>
  <si>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</si>
  <si>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</si>
  <si>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</si>
  <si>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</si>
  <si>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</si>
  <si>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</si>
  <si>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</si>
  <si>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</si>
  <si>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</si>
  <si>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</si>
  <si>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</si>
  <si>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</si>
  <si>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</si>
  <si>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</si>
  <si>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</si>
  <si>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</si>
  <si>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</si>
  <si>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</si>
  <si>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</si>
  <si>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</si>
  <si>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</si>
  <si>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</si>
  <si>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</si>
  <si>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</si>
  <si>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</si>
  <si>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</si>
  <si>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</si>
  <si>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</si>
  <si>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</si>
  <si>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</si>
  <si>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</si>
  <si>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</si>
  <si>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</si>
  <si>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</si>
  <si>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</si>
  <si>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</si>
  <si>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</si>
  <si>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</si>
  <si>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</si>
  <si>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</si>
  <si>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</si>
  <si>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</si>
  <si>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</si>
  <si>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</si>
  <si>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</si>
  <si>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</si>
  <si>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</si>
  <si>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</si>
  <si>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</si>
  <si>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</si>
  <si>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</si>
  <si>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</si>
  <si>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</si>
  <si>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</si>
  <si>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</si>
  <si>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</si>
  <si>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</si>
  <si>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</si>
  <si>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</si>
  <si>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</si>
  <si>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</si>
  <si>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</si>
  <si>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</si>
  <si>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</si>
  <si>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</si>
  <si>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</si>
  <si>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</si>
  <si>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</si>
  <si>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</si>
  <si>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</si>
  <si>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</si>
  <si>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</si>
  <si>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</si>
  <si>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</si>
  <si>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</si>
  <si>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</si>
  <si>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</si>
  <si>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TimeOuts</t>
  </si>
  <si>
    <t xml:space="preserve">1st half: </t>
  </si>
  <si>
    <t xml:space="preserve">2nd half: 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</si>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</sst>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29" sqref="F29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Team Berger</v>
      </c>
    </row>
    <row r="2" spans="2:13" x14ac:dyDescent="0.2">
      <c r="B2" t="str">
        <f>G1</f>
        <v>Team Berger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217</v>
      </c>
      <c r="M2" t="s">
        <v>214</v>
      </c>
    </row>
    <row r="3" spans="2:13" x14ac:dyDescent="0.2">
      <c r="B3">
        <f>I18</f>
        <v>12</v>
      </c>
      <c r="C3" s="3" t="s">
        <v>6</v>
      </c>
      <c r="D3" s="4">
        <f>I37</f>
        <v>9</v>
      </c>
      <c r="F3" t="str">
        <f>'Stats G1'!A3</f>
        <v>Sean</v>
      </c>
      <c r="G3" t="str">
        <f>'Stats G1'!B3</f>
        <v>Harris</v>
      </c>
      <c r="H3">
        <f>'Stats G1'!C3</f>
        <v>60</v>
      </c>
      <c r="I3">
        <f>'Stats G1'!E3</f>
        <v>1</v>
      </c>
      <c r="J3">
        <f>'Stats G1'!H3</f>
        <v>3</v>
      </c>
      <c r="K3">
        <f>J3+I3</f>
        <v>4</v>
      </c>
      <c r="L3">
        <f>'Stats G1'!K3</f>
        <v>1</v>
      </c>
    </row>
    <row r="4" spans="2:13" x14ac:dyDescent="0.2">
      <c r="F4" t="str">
        <f>'Stats G1'!A4</f>
        <v>Parker</v>
      </c>
      <c r="G4" t="str">
        <f>'Stats G1'!B4</f>
        <v>Van Dyke</v>
      </c>
      <c r="H4">
        <f>'Stats G1'!C4</f>
        <v>7</v>
      </c>
      <c r="I4">
        <f>'Stats G1'!E4</f>
        <v>2</v>
      </c>
      <c r="J4">
        <f>'Stats G1'!H4</f>
        <v>6</v>
      </c>
      <c r="K4">
        <f t="shared" ref="K4:K17" si="0">J4+I4</f>
        <v>8</v>
      </c>
      <c r="L4">
        <f>'Stats G1'!K4</f>
        <v>0</v>
      </c>
    </row>
    <row r="5" spans="2:13" x14ac:dyDescent="0.2">
      <c r="F5" t="str">
        <f>'Stats G1'!A5</f>
        <v>Danny</v>
      </c>
      <c r="G5" t="str">
        <f>'Stats G1'!B5</f>
        <v>Berger</v>
      </c>
      <c r="H5">
        <f>'Stats G1'!C5</f>
        <v>10</v>
      </c>
      <c r="I5">
        <f>'Stats G1'!E5</f>
        <v>0</v>
      </c>
      <c r="J5">
        <f>'Stats G1'!H5</f>
        <v>3</v>
      </c>
      <c r="K5">
        <f t="shared" si="0"/>
        <v>3</v>
      </c>
      <c r="L5">
        <f>'Stats G1'!K5</f>
        <v>0</v>
      </c>
    </row>
    <row r="6" spans="2:13" x14ac:dyDescent="0.2">
      <c r="F6" t="str">
        <f>'Stats G1'!A6</f>
        <v>Zac</v>
      </c>
      <c r="G6" t="str">
        <f>'Stats G1'!B6</f>
        <v>Seljaas</v>
      </c>
      <c r="H6">
        <f>'Stats G1'!C6</f>
        <v>99</v>
      </c>
      <c r="I6">
        <f>'Stats G1'!E6</f>
        <v>3</v>
      </c>
      <c r="J6">
        <f>'Stats G1'!H6</f>
        <v>11</v>
      </c>
      <c r="K6">
        <f t="shared" si="0"/>
        <v>14</v>
      </c>
      <c r="L6">
        <f>'Stats G1'!K6</f>
        <v>2</v>
      </c>
    </row>
    <row r="7" spans="2:13" x14ac:dyDescent="0.2">
      <c r="F7" t="str">
        <f>'Stats G1'!A7</f>
        <v>Peter</v>
      </c>
      <c r="G7" t="str">
        <f>'Stats G1'!B7</f>
        <v>Brown</v>
      </c>
      <c r="H7">
        <f>'Stats G1'!C7</f>
        <v>33</v>
      </c>
      <c r="I7">
        <f>'Stats G1'!E7</f>
        <v>1</v>
      </c>
      <c r="J7">
        <f>'Stats G1'!H7</f>
        <v>7</v>
      </c>
      <c r="K7">
        <f t="shared" si="0"/>
        <v>8</v>
      </c>
      <c r="L7">
        <f>'Stats G1'!K7</f>
        <v>2</v>
      </c>
    </row>
    <row r="8" spans="2:13" x14ac:dyDescent="0.2">
      <c r="F8" t="str">
        <f>'Stats G1'!A8</f>
        <v>Zavon</v>
      </c>
      <c r="G8" t="str">
        <f>'Stats G1'!B8</f>
        <v>Jackson</v>
      </c>
      <c r="H8">
        <f>'Stats G1'!C8</f>
        <v>24</v>
      </c>
      <c r="I8">
        <f>'Stats G1'!E8</f>
        <v>4</v>
      </c>
      <c r="J8">
        <f>'Stats G1'!H8</f>
        <v>1</v>
      </c>
      <c r="K8">
        <f t="shared" si="0"/>
        <v>5</v>
      </c>
      <c r="L8">
        <f>'Stats G1'!K8</f>
        <v>3</v>
      </c>
    </row>
    <row r="9" spans="2:13" x14ac:dyDescent="0.2">
      <c r="F9" t="str">
        <f>'Stats G1'!A9</f>
        <v>Spencer</v>
      </c>
      <c r="G9" t="str">
        <f>'Stats G1'!B9</f>
        <v>Butterfield</v>
      </c>
      <c r="H9">
        <f>'Stats G1'!C9</f>
        <v>21</v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</row>
    <row r="10" spans="2:13" x14ac:dyDescent="0.2">
      <c r="F10" t="str">
        <f>'Stats G1'!A10</f>
        <v>Rylan</v>
      </c>
      <c r="G10" t="str">
        <f>'Stats G1'!B10</f>
        <v>Jones</v>
      </c>
      <c r="H10">
        <f>'Stats G1'!C10</f>
        <v>15</v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</row>
    <row r="11" spans="2:13" x14ac:dyDescent="0.2">
      <c r="F11" t="str">
        <f>'Stats G1'!A11</f>
        <v>Brandon</v>
      </c>
      <c r="G11" t="str">
        <f>'Stats G1'!B11</f>
        <v>Sly</v>
      </c>
      <c r="H11">
        <f>'Stats G1'!C11</f>
        <v>2</v>
      </c>
      <c r="I11">
        <f>'Stats G1'!E11</f>
        <v>1</v>
      </c>
      <c r="J11">
        <f>'Stats G1'!H11</f>
        <v>2</v>
      </c>
      <c r="K11">
        <f t="shared" si="0"/>
        <v>3</v>
      </c>
      <c r="L11">
        <f>'Stats G1'!K11</f>
        <v>1</v>
      </c>
    </row>
    <row r="12" spans="2:13" x14ac:dyDescent="0.2">
      <c r="F12" t="str">
        <f>'Stats G1'!A12</f>
        <v>Viko</v>
      </c>
      <c r="G12" t="str">
        <f>'Stats G1'!B12</f>
        <v>Noma'aea</v>
      </c>
      <c r="H12">
        <f>'Stats G1'!C12</f>
        <v>6</v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</row>
    <row r="13" spans="2:13" x14ac:dyDescent="0.2">
      <c r="F13" t="str">
        <f>'Stats G1'!A13</f>
        <v>Steven</v>
      </c>
      <c r="G13" t="str">
        <f>'Stats G1'!B13</f>
        <v>Ashworth</v>
      </c>
      <c r="H13">
        <f>'Stats G1'!C13</f>
        <v>0</v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</row>
    <row r="14" spans="2:13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</row>
    <row r="15" spans="2:13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</row>
    <row r="16" spans="2:13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3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3" x14ac:dyDescent="0.2">
      <c r="H18" s="2" t="s">
        <v>5</v>
      </c>
      <c r="I18">
        <f t="shared" ref="I18:L18" si="1">SUM(I3:I17)</f>
        <v>12</v>
      </c>
      <c r="J18">
        <f t="shared" si="1"/>
        <v>33</v>
      </c>
      <c r="K18">
        <f t="shared" si="1"/>
        <v>45</v>
      </c>
      <c r="L18">
        <f t="shared" si="1"/>
        <v>9</v>
      </c>
      <c r="M18">
        <f>'Stats G1'!Z3+'Stats G1'!Y4+'Stats G1'!Z5+'Stats G1'!Y6</f>
        <v>0</v>
      </c>
    </row>
    <row r="20" spans="6:13" x14ac:dyDescent="0.2">
      <c r="F20" t="s">
        <v>4</v>
      </c>
      <c r="G20" t="str">
        <f>'Stats G1'!B19</f>
        <v>Team Bullock</v>
      </c>
    </row>
    <row r="21" spans="6:13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217</v>
      </c>
      <c r="M21" t="s">
        <v>214</v>
      </c>
    </row>
    <row r="22" spans="6:13" x14ac:dyDescent="0.2">
      <c r="F22" t="str">
        <f>'Stats G1'!A21</f>
        <v>Tyus</v>
      </c>
      <c r="G22" t="str">
        <f>'Stats G1'!B21</f>
        <v>Jefferson</v>
      </c>
      <c r="H22">
        <f>'Stats G1'!C21</f>
        <v>3</v>
      </c>
      <c r="I22">
        <f>'Stats G1'!E21</f>
        <v>1</v>
      </c>
      <c r="J22">
        <f>'Stats G1'!H21</f>
        <v>0</v>
      </c>
      <c r="K22">
        <f>J22+I22</f>
        <v>1</v>
      </c>
      <c r="L22">
        <f>'Stats G1'!K21</f>
        <v>0</v>
      </c>
    </row>
    <row r="23" spans="6:13" x14ac:dyDescent="0.2">
      <c r="F23" t="str">
        <f>'Stats G1'!A22</f>
        <v>Jordan</v>
      </c>
      <c r="G23" t="str">
        <f>'Stats G1'!B22</f>
        <v>Loveridge</v>
      </c>
      <c r="H23">
        <f>'Stats G1'!C22</f>
        <v>21</v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</row>
    <row r="24" spans="6:13" x14ac:dyDescent="0.2">
      <c r="F24" t="str">
        <f>'Stats G1'!A23</f>
        <v>Kyndayl</v>
      </c>
      <c r="G24" t="str">
        <f>'Stats G1'!B23</f>
        <v>Hill</v>
      </c>
      <c r="H24">
        <f>'Stats G1'!C23</f>
        <v>15</v>
      </c>
      <c r="I24">
        <f>'Stats G1'!E23</f>
        <v>1</v>
      </c>
      <c r="J24">
        <f>'Stats G1'!H23</f>
        <v>5</v>
      </c>
      <c r="K24">
        <f t="shared" si="2"/>
        <v>6</v>
      </c>
      <c r="L24">
        <f>'Stats G1'!K23</f>
        <v>0</v>
      </c>
    </row>
    <row r="25" spans="6:13" x14ac:dyDescent="0.2">
      <c r="F25" t="str">
        <f>'Stats G1'!A24</f>
        <v>Duce</v>
      </c>
      <c r="G25" t="str">
        <f>'Stats G1'!B24</f>
        <v>Zaid</v>
      </c>
      <c r="H25">
        <f>'Stats G1'!C24</f>
        <v>5</v>
      </c>
      <c r="I25">
        <f>'Stats G1'!E24</f>
        <v>0</v>
      </c>
      <c r="J25">
        <f>'Stats G1'!H24</f>
        <v>3</v>
      </c>
      <c r="K25">
        <f t="shared" si="2"/>
        <v>3</v>
      </c>
      <c r="L25">
        <f>'Stats G1'!K24</f>
        <v>1</v>
      </c>
    </row>
    <row r="26" spans="6:13" x14ac:dyDescent="0.2">
      <c r="F26" t="str">
        <f>'Stats G1'!A25</f>
        <v>Charles</v>
      </c>
      <c r="G26" t="str">
        <f>'Stats G1'!B25</f>
        <v>Nann</v>
      </c>
      <c r="H26">
        <f>'Stats G1'!C25</f>
        <v>7</v>
      </c>
      <c r="I26">
        <f>'Stats G1'!E25</f>
        <v>1</v>
      </c>
      <c r="J26">
        <f>'Stats G1'!H25</f>
        <v>3</v>
      </c>
      <c r="K26">
        <f t="shared" si="2"/>
        <v>4</v>
      </c>
      <c r="L26">
        <f>'Stats G1'!K25</f>
        <v>0</v>
      </c>
    </row>
    <row r="27" spans="6:13" x14ac:dyDescent="0.2">
      <c r="F27" t="str">
        <f>'Stats G1'!A26</f>
        <v>Marqus</v>
      </c>
      <c r="G27" t="str">
        <f>'Stats G1'!B26</f>
        <v>Gilson</v>
      </c>
      <c r="H27">
        <f>'Stats G1'!C26</f>
        <v>24</v>
      </c>
      <c r="I27">
        <f>'Stats G1'!E26</f>
        <v>4</v>
      </c>
      <c r="J27">
        <f>'Stats G1'!H26</f>
        <v>2</v>
      </c>
      <c r="K27">
        <f t="shared" si="2"/>
        <v>6</v>
      </c>
      <c r="L27">
        <f>'Stats G1'!K26</f>
        <v>0</v>
      </c>
    </row>
    <row r="28" spans="6:13" x14ac:dyDescent="0.2">
      <c r="F28" t="str">
        <f>'Stats G1'!A27</f>
        <v>Ray</v>
      </c>
      <c r="G28" t="str">
        <f>'Stats G1'!B27</f>
        <v>Gallegos</v>
      </c>
      <c r="H28">
        <f>'Stats G1'!C27</f>
        <v>8</v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</row>
    <row r="29" spans="6:13" x14ac:dyDescent="0.2">
      <c r="F29" t="str">
        <f>'Stats G1'!A28</f>
        <v>Colton</v>
      </c>
      <c r="G29" t="str">
        <f>'Stats G1'!B28</f>
        <v>Burgon</v>
      </c>
      <c r="H29">
        <f>'Stats G1'!C28</f>
        <v>20</v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</row>
    <row r="30" spans="6:13" x14ac:dyDescent="0.2">
      <c r="F30" t="str">
        <f>'Stats G1'!A29</f>
        <v>Thomas</v>
      </c>
      <c r="G30" t="str">
        <f>'Stats G1'!B29</f>
        <v>Bullock</v>
      </c>
      <c r="H30">
        <f>'Stats G1'!C29</f>
        <v>22</v>
      </c>
      <c r="I30">
        <f>'Stats G1'!E29</f>
        <v>1</v>
      </c>
      <c r="J30">
        <f>'Stats G1'!H29</f>
        <v>4</v>
      </c>
      <c r="K30">
        <f t="shared" si="2"/>
        <v>5</v>
      </c>
      <c r="L30">
        <f>'Stats G1'!K29</f>
        <v>4</v>
      </c>
    </row>
    <row r="31" spans="6:13" x14ac:dyDescent="0.2">
      <c r="F31" t="str">
        <f>'Stats G1'!A30</f>
        <v>Tyler</v>
      </c>
      <c r="G31" t="str">
        <f>'Stats G1'!B30</f>
        <v>Burgess</v>
      </c>
      <c r="H31">
        <f>'Stats G1'!C30</f>
        <v>23</v>
      </c>
      <c r="I31">
        <f>'Stats G1'!E30</f>
        <v>1</v>
      </c>
      <c r="J31">
        <f>'Stats G1'!H30</f>
        <v>3</v>
      </c>
      <c r="K31">
        <f t="shared" si="2"/>
        <v>4</v>
      </c>
      <c r="L31">
        <f>'Stats G1'!K30</f>
        <v>0</v>
      </c>
    </row>
    <row r="32" spans="6:13" x14ac:dyDescent="0.2">
      <c r="F32" t="str">
        <f>'Stats G1'!A31</f>
        <v>Kentrell</v>
      </c>
      <c r="G32" t="str">
        <f>'Stats G1'!B31</f>
        <v>Barkley</v>
      </c>
      <c r="H32">
        <f>'Stats G1'!C31</f>
        <v>12</v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</row>
    <row r="33" spans="6:13" x14ac:dyDescent="0.2">
      <c r="F33" t="str">
        <f>'Stats G1'!A32</f>
        <v>Brenden</v>
      </c>
      <c r="G33" t="str">
        <f>'Stats G1'!B32</f>
        <v>Morris</v>
      </c>
      <c r="H33">
        <f>'Stats G1'!C32</f>
        <v>23</v>
      </c>
      <c r="I33">
        <f>'Stats G1'!E32</f>
        <v>0</v>
      </c>
      <c r="J33">
        <f>'Stats G1'!H32</f>
        <v>3</v>
      </c>
      <c r="K33">
        <f t="shared" si="2"/>
        <v>3</v>
      </c>
      <c r="L33">
        <f>'Stats G1'!K32</f>
        <v>0</v>
      </c>
    </row>
    <row r="34" spans="6:13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</row>
    <row r="35" spans="6:13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</row>
    <row r="36" spans="6:13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</row>
    <row r="37" spans="6:13" x14ac:dyDescent="0.2">
      <c r="H37" s="2" t="s">
        <v>5</v>
      </c>
      <c r="I37">
        <f t="shared" ref="I37:L37" si="3">SUM(I22:I36)</f>
        <v>9</v>
      </c>
      <c r="J37">
        <f t="shared" si="3"/>
        <v>23</v>
      </c>
      <c r="K37">
        <f t="shared" si="3"/>
        <v>32</v>
      </c>
      <c r="L37">
        <f t="shared" si="3"/>
        <v>5</v>
      </c>
      <c r="M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K2" sqref="K2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142</v>
      </c>
    </row>
    <row r="2" spans="1:25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217</v>
      </c>
      <c r="Y2" t="s">
        <v>214</v>
      </c>
    </row>
    <row r="3" spans="1:25" s="6" customFormat="1" x14ac:dyDescent="0.2">
      <c r="A3" s="5" t="str">
        <f>_xlfn.IFNA(VLOOKUP($B$1&amp;ROWS($A$3:A3),Rosters!$B$2:$C$163,2,0),"?")</f>
        <v>Sean</v>
      </c>
      <c r="B3" s="5" t="str">
        <f>_xlfn.IFNA(VLOOKUP($B$1&amp;ROWS($B$3:B3),Rosters!$B$2:$D$163,3,0),"?")</f>
        <v>Harris</v>
      </c>
      <c r="C3" s="5">
        <f>_xlfn.IFNA(VLOOKUP($B$1&amp;ROWS($C$3:C3),Rosters!$B$2:$E$163,4,0),"")</f>
        <v>60</v>
      </c>
      <c r="D3" s="5"/>
      <c r="E3" s="5">
        <v>1</v>
      </c>
      <c r="F3" s="5"/>
      <c r="G3" s="5"/>
      <c r="H3" s="5">
        <v>3</v>
      </c>
      <c r="I3" s="5"/>
      <c r="J3" s="5"/>
      <c r="K3" s="5">
        <v>1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</row>
    <row r="4" spans="1:25" s="6" customFormat="1" x14ac:dyDescent="0.2">
      <c r="A4" s="6" t="str">
        <f>_xlfn.IFNA(VLOOKUP($B$1&amp;ROWS($A$3:A4),Rosters!$B$2:$C$163,2,0),"?")</f>
        <v>Parker</v>
      </c>
      <c r="B4" s="6" t="str">
        <f>_xlfn.IFNA(VLOOKUP($B$1&amp;ROWS($B$3:B4),Rosters!$B$2:$D$163,3,0),"?")</f>
        <v>Van Dyke</v>
      </c>
      <c r="C4" s="6">
        <f>_xlfn.IFNA(VLOOKUP($B$1&amp;ROWS($C$3:C4),Rosters!$B$2:$E$163,4,0),"")</f>
        <v>7</v>
      </c>
      <c r="E4" s="6">
        <v>2</v>
      </c>
      <c r="H4" s="6">
        <v>6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Danny</v>
      </c>
      <c r="B5" s="5" t="str">
        <f>_xlfn.IFNA(VLOOKUP($B$1&amp;ROWS($B$3:B5),Rosters!$B$2:$D$163,3,0),"?")</f>
        <v>Berger</v>
      </c>
      <c r="C5" s="5">
        <v>10</v>
      </c>
      <c r="D5" s="5"/>
      <c r="E5" s="5">
        <v>0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216</v>
      </c>
    </row>
    <row r="6" spans="1:25" s="6" customFormat="1" x14ac:dyDescent="0.2">
      <c r="A6" s="6" t="str">
        <f>_xlfn.IFNA(VLOOKUP($B$1&amp;ROWS($A$3:A6),Rosters!$B$2:$C$163,2,0),"?")</f>
        <v>Zac</v>
      </c>
      <c r="B6" s="6" t="str">
        <f>_xlfn.IFNA(VLOOKUP($B$1&amp;ROWS($B$3:B6),Rosters!$B$2:$D$163,3,0),"?")</f>
        <v>Seljaas</v>
      </c>
      <c r="C6" s="6">
        <f>_xlfn.IFNA(VLOOKUP($B$1&amp;ROWS($C$3:C6),Rosters!$B$2:$E$163,4,0),"")</f>
        <v>99</v>
      </c>
      <c r="E6" s="6">
        <v>3</v>
      </c>
      <c r="H6" s="6">
        <v>11</v>
      </c>
      <c r="K6" s="6">
        <v>2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Peter</v>
      </c>
      <c r="B7" s="5" t="str">
        <f>_xlfn.IFNA(VLOOKUP($B$1&amp;ROWS($B$3:B7),Rosters!$B$2:$D$163,3,0),"?")</f>
        <v>Brown</v>
      </c>
      <c r="C7" s="5">
        <f>_xlfn.IFNA(VLOOKUP($B$1&amp;ROWS($C$3:C7),Rosters!$B$2:$E$163,4,0),"")</f>
        <v>33</v>
      </c>
      <c r="D7" s="5"/>
      <c r="E7" s="5">
        <v>1</v>
      </c>
      <c r="F7" s="5"/>
      <c r="G7" s="5"/>
      <c r="H7" s="5">
        <v>7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Zavon</v>
      </c>
      <c r="B8" s="6" t="str">
        <f>_xlfn.IFNA(VLOOKUP($B$1&amp;ROWS($B$3:B8),Rosters!$B$2:$D$163,3,0),"?")</f>
        <v>Jackson</v>
      </c>
      <c r="C8" s="6">
        <f>_xlfn.IFNA(VLOOKUP($B$1&amp;ROWS($C$3:C8),Rosters!$B$2:$E$163,4,0),"")</f>
        <v>24</v>
      </c>
      <c r="E8" s="6">
        <v>4</v>
      </c>
      <c r="H8" s="6">
        <v>1</v>
      </c>
      <c r="K8" s="6">
        <v>3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Spencer</v>
      </c>
      <c r="B9" s="5" t="str">
        <f>_xlfn.IFNA(VLOOKUP($B$1&amp;ROWS($B$3:B9),Rosters!$B$2:$D$163,3,0),"?")</f>
        <v>Butterfield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Rylan</v>
      </c>
      <c r="B10" s="6" t="str">
        <f>_xlfn.IFNA(VLOOKUP($B$1&amp;ROWS($B$3:B10),Rosters!$B$2:$D$163,3,0),"?")</f>
        <v>Jones</v>
      </c>
      <c r="C10" s="6">
        <f>_xlfn.IFNA(VLOOKUP($B$1&amp;ROWS($C$3:C10),Rosters!$B$2:$E$163,4,0),"")</f>
        <v>15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Brandon</v>
      </c>
      <c r="B11" s="5" t="str">
        <f>_xlfn.IFNA(VLOOKUP($B$1&amp;ROWS($B$3:B11),Rosters!$B$2:$D$163,3,0),"?")</f>
        <v>Sly</v>
      </c>
      <c r="C11" s="5">
        <f>_xlfn.IFNA(VLOOKUP($B$1&amp;ROWS($C$3:C11),Rosters!$B$2:$E$163,4,0),"")</f>
        <v>2</v>
      </c>
      <c r="D11" s="5"/>
      <c r="E11" s="5">
        <v>1</v>
      </c>
      <c r="F11" s="5"/>
      <c r="G11" s="5"/>
      <c r="H11" s="5">
        <v>2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Viko</v>
      </c>
      <c r="B12" s="6" t="str">
        <f>_xlfn.IFNA(VLOOKUP($B$1&amp;ROWS($B$3:B12),Rosters!$B$2:$D$163,3,0),"?")</f>
        <v>Noma'aea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Steven</v>
      </c>
      <c r="B13" s="5" t="str">
        <f>_xlfn.IFNA(VLOOKUP($B$1&amp;ROWS($B$3:B13),Rosters!$B$2:$D$163,3,0),"?")</f>
        <v>Ashworth</v>
      </c>
      <c r="C13" s="5">
        <f>_xlfn.IFNA(VLOOKUP($B$1&amp;ROWS($C$3:C13),Rosters!$B$2:$E$163,4,0),"")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12</v>
      </c>
      <c r="H18" s="6">
        <f>SUM(H3:H17)</f>
        <v>33</v>
      </c>
      <c r="K18" s="6">
        <f>SUM(K3:K17)</f>
        <v>9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20</v>
      </c>
    </row>
    <row r="20" spans="1:25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217</v>
      </c>
      <c r="Y20" t="s">
        <v>214</v>
      </c>
    </row>
    <row r="21" spans="1:25" s="6" customFormat="1" x14ac:dyDescent="0.2">
      <c r="A21" s="5" t="str">
        <f>_xlfn.IFNA(VLOOKUP($B$19&amp;ROWS($A$21:A21),Rosters!$B$2:$C$163,2,0),"?")</f>
        <v>Tyus</v>
      </c>
      <c r="B21" s="5" t="str">
        <f>_xlfn.IFNA(VLOOKUP($B$19&amp;ROWS($B$21:B21),Rosters!$B$2:$D$163,3,0),"?")</f>
        <v>Jefferson</v>
      </c>
      <c r="C21" s="5">
        <f>_xlfn.IFNA(VLOOKUP($B$19&amp;ROWS($C$21:C21),Rosters!$B$2:$E$163,4,0),"")</f>
        <v>3</v>
      </c>
      <c r="D21" s="5"/>
      <c r="E21" s="5">
        <v>1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215</v>
      </c>
    </row>
    <row r="22" spans="1:25" x14ac:dyDescent="0.2">
      <c r="A22" t="str">
        <f>_xlfn.IFNA(VLOOKUP($B$19&amp;ROWS($A$21:A22),Rosters!$B$2:$C$163,2,0),"?")</f>
        <v>Jordan</v>
      </c>
      <c r="B22" t="str">
        <f>_xlfn.IFNA(VLOOKUP($B$19&amp;ROWS($B$21:B22),Rosters!$B$2:$D$163,3,0),"?")</f>
        <v>Loveridge</v>
      </c>
      <c r="C22">
        <f>_xlfn.IFNA(VLOOKUP($B$19&amp;ROWS($C$21:C22),Rosters!$B$2:$E$163,4,0),"")</f>
        <v>21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Kyndayl</v>
      </c>
      <c r="B23" s="5" t="str">
        <f>_xlfn.IFNA(VLOOKUP($B$19&amp;ROWS($B$21:B23),Rosters!$B$2:$D$163,3,0),"?")</f>
        <v>Hill</v>
      </c>
      <c r="C23" s="5">
        <f>_xlfn.IFNA(VLOOKUP($B$19&amp;ROWS($C$21:C23),Rosters!$B$2:$E$163,4,0),"")</f>
        <v>15</v>
      </c>
      <c r="D23" s="5"/>
      <c r="E23" s="5">
        <v>1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216</v>
      </c>
    </row>
    <row r="24" spans="1:25" x14ac:dyDescent="0.2">
      <c r="A24" t="str">
        <f>_xlfn.IFNA(VLOOKUP($B$19&amp;ROWS($A$21:A24),Rosters!$B$2:$C$163,2,0),"?")</f>
        <v>Duce</v>
      </c>
      <c r="B24" t="str">
        <f>_xlfn.IFNA(VLOOKUP($B$19&amp;ROWS($B$21:B24),Rosters!$B$2:$D$163,3,0),"?")</f>
        <v>Zaid</v>
      </c>
      <c r="C24">
        <f>_xlfn.IFNA(VLOOKUP($B$19&amp;ROWS($C$21:C24),Rosters!$B$2:$E$163,4,0),"")</f>
        <v>5</v>
      </c>
      <c r="D24" s="6"/>
      <c r="E24" s="6">
        <v>0</v>
      </c>
      <c r="F24" s="6"/>
      <c r="G24" s="6"/>
      <c r="H24" s="6">
        <v>3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Charles</v>
      </c>
      <c r="B25" s="5" t="str">
        <f>_xlfn.IFNA(VLOOKUP($B$19&amp;ROWS($B$21:B25),Rosters!$B$2:$D$163,3,0),"?")</f>
        <v>Nann</v>
      </c>
      <c r="C25" s="5">
        <f>_xlfn.IFNA(VLOOKUP($B$19&amp;ROWS($C$21:C25),Rosters!$B$2:$E$163,4,0),"")</f>
        <v>7</v>
      </c>
      <c r="D25" s="5"/>
      <c r="E25" s="5">
        <v>1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Marqus</v>
      </c>
      <c r="B26" t="str">
        <f>_xlfn.IFNA(VLOOKUP($B$19&amp;ROWS($B$21:B26),Rosters!$B$2:$D$163,3,0),"?")</f>
        <v>Gilson</v>
      </c>
      <c r="C26">
        <f>_xlfn.IFNA(VLOOKUP($B$19&amp;ROWS($C$21:C26),Rosters!$B$2:$E$163,4,0),"")</f>
        <v>24</v>
      </c>
      <c r="D26" s="6"/>
      <c r="E26" s="6">
        <v>4</v>
      </c>
      <c r="F26" s="6"/>
      <c r="G26" s="6"/>
      <c r="H26" s="6">
        <v>2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Ray</v>
      </c>
      <c r="B27" s="5" t="str">
        <f>_xlfn.IFNA(VLOOKUP($B$19&amp;ROWS($B$21:B27),Rosters!$B$2:$D$163,3,0),"?")</f>
        <v>Gallegos</v>
      </c>
      <c r="C27" s="5">
        <f>_xlfn.IFNA(VLOOKUP($B$19&amp;ROWS($C$21:C27),Rosters!$B$2:$E$163,4,0),"")</f>
        <v>8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Colton</v>
      </c>
      <c r="B28" t="str">
        <f>_xlfn.IFNA(VLOOKUP($B$19&amp;ROWS($B$21:B28),Rosters!$B$2:$D$163,3,0),"?")</f>
        <v>Burgon</v>
      </c>
      <c r="C28">
        <f>_xlfn.IFNA(VLOOKUP($B$19&amp;ROWS($C$21:C28),Rosters!$B$2:$E$163,4,0),"")</f>
        <v>20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Thomas</v>
      </c>
      <c r="B29" s="5" t="str">
        <f>_xlfn.IFNA(VLOOKUP($B$19&amp;ROWS($B$21:B29),Rosters!$B$2:$D$163,3,0),"?")</f>
        <v>Bullock</v>
      </c>
      <c r="C29" s="5">
        <f>_xlfn.IFNA(VLOOKUP($B$19&amp;ROWS($C$21:C29),Rosters!$B$2:$E$163,4,0),"")</f>
        <v>22</v>
      </c>
      <c r="D29" s="5"/>
      <c r="E29" s="5">
        <v>1</v>
      </c>
      <c r="F29" s="5"/>
      <c r="G29" s="5"/>
      <c r="H29" s="5">
        <v>4</v>
      </c>
      <c r="I29" s="5"/>
      <c r="J29" s="5"/>
      <c r="K29" s="5">
        <v>4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Tyler</v>
      </c>
      <c r="B30" t="str">
        <f>_xlfn.IFNA(VLOOKUP($B$19&amp;ROWS($B$21:B30),Rosters!$B$2:$D$163,3,0),"?")</f>
        <v>Burgess</v>
      </c>
      <c r="C30">
        <f>_xlfn.IFNA(VLOOKUP($B$19&amp;ROWS($C$21:C30),Rosters!$B$2:$E$163,4,0),"")</f>
        <v>23</v>
      </c>
      <c r="D30" s="6"/>
      <c r="E30" s="6">
        <v>1</v>
      </c>
      <c r="F30" s="6"/>
      <c r="G30" s="6"/>
      <c r="H30" s="6">
        <v>3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Kentrell</v>
      </c>
      <c r="B31" s="5" t="str">
        <f>_xlfn.IFNA(VLOOKUP($B$19&amp;ROWS($B$21:B31),Rosters!$B$2:$D$163,3,0),"?")</f>
        <v>Barkley</v>
      </c>
      <c r="C31" s="5">
        <f>_xlfn.IFNA(VLOOKUP($B$19&amp;ROWS($C$21:C31),Rosters!$B$2:$E$163,4,0),"")</f>
        <v>12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Brenden</v>
      </c>
      <c r="B32" t="str">
        <f>_xlfn.IFNA(VLOOKUP($B$19&amp;ROWS($B$21:B32),Rosters!$B$2:$D$163,3,0),"?")</f>
        <v>Morris</v>
      </c>
      <c r="C32">
        <f>_xlfn.IFNA(VLOOKUP($B$19&amp;ROWS($C$21:C32),Rosters!$B$2:$E$163,4,0),"")</f>
        <v>23</v>
      </c>
      <c r="D32" s="6"/>
      <c r="E32" s="6">
        <v>0</v>
      </c>
      <c r="F32" s="6"/>
      <c r="G32" s="6"/>
      <c r="H32" s="6">
        <v>3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9</v>
      </c>
      <c r="H36">
        <f>SUM(H21:H35)</f>
        <v>23</v>
      </c>
      <c r="K36">
        <f>SUM(K21:K35)</f>
        <v>5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86" workbookViewId="0">
      <selection activeCell="B99" sqref="B99"/>
    </sheetView>
  </sheetViews>
  <sheetFormatPr baseColWidth="10" defaultColWidth="10.6640625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2022-07-16T15:38:32Z</dcterms:modified>
</cp:coreProperties>
</file>