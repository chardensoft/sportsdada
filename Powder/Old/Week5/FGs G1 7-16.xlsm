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9T234753Z-001/"/>
    </mc:Choice>
  </mc:AlternateContent>
  <xr:revisionPtr revIDLastSave="0" documentId="13_ncr:1_{DF88AD59-82AB-A64A-8EAD-118F7854AEB2}" xr6:coauthVersionLast="47" xr6:coauthVersionMax="47" xr10:uidLastSave="{00000000-0000-0000-0000-000000000000}"/>
  <bookViews>
    <workbookView xWindow="0" yWindow="500" windowWidth="1344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" i="1" l="1"/>
  <c r="B50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A15" i="1"/>
  <c r="F13" i="2" s="1"/>
  <c r="C35" i="1"/>
  <c r="H34" i="2" s="1"/>
  <c r="A25" i="1"/>
  <c r="F24" i="2" s="1"/>
  <c r="B17" i="1"/>
  <c r="G15" i="2" s="1"/>
  <c r="B35" i="1"/>
  <c r="G34" i="2" s="1"/>
  <c r="H16" i="2"/>
  <c r="B13" i="1"/>
  <c r="G11" i="2" s="1"/>
  <c r="A8" i="1"/>
  <c r="F6" i="2" s="1"/>
  <c r="C36" i="1"/>
  <c r="H35" i="2" s="1"/>
  <c r="C28" i="1"/>
  <c r="H27" i="2" s="1"/>
  <c r="A5" i="1"/>
  <c r="F3" i="2" s="1"/>
  <c r="F16" i="2"/>
  <c r="B15" i="1"/>
  <c r="G13" i="2" s="1"/>
  <c r="C12" i="1"/>
  <c r="H10" i="2" s="1"/>
  <c r="A10" i="1"/>
  <c r="B7" i="1"/>
  <c r="A24" i="1"/>
  <c r="F23" i="2" s="1"/>
  <c r="A36" i="1"/>
  <c r="F35" i="2" s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F34" i="2" s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C37" i="1"/>
  <c r="H36" i="2" s="1"/>
  <c r="C29" i="1"/>
  <c r="H28" i="2" s="1"/>
  <c r="B19" i="1"/>
  <c r="G17" i="2" s="1"/>
  <c r="C16" i="1"/>
  <c r="H14" i="2" s="1"/>
  <c r="A14" i="1"/>
  <c r="F12" i="2" s="1"/>
  <c r="B11" i="1"/>
  <c r="G9" i="2" s="1"/>
  <c r="C8" i="1"/>
  <c r="H6" i="2" s="1"/>
  <c r="A6" i="1"/>
  <c r="B37" i="1"/>
  <c r="G36" i="2" s="1"/>
  <c r="H33" i="2"/>
  <c r="A32" i="1"/>
  <c r="F31" i="2" s="1"/>
  <c r="B29" i="1"/>
  <c r="G28" i="2" s="1"/>
  <c r="C26" i="1"/>
  <c r="H25" i="2" s="1"/>
  <c r="B5" i="1"/>
  <c r="G3" i="2" s="1"/>
  <c r="C9" i="1"/>
  <c r="H7" i="2" s="1"/>
  <c r="A33" i="1"/>
  <c r="C14" i="1"/>
  <c r="H12" i="2" s="1"/>
  <c r="C24" i="1"/>
  <c r="H23" i="2" s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H11" i="2" s="1"/>
  <c r="A11" i="1"/>
  <c r="F9" i="2" s="1"/>
  <c r="B8" i="1"/>
  <c r="G6" i="2" s="1"/>
  <c r="F22" i="2"/>
  <c r="A37" i="1"/>
  <c r="F36" i="2" s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C10" i="1"/>
  <c r="H8" i="2" s="1"/>
  <c r="G22" i="2"/>
  <c r="F33" i="2"/>
  <c r="B31" i="1"/>
  <c r="G30" i="2" s="1"/>
  <c r="F25" i="2"/>
  <c r="G16" i="2"/>
  <c r="C15" i="1"/>
  <c r="H13" i="2" s="1"/>
  <c r="A13" i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4" i="2"/>
  <c r="F29" i="2"/>
  <c r="F11" i="2"/>
  <c r="G10" i="2"/>
  <c r="G33" i="2"/>
  <c r="F8" i="2"/>
  <c r="F7" i="2"/>
  <c r="H24" i="2"/>
  <c r="F10" i="2"/>
  <c r="F14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<sst xmlns="http://schemas.openxmlformats.org/spreadsheetml/2006/main" count="496" uniqueCount="279">
  <si>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</si>
  <si>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</si>
  <si>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</si>
  <si>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</si>
  <si>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</si>
  <si>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</si>
  <si>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</si>
  <si>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</si>
  <si>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</si>
  <si>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</si>
  <si>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</si>
  <si>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</si>
  <si>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</si>
  <si>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</si>
  <si>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</si>
  <si>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</si>
  <si>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</si>
  <si>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</si>
  <si>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</si>
  <si>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</si>
  <si>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</si>
  <si>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</si>
  <si>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</si>
  <si>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</si>
  <si>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</si>
  <si>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</si>
  <si>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</si>
  <si>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</si>
  <si>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</si>
  <si>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</si>
  <si>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</si>
  <si>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</si>
  <si>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</si>
  <si>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</si>
  <si>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</si>
  <si>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</si>
  <si>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</si>
  <si>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</si>
  <si>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</si>
  <si>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</si>
  <si>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</si>
  <si>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</si>
  <si>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</si>
  <si>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</si>
  <si>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</si>
  <si>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</si>
  <si>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</si>
  <si>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</si>
  <si>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</si>
  <si>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</si>
  <si>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</si>
  <si>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</si>
  <si>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</si>
  <si>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</si>
  <si>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</si>
  <si>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</si>
  <si>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</si>
  <si>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</si>
  <si>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</si>
  <si>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</si>
  <si>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</si>
  <si>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</si>
  <si>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</si>
  <si>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</si>
  <si>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</si>
  <si>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</si>
  <si>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</si>
  <si>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</si>
  <si>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</si>
  <si>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</si>
  <si>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</si>
  <si>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</si>
  <si>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</si>
  <si>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</si>
  <si>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</si>
  <si>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</si>
  <si>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</si>
  <si>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</si>
  <si>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</si>
  <si>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</si>
  <si>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</si>
  <si>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</si>
  <si>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</si>
  <si>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</si>
  <si>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</si>
  <si>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</si>
  <si>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</si>
  <si>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</si>
  <si>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</si>
  <si>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</si>
  <si>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</si>
  <si>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</si>
  <si>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</si>
  <si>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</si>
  <si>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</si>
  <si>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</si>
  <si>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</si>
  <si>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</si>
  <si>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</si>
  <si>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</si>
  <si>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</si>
  <si>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</si>
  <si>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</si>
  <si>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</si>
  <si>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</si>
  <si>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</si>
  <si>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</si>
  <si>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</si>
  <si>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</si>
  <si>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</si>
  <si>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</si>
  <si>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</si>
  <si>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</si>
  <si>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</si>
  <si>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</si>
  <si>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</si>
  <si>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</si>
  <si>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</si>
  <si>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</si>
  <si>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</si>
  <si>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</si>
  <si>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</si>
  <si>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</si>
  <si>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</si>
  <si>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</si>
  <si>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</si>
  <si>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</si>
  <si>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</si>
  <si>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</si>
  <si>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</si>
  <si>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</si>
  <si>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</si>
  <si>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</si>
  <si>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</si>
  <si>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</si>
  <si>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</si>
  <si>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</si>
  <si>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</si>
  <si>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</si>
  <si>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</si>
  <si>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</si>
  <si>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</si>
  <si>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</si>
  <si>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</si>
  <si>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</si>
  <si>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</si>
  <si>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</si>
  <si>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</si>
  <si>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</si>
  <si>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</si>
  <si>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</si>
  <si>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</si>
  <si>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</si>
  <si>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</si>
  <si>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</si>
  <si>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</si>
  <si>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</si>
  <si>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</si>
  <si>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</si>
  <si>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</si>
  <si>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</si>
  <si>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</si>
  <si>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</si>
  <si>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</si>
  <si>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</si>
  <si>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</si>
  <si>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</si>
  <si>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</si>
  <si>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</si>
  <si>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</si>
  <si>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</si>
  <si>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</si>
  <si>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</si>
  <si>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</si>
  <si>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</si>
  <si>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</si>
  <si>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</si>
  <si>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</si>
  <si>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</si>
  <si>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</si>
  <si>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</si>
  <si>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</si>
  <si>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</si>
  <si>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</si>
  <si>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</si>
  <si>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</si>
  <si>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</si>
  <si>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</si>
  <si>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</si>
  <si>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</si>
  <si>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</si>
  <si>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</si>
  <si>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</si>
  <si>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</si>
  <si>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</si>
  <si>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</si>
  <si>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</si>
  <si>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</si>
  <si>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</si>
  <si>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</si>
  <si>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</si>
  <si>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</si>
  <si>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</si>
  <si>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</si>
  <si>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</si>
  <si>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</si>
  <si>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</si>
  <si>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</si>
  <si>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</si>
  <si>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</si>
  <si>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</si>
  <si>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</si>
  <si>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</si>
  <si>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</si>
  <si>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</si>
  <si>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</si>
  <si>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</si>
  <si>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</si>
  <si>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</si>
  <si>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</si>
  <si>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</si>
  <si>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</si>
  <si>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</si>
  <si>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</si>
  <si>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</si>
  <si>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</si>
  <si>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</si>
  <si>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</si>
  <si>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</si>
  <si>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</si>
  <si>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</si>
  <si>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</si>
  <si>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</si>
  <si>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</si>
  <si>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</si>
  <si>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</si>
  <si>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</si>
  <si>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</si>
  <si>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</si>
  <si>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</si>
  <si>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</si>
  <si>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</si>
  <si>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</si>
  <si>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</si>
  <si>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</si>
  <si>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</si>
  <si>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</si>
  <si>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</si>
  <si>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</si>
  <si>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</si>
  <si>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</si>
  <si>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</si>
  <si>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</si>
  <si>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</si>
  <si>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</si>
  <si>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</si>
  <si>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</si>
  <si>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</si>
  <si>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</si>
  <si>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</si>
  <si>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</si>
  <si>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</si>
  <si>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</si>
  <si>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</si>
  <si>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</si>
  <si>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</si>
  <si>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</si>
  <si>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</si>
  <si>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</si>
  <si>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</si>
  <si>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</si>
  <si>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</si>
  <si>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</si>
  <si>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</si>
  <si>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Wood</t>
  </si>
  <si>
    <t>Cameron</t>
  </si>
  <si>
    <t>Delany</t>
  </si>
  <si>
    <t>Farr</t>
  </si>
  <si>
    <t>Bryan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</si>
</sst>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C13" workbookViewId="0">
      <selection activeCell="L23" sqref="L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Roberts</v>
      </c>
    </row>
    <row r="2" spans="2:12" x14ac:dyDescent="0.2">
      <c r="B2" t="str">
        <f>G1</f>
        <v>Roberts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112</v>
      </c>
      <c r="C3" s="3" t="s">
        <v>15</v>
      </c>
      <c r="D3" s="4">
        <f>I37</f>
        <v>106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0-2</v>
      </c>
    </row>
    <row r="4" spans="2:12" x14ac:dyDescent="0.2">
      <c r="F4" t="str">
        <f>'Stats G1'!A6</f>
        <v>Charles</v>
      </c>
      <c r="G4" t="str">
        <f>'Stats G1'!B6</f>
        <v>Nunn</v>
      </c>
      <c r="H4">
        <f>'Stats G1'!C6</f>
        <v>1</v>
      </c>
      <c r="I4">
        <f>'Stats G1'!H6*2+'Stats G1'!N6*3+'Stats G1'!T6</f>
        <v>2</v>
      </c>
      <c r="J4" t="str">
        <f>SUM('Stats G1'!N6+'Stats G1'!H6)&amp;"-"&amp;SUM('Stats G1'!E6+'Stats G1'!K6)</f>
        <v>1-3</v>
      </c>
      <c r="K4" t="str">
        <f>SUM('Stats G1'!N6)&amp;"-"&amp;SUM('Stats G1'!K6)</f>
        <v>0-1</v>
      </c>
      <c r="L4" t="str">
        <f>SUM('Stats G1'!T6)&amp;"-"&amp;SUM('Stats G1'!Q6)</f>
        <v>0-0</v>
      </c>
    </row>
    <row r="5" spans="2:12" x14ac:dyDescent="0.2">
      <c r="F5" t="str">
        <f>'Stats G1'!A7</f>
        <v>Brandon</v>
      </c>
      <c r="G5" t="str">
        <f>'Stats G1'!B7</f>
        <v>Sly</v>
      </c>
      <c r="H5">
        <f>'Stats G1'!C7</f>
        <v>2</v>
      </c>
      <c r="I5">
        <f>'Stats G1'!H7*2+'Stats G1'!N7*3+'Stats G1'!T7</f>
        <v>25</v>
      </c>
      <c r="J5" t="str">
        <f>SUM('Stats G1'!N7+'Stats G1'!H7)&amp;"-"&amp;SUM('Stats G1'!E7+'Stats G1'!K7)</f>
        <v>10-20</v>
      </c>
      <c r="K5" t="str">
        <f>SUM('Stats G1'!N7)&amp;"-"&amp;SUM('Stats G1'!K7)</f>
        <v>5-9</v>
      </c>
      <c r="L5" t="str">
        <f>SUM('Stats G1'!T7)&amp;"-"&amp;SUM('Stats G1'!Q7)</f>
        <v>0-0</v>
      </c>
    </row>
    <row r="6" spans="2:12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9</v>
      </c>
      <c r="J6" t="str">
        <f>SUM('Stats G1'!N8+'Stats G1'!H8)&amp;"-"&amp;SUM('Stats G1'!E8+'Stats G1'!K8)</f>
        <v>3-3</v>
      </c>
      <c r="K6" t="str">
        <f>SUM('Stats G1'!N8)&amp;"-"&amp;SUM('Stats G1'!K8)</f>
        <v>2-2</v>
      </c>
      <c r="L6" t="str">
        <f>SUM('Stats G1'!T8)&amp;"-"&amp;SUM('Stats G1'!Q8)</f>
        <v>1-2</v>
      </c>
    </row>
    <row r="7" spans="2:12" x14ac:dyDescent="0.2">
      <c r="F7" t="str">
        <f>'Stats G1'!A9</f>
        <v>Jaleel</v>
      </c>
      <c r="G7" t="str">
        <f>'Stats G1'!B9</f>
        <v>Roberts</v>
      </c>
      <c r="H7">
        <f>'Stats G1'!C9</f>
        <v>9</v>
      </c>
      <c r="I7">
        <f>'Stats G1'!H9*2+'Stats G1'!N9*3+'Stats G1'!T9</f>
        <v>4</v>
      </c>
      <c r="J7" t="str">
        <f>SUM('Stats G1'!N9+'Stats G1'!H9)&amp;"-"&amp;SUM('Stats G1'!E9+'Stats G1'!K9)</f>
        <v>2-5</v>
      </c>
      <c r="K7" t="str">
        <f>SUM('Stats G1'!N9)&amp;"-"&amp;SUM('Stats G1'!K9)</f>
        <v>0-0</v>
      </c>
      <c r="L7" t="str">
        <f>SUM('Stats G1'!T9)&amp;"-"&amp;SUM('Stats G1'!Q9)</f>
        <v>0-2</v>
      </c>
    </row>
    <row r="8" spans="2:12" x14ac:dyDescent="0.2">
      <c r="F8" t="str">
        <f>'Stats G1'!A10</f>
        <v>Rayjon</v>
      </c>
      <c r="G8" t="str">
        <f>'Stats G1'!B10</f>
        <v>Tucker</v>
      </c>
      <c r="H8">
        <f>'Stats G1'!C10</f>
        <v>9</v>
      </c>
      <c r="I8">
        <f>'Stats G1'!H10*2+'Stats G1'!N10*3+'Stats G1'!T10</f>
        <v>0</v>
      </c>
      <c r="J8" t="str">
        <f>SUM('Stats G1'!N10+'Stats G1'!H10)&amp;"-"&amp;SUM('Stats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Kentrell</v>
      </c>
      <c r="G9" t="str">
        <f>'Stats G1'!B11</f>
        <v>Barkley</v>
      </c>
      <c r="H9">
        <f>'Stats G1'!C11</f>
        <v>12</v>
      </c>
      <c r="I9">
        <f>'Stats G1'!H11*2+'Stats G1'!N11*3+'Stats G1'!T11</f>
        <v>34</v>
      </c>
      <c r="J9" t="str">
        <f>SUM('Stats G1'!N11+'Stats G1'!H11)&amp;"-"&amp;SUM('Stats G1'!E11+'Stats G1'!K11)</f>
        <v>14-23</v>
      </c>
      <c r="K9" t="str">
        <f>SUM('Stats G1'!N11)&amp;"-"&amp;SUM('Stats G1'!K11)</f>
        <v>5-8</v>
      </c>
      <c r="L9" t="str">
        <f>SUM('Stats G1'!T11)&amp;"-"&amp;SUM('Stats G1'!Q11)</f>
        <v>1-1</v>
      </c>
    </row>
    <row r="10" spans="2:12" x14ac:dyDescent="0.2">
      <c r="F10" t="str">
        <f>'Stats G1'!A12</f>
        <v>Dontay</v>
      </c>
      <c r="G10" t="str">
        <f>'Stats G1'!B12</f>
        <v>Bassett</v>
      </c>
      <c r="H10">
        <f>'Stats G1'!C12</f>
        <v>13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Kyndahl</v>
      </c>
      <c r="G11" t="str">
        <f>'Stats G1'!B13</f>
        <v>Hill</v>
      </c>
      <c r="H11">
        <f>'Stats G1'!C13</f>
        <v>15</v>
      </c>
      <c r="I11">
        <f>'Stats G1'!H13*2+'Stats G1'!N13*3+'Stats G1'!T13</f>
        <v>8</v>
      </c>
      <c r="J11" t="str">
        <f>SUM('Stats G1'!N13+'Stats G1'!H13)&amp;"-"&amp;SUM('Stats G1'!E13+'Stats G1'!K13)</f>
        <v>3-4</v>
      </c>
      <c r="K11" t="str">
        <f>SUM('Stats G1'!N13)&amp;"-"&amp;SUM('Stats G1'!K13)</f>
        <v>1-2</v>
      </c>
      <c r="L11" t="str">
        <f>SUM('Stats G1'!T13)&amp;"-"&amp;SUM('Stats G1'!Q13)</f>
        <v>1-4</v>
      </c>
    </row>
    <row r="12" spans="2:12" x14ac:dyDescent="0.2">
      <c r="F12" t="str">
        <f>'Stats G1'!A14</f>
        <v>Jordan</v>
      </c>
      <c r="G12" t="str">
        <f>'Stats G1'!B14</f>
        <v>Loveridge</v>
      </c>
      <c r="H12">
        <f>'Stats G1'!C14</f>
        <v>21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Thomas</v>
      </c>
      <c r="G13" t="str">
        <f>'Stats G1'!B15</f>
        <v>Bullock</v>
      </c>
      <c r="H13">
        <f>'Stats G1'!C15</f>
        <v>22</v>
      </c>
      <c r="I13">
        <f>'Stats G1'!H15*2+'Stats G1'!N15*3+'Stats G1'!T15</f>
        <v>16</v>
      </c>
      <c r="J13" t="str">
        <f>SUM('Stats G1'!N15+'Stats G1'!H15)&amp;"-"&amp;SUM('Stats G1'!E15+'Stats G1'!K15)</f>
        <v>6-8</v>
      </c>
      <c r="K13" t="str">
        <f>SUM('Stats G1'!N15)&amp;"-"&amp;SUM('Stats G1'!K15)</f>
        <v>3-4</v>
      </c>
      <c r="L13" t="str">
        <f>SUM('Stats G1'!T15)&amp;"-"&amp;SUM('Stats G1'!Q15)</f>
        <v>1-2</v>
      </c>
    </row>
    <row r="14" spans="2:12" x14ac:dyDescent="0.2">
      <c r="F14" t="str">
        <f>'Stats G1'!A16</f>
        <v>Brendan</v>
      </c>
      <c r="G14" t="str">
        <f>'Stats G1'!B16</f>
        <v>Morris</v>
      </c>
      <c r="H14">
        <f>'Stats G1'!C16</f>
        <v>23</v>
      </c>
      <c r="I14">
        <f>'Stats G1'!H16*2+'Stats G1'!N16*3+'Stats G1'!T16</f>
        <v>7</v>
      </c>
      <c r="J14" t="str">
        <f>SUM('Stats G1'!N16+'Stats G1'!H16)&amp;"-"&amp;SUM('Stats G1'!E16+'Stats G1'!K16)</f>
        <v>3-5</v>
      </c>
      <c r="K14" t="str">
        <f>SUM('Stats G1'!N16)&amp;"-"&amp;SUM('Stats G1'!K16)</f>
        <v>0-1</v>
      </c>
      <c r="L14" t="str">
        <f>SUM('Stats G1'!T16)&amp;"-"&amp;SUM('Stats G1'!Q16)</f>
        <v>1-1</v>
      </c>
    </row>
    <row r="15" spans="2:12" x14ac:dyDescent="0.2">
      <c r="F15" t="str">
        <f>'Stats G1'!A17</f>
        <v>Demarcus</v>
      </c>
      <c r="G15" t="str">
        <f>'Stats G1'!B17</f>
        <v>Harrison</v>
      </c>
      <c r="H15">
        <f>'Stats G1'!C17</f>
        <v>31</v>
      </c>
      <c r="I15">
        <f>'Stats G1'!H17*2+'Stats G1'!N17*3+'Stats G1'!T17</f>
        <v>7</v>
      </c>
      <c r="J15" t="str">
        <f>SUM('Stats G1'!N17+'Stats G1'!H17)&amp;"-"&amp;SUM('Stats G1'!E17+'Stats G1'!K17)</f>
        <v>3-8</v>
      </c>
      <c r="K15" t="str">
        <f>SUM('Stats G1'!N17)&amp;"-"&amp;SUM('Stats G1'!K17)</f>
        <v>1-2</v>
      </c>
      <c r="L15" t="str">
        <f>SUM('Stats G1'!T17)&amp;"-"&amp;SUM('Stats G1'!Q17)</f>
        <v>0-0</v>
      </c>
    </row>
    <row r="16" spans="2:12" x14ac:dyDescent="0.2">
      <c r="F16" t="str">
        <f>'Stats G1'!A18</f>
        <v>Bryan</v>
      </c>
      <c r="G16" t="str">
        <f>'Stats G1'!B18</f>
        <v>Farr</v>
      </c>
      <c r="H16">
        <f>'Stats G1'!C18</f>
        <v>30</v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112</v>
      </c>
      <c r="J18" t="str">
        <f>SUM('Stats G1'!N20+'Stats G1'!H20)&amp;"-"&amp;SUM('Stats G1'!E20+'Stats G1'!K20)</f>
        <v>45-79</v>
      </c>
      <c r="K18" t="str">
        <f>SUM('Stats G1'!N20)&amp;"-"&amp;SUM('Stats G1'!K20)</f>
        <v>17-29</v>
      </c>
      <c r="L18" t="str">
        <f>SUM('Stats G1'!T20)&amp;"-"&amp;SUM('Stats G1'!Q20)</f>
        <v>5-14</v>
      </c>
    </row>
    <row r="20" spans="6:12" x14ac:dyDescent="0.2">
      <c r="F20" t="s">
        <v>13</v>
      </c>
      <c r="G20" t="str">
        <f>'Stats G1'!B21</f>
        <v>Joyce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Cameron</v>
      </c>
      <c r="G22" t="str">
        <f>'Stats G1'!B23</f>
        <v>Delany</v>
      </c>
      <c r="H22">
        <f>'Stats G1'!C23</f>
        <v>0</v>
      </c>
      <c r="I22">
        <f>'Stats G1'!H23*2+'Stats G1'!N23*3+'Stats G1'!T23</f>
        <v>19</v>
      </c>
      <c r="J22" t="str">
        <f>SUM('Stats G1'!N23+'Stats G1'!H23)&amp;"-"&amp;SUM('Stats G1'!E23+'Stats G1'!K23)</f>
        <v>7-13</v>
      </c>
      <c r="K22" t="str">
        <f>SUM('Stats G1'!N23)&amp;"-"&amp;SUM('Stats G1'!K23)</f>
        <v>2-6</v>
      </c>
      <c r="L22" t="str">
        <f>SUM('Stats G1'!T23)&amp;"-"&amp;SUM('Stats G1'!Q23)</f>
        <v>3-3</v>
      </c>
    </row>
    <row r="23" spans="6:12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0-4</v>
      </c>
    </row>
    <row r="24" spans="6:12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G1'!H25*2+'Stats G1'!N25*3+'Stats G1'!T25</f>
        <v>16</v>
      </c>
      <c r="J24" t="str">
        <f>SUM('Stats G1'!N25+'Stats G1'!H25)&amp;"-"&amp;SUM('Stats G1'!E25+'Stats G1'!K25)</f>
        <v>7-14</v>
      </c>
      <c r="K24" t="str">
        <f>SUM('Stats G1'!N25)&amp;"-"&amp;SUM('Stats G1'!K25)</f>
        <v>0-3</v>
      </c>
      <c r="L24" t="str">
        <f>SUM('Stats G1'!T25)&amp;"-"&amp;SUM('Stats G1'!Q25)</f>
        <v>2-2</v>
      </c>
    </row>
    <row r="25" spans="6:12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G1'!H28*2+'Stats G1'!N28*3+'Stats G1'!T28</f>
        <v>1</v>
      </c>
      <c r="J27" t="str">
        <f>SUM('Stats G1'!N28+'Stats G1'!H28)&amp;"-"&amp;SUM('Stats G1'!E28+'Stats G1'!K28)</f>
        <v>0-3</v>
      </c>
      <c r="K27" t="str">
        <f>SUM('Stats G1'!N28)&amp;"-"&amp;SUM('Stats G1'!K28)</f>
        <v>0-0</v>
      </c>
      <c r="L27" t="str">
        <f>SUM('Stats G1'!T28)&amp;"-"&amp;SUM('Stats G1'!Q28)</f>
        <v>1-2</v>
      </c>
    </row>
    <row r="28" spans="6:12" x14ac:dyDescent="0.2">
      <c r="F28" t="str">
        <f>'Stats G1'!A29</f>
        <v>Jael</v>
      </c>
      <c r="G28" t="str">
        <f>'Stats G1'!B29</f>
        <v>Vaughn</v>
      </c>
      <c r="H28">
        <f>'Stats G1'!C29</f>
        <v>12</v>
      </c>
      <c r="I28">
        <f>'Stats G1'!H29*2+'Stats G1'!N29*3+'Stats G1'!T29</f>
        <v>6</v>
      </c>
      <c r="J28" t="str">
        <f>SUM('Stats G1'!N29+'Stats G1'!H29)&amp;"-"&amp;SUM('Stats G1'!E29+'Stats G1'!K29)</f>
        <v>3-12</v>
      </c>
      <c r="K28" t="str">
        <f>SUM('Stats G1'!N29)&amp;"-"&amp;SUM('Stats G1'!K29)</f>
        <v>0-2</v>
      </c>
      <c r="L28" t="str">
        <f>SUM('Stats G1'!T29)&amp;"-"&amp;SUM('Stats G1'!Q29)</f>
        <v>0-0</v>
      </c>
    </row>
    <row r="29" spans="6:12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G1'!H30*2+'Stats G1'!N30*3+'Stats G1'!T30</f>
        <v>34</v>
      </c>
      <c r="J29" t="str">
        <f>SUM('Stats G1'!N30+'Stats G1'!H30)&amp;"-"&amp;SUM('Stats G1'!E30+'Stats G1'!K30)</f>
        <v>16-26</v>
      </c>
      <c r="K29" t="str">
        <f>SUM('Stats G1'!N30)&amp;"-"&amp;SUM('Stats G1'!K30)</f>
        <v>2-3</v>
      </c>
      <c r="L29" t="str">
        <f>SUM('Stats G1'!T30)&amp;"-"&amp;SUM('Stats G1'!Q30)</f>
        <v>0-0</v>
      </c>
    </row>
    <row r="30" spans="6:12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G1'!H31*2+'Stats G1'!N31*3+'Stats G1'!T31</f>
        <v>18</v>
      </c>
      <c r="J30" t="str">
        <f>SUM('Stats G1'!N31+'Stats G1'!H31)&amp;"-"&amp;SUM('Stats G1'!E31+'Stats G1'!K31)</f>
        <v>6-12</v>
      </c>
      <c r="K30" t="str">
        <f>SUM('Stats G1'!N31)&amp;"-"&amp;SUM('Stats G1'!K31)</f>
        <v>2-5</v>
      </c>
      <c r="L30" t="str">
        <f>SUM('Stats G1'!T31)&amp;"-"&amp;SUM('Stats G1'!Q31)</f>
        <v>4-9</v>
      </c>
    </row>
    <row r="31" spans="6:12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Trey</v>
      </c>
      <c r="G33" t="str">
        <f>'Stats G1'!B34</f>
        <v>Wood</v>
      </c>
      <c r="H33">
        <f>'Stats G1'!C34</f>
        <v>55</v>
      </c>
      <c r="I33">
        <f>'Stats G1'!H34*2+'Stats G1'!N34*3+'Stats G1'!T34</f>
        <v>12</v>
      </c>
      <c r="J33" t="str">
        <f>SUM('Stats G1'!N34+'Stats G1'!H34)&amp;"-"&amp;SUM('Stats G1'!E34+'Stats G1'!K34)</f>
        <v>5-9</v>
      </c>
      <c r="K33" t="str">
        <f>SUM('Stats G1'!N34)&amp;"-"&amp;SUM('Stats G1'!K34)</f>
        <v>2-5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106</v>
      </c>
      <c r="J37" t="str">
        <f>SUM('Stats G1'!N38+'Stats G1'!H38)&amp;"-"&amp;SUM('Stats G1'!E38+'Stats G1'!K38)</f>
        <v>44-89</v>
      </c>
      <c r="K37" t="str">
        <f>SUM('Stats G1'!N38)&amp;"-"&amp;SUM('Stats G1'!K38)</f>
        <v>8-24</v>
      </c>
      <c r="L37" t="str">
        <f>SUM('Stats G1'!T38)&amp;"-"&amp;SUM('Stats G1'!Q38)</f>
        <v>10-20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E8" workbookViewId="0">
      <selection activeCell="J31" sqref="J3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31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_xlfn.IFNA(VLOOKUP($B$3&amp;ROWS($A$5:A5),Rosters!$B$2:$C$163,2,0),"?")</f>
        <v>Tone</v>
      </c>
      <c r="B5" s="5" t="str">
        <f>_xlfn.IFNA(VLOOKUP($B$3&amp;ROWS($B$5:B5),Rosters!$B$2:$D$163,3,0),"?")</f>
        <v>Anderson</v>
      </c>
      <c r="C5" s="5">
        <f>_xlfn.IFNA(VLOOKUP($B$3&amp;ROWS($C$5:C5),Rosters!$B$2:$E$163,4,0),"")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2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_xlfn.IFNA(VLOOKUP($B$3&amp;ROWS($A$5:A6),Rosters!$B$2:$C$163,2,0),"?")</f>
        <v>Charles</v>
      </c>
      <c r="B6" s="6" t="str">
        <f>_xlfn.IFNA(VLOOKUP($B$3&amp;ROWS($B$5:B6),Rosters!$B$2:$D$163,3,0),"?")</f>
        <v>Nunn</v>
      </c>
      <c r="C6" s="6">
        <f>_xlfn.IFNA(VLOOKUP($B$3&amp;ROWS($C$5:C6),Rosters!$B$2:$E$163,4,0),"")</f>
        <v>1</v>
      </c>
      <c r="E6" s="6">
        <v>2</v>
      </c>
      <c r="H6" s="6">
        <v>1</v>
      </c>
      <c r="K6" s="6">
        <v>1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_xlfn.IFNA(VLOOKUP($B$3&amp;ROWS($A$5:A7),Rosters!$B$2:$C$163,2,0),"?")</f>
        <v>Brandon</v>
      </c>
      <c r="B7" s="5" t="str">
        <f>_xlfn.IFNA(VLOOKUP($B$3&amp;ROWS($B$5:B7),Rosters!$B$2:$D$163,3,0),"?")</f>
        <v>Sly</v>
      </c>
      <c r="C7" s="5">
        <f>_xlfn.IFNA(VLOOKUP($B$3&amp;ROWS($C$5:C7),Rosters!$B$2:$E$163,4,0),"")</f>
        <v>2</v>
      </c>
      <c r="D7" s="5"/>
      <c r="E7" s="5">
        <v>11</v>
      </c>
      <c r="F7" s="5"/>
      <c r="G7" s="5"/>
      <c r="H7" s="5">
        <v>5</v>
      </c>
      <c r="I7" s="5"/>
      <c r="J7" s="5"/>
      <c r="K7" s="5">
        <v>9</v>
      </c>
      <c r="L7" s="5"/>
      <c r="M7" s="5"/>
      <c r="N7" s="5">
        <v>5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6">
        <f>_xlfn.IFNA(VLOOKUP($B$3&amp;ROWS($C$5:C8),Rosters!$B$2:$E$163,4,0),"")</f>
        <v>5</v>
      </c>
      <c r="E8" s="6">
        <v>1</v>
      </c>
      <c r="H8" s="6">
        <v>1</v>
      </c>
      <c r="K8" s="6">
        <v>2</v>
      </c>
      <c r="N8" s="6">
        <v>2</v>
      </c>
      <c r="Q8" s="6">
        <v>2</v>
      </c>
      <c r="T8" s="6">
        <v>1</v>
      </c>
    </row>
    <row r="9" spans="1:21" s="6" customFormat="1" x14ac:dyDescent="0.2">
      <c r="A9" s="5" t="str">
        <f>_xlfn.IFNA(VLOOKUP($B$3&amp;ROWS($A$5:A9),Rosters!$B$2:$C$163,2,0),"?")</f>
        <v>Jaleel</v>
      </c>
      <c r="B9" s="5" t="str">
        <f>_xlfn.IFNA(VLOOKUP($B$3&amp;ROWS($B$5:B9),Rosters!$B$2:$D$163,3,0),"?")</f>
        <v>Roberts</v>
      </c>
      <c r="C9" s="5">
        <f>_xlfn.IFNA(VLOOKUP($B$3&amp;ROWS($C$5:C9),Rosters!$B$2:$E$163,4,0),"")</f>
        <v>9</v>
      </c>
      <c r="D9" s="5"/>
      <c r="E9" s="5">
        <v>5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2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_xlfn.IFNA(VLOOKUP($B$3&amp;ROWS($A$5:A10),Rosters!$B$2:$C$163,2,0),"?")</f>
        <v>Rayjon</v>
      </c>
      <c r="B10" s="6" t="str">
        <f>_xlfn.IFNA(VLOOKUP($B$3&amp;ROWS($B$5:B10),Rosters!$B$2:$D$163,3,0),"?")</f>
        <v>Tucker</v>
      </c>
      <c r="C10" s="6">
        <f>_xlfn.IFNA(VLOOKUP($B$3&amp;ROWS($C$5:C10),Rosters!$B$2:$E$163,4,0),"")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_xlfn.IFNA(VLOOKUP($B$3&amp;ROWS($A$5:A11),Rosters!$B$2:$C$163,2,0),"?")</f>
        <v>Kentrell</v>
      </c>
      <c r="B11" s="5" t="str">
        <f>_xlfn.IFNA(VLOOKUP($B$3&amp;ROWS($B$5:B11),Rosters!$B$2:$D$163,3,0),"?")</f>
        <v>Barkley</v>
      </c>
      <c r="C11" s="5">
        <f>_xlfn.IFNA(VLOOKUP($B$3&amp;ROWS($C$5:C11),Rosters!$B$2:$E$163,4,0),"")</f>
        <v>12</v>
      </c>
      <c r="D11" s="5"/>
      <c r="E11" s="5">
        <v>15</v>
      </c>
      <c r="F11" s="5"/>
      <c r="G11" s="5"/>
      <c r="H11" s="5">
        <v>9</v>
      </c>
      <c r="I11" s="5"/>
      <c r="J11" s="5"/>
      <c r="K11" s="5">
        <v>8</v>
      </c>
      <c r="L11" s="5"/>
      <c r="M11" s="5"/>
      <c r="N11" s="5">
        <v>5</v>
      </c>
      <c r="O11" s="5"/>
      <c r="P11" s="5"/>
      <c r="Q11" s="5">
        <v>1</v>
      </c>
      <c r="R11" s="5"/>
      <c r="S11" s="5"/>
      <c r="T11" s="5">
        <v>1</v>
      </c>
      <c r="U11" s="5"/>
    </row>
    <row r="12" spans="1:21" s="6" customFormat="1" x14ac:dyDescent="0.2">
      <c r="A12" s="6" t="str">
        <f>_xlfn.IFNA(VLOOKUP($B$3&amp;ROWS($A$5:A12),Rosters!$B$2:$C$163,2,0),"?")</f>
        <v>Dontay</v>
      </c>
      <c r="B12" s="6" t="str">
        <f>_xlfn.IFNA(VLOOKUP($B$3&amp;ROWS($B$5:B12),Rosters!$B$2:$D$163,3,0),"?")</f>
        <v>Bassett</v>
      </c>
      <c r="C12" s="6">
        <f>_xlfn.IFNA(VLOOKUP($B$3&amp;ROWS($C$5:C12),Rosters!$B$2:$E$163,4,0),"")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_xlfn.IFNA(VLOOKUP($B$3&amp;ROWS($A$5:A13),Rosters!$B$2:$C$163,2,0),"?")</f>
        <v>Kyndahl</v>
      </c>
      <c r="B13" s="5" t="str">
        <f>_xlfn.IFNA(VLOOKUP($B$3&amp;ROWS($B$5:B13),Rosters!$B$2:$D$163,3,0),"?")</f>
        <v>Hill</v>
      </c>
      <c r="C13" s="5">
        <f>_xlfn.IFNA(VLOOKUP($B$3&amp;ROWS($C$5:C13),Rosters!$B$2:$E$163,4,0),"")</f>
        <v>15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1</v>
      </c>
      <c r="O13" s="5"/>
      <c r="P13" s="5"/>
      <c r="Q13" s="5">
        <v>4</v>
      </c>
      <c r="R13" s="5"/>
      <c r="S13" s="5"/>
      <c r="T13" s="5">
        <v>1</v>
      </c>
      <c r="U13" s="5"/>
    </row>
    <row r="14" spans="1:21" s="6" customFormat="1" x14ac:dyDescent="0.2">
      <c r="A14" s="6" t="str">
        <f>_xlfn.IFNA(VLOOKUP($B$3&amp;ROWS($A$5:A14),Rosters!$B$2:$C$163,2,0),"?")</f>
        <v>Jordan</v>
      </c>
      <c r="B14" s="6" t="str">
        <f>_xlfn.IFNA(VLOOKUP($B$3&amp;ROWS($B$5:B14),Rosters!$B$2:$D$163,3,0),"?")</f>
        <v>Loveridge</v>
      </c>
      <c r="C14" s="6">
        <f>_xlfn.IFNA(VLOOKUP($B$3&amp;ROWS($C$5:C14),Rosters!$B$2:$E$163,4,0),"")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_xlfn.IFNA(VLOOKUP($B$3&amp;ROWS($A$5:A15),Rosters!$B$2:$C$163,2,0),"?")</f>
        <v>Thomas</v>
      </c>
      <c r="B15" s="5" t="str">
        <f>_xlfn.IFNA(VLOOKUP($B$3&amp;ROWS($B$5:B15),Rosters!$B$2:$D$163,3,0),"?")</f>
        <v>Bullock</v>
      </c>
      <c r="C15" s="5">
        <f>_xlfn.IFNA(VLOOKUP($B$3&amp;ROWS($C$5:C15),Rosters!$B$2:$E$163,4,0),"")</f>
        <v>22</v>
      </c>
      <c r="D15" s="5"/>
      <c r="E15" s="5">
        <v>4</v>
      </c>
      <c r="F15" s="5"/>
      <c r="G15" s="5"/>
      <c r="H15" s="5">
        <v>3</v>
      </c>
      <c r="I15" s="5"/>
      <c r="J15" s="5"/>
      <c r="K15" s="5">
        <v>4</v>
      </c>
      <c r="L15" s="5"/>
      <c r="M15" s="5"/>
      <c r="N15" s="5">
        <v>3</v>
      </c>
      <c r="O15" s="5"/>
      <c r="P15" s="5"/>
      <c r="Q15" s="5">
        <v>2</v>
      </c>
      <c r="R15" s="5"/>
      <c r="S15" s="5"/>
      <c r="T15" s="5">
        <v>1</v>
      </c>
      <c r="U15" s="5"/>
    </row>
    <row r="16" spans="1:21" s="6" customFormat="1" x14ac:dyDescent="0.2">
      <c r="A16" s="6" t="str">
        <f>_xlfn.IFNA(VLOOKUP($B$3&amp;ROWS($A$5:A16),Rosters!$B$2:$C$163,2,0),"?")</f>
        <v>Brendan</v>
      </c>
      <c r="B16" s="6" t="str">
        <f>_xlfn.IFNA(VLOOKUP($B$3&amp;ROWS($B$5:B16),Rosters!$B$2:$D$163,3,0),"?")</f>
        <v>Morris</v>
      </c>
      <c r="C16" s="6">
        <f>_xlfn.IFNA(VLOOKUP($B$3&amp;ROWS($C$5:C16),Rosters!$B$2:$E$163,4,0),"")</f>
        <v>23</v>
      </c>
      <c r="E16" s="6">
        <v>4</v>
      </c>
      <c r="H16" s="6">
        <v>3</v>
      </c>
      <c r="K16" s="6">
        <v>1</v>
      </c>
      <c r="N16" s="6">
        <v>0</v>
      </c>
      <c r="Q16" s="6">
        <v>1</v>
      </c>
      <c r="T16" s="6">
        <v>1</v>
      </c>
    </row>
    <row r="17" spans="1:21" s="6" customFormat="1" x14ac:dyDescent="0.2">
      <c r="A17" s="5" t="str">
        <f>_xlfn.IFNA(VLOOKUP($B$3&amp;ROWS($A$5:A17),Rosters!$B$2:$C$163,2,0),"?")</f>
        <v>Demarcus</v>
      </c>
      <c r="B17" s="5" t="str">
        <f>_xlfn.IFNA(VLOOKUP($B$3&amp;ROWS($B$5:B17),Rosters!$B$2:$D$163,3,0),"?")</f>
        <v>Harrison</v>
      </c>
      <c r="C17" s="5">
        <f>_xlfn.IFNA(VLOOKUP($B$3&amp;ROWS($C$5:C17),Rosters!$B$2:$E$163,4,0),"")</f>
        <v>31</v>
      </c>
      <c r="D17" s="5"/>
      <c r="E17" s="5">
        <v>6</v>
      </c>
      <c r="F17" s="5"/>
      <c r="G17" s="5"/>
      <c r="H17" s="5">
        <v>2</v>
      </c>
      <c r="I17" s="5"/>
      <c r="J17" s="5"/>
      <c r="K17" s="5">
        <v>2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278</v>
      </c>
      <c r="B18" s="6" t="s">
        <v>277</v>
      </c>
      <c r="C18" s="6">
        <v>30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50</v>
      </c>
      <c r="H20">
        <f>SUM(H5:H19)</f>
        <v>28</v>
      </c>
      <c r="K20">
        <f>SUM(K5:K19)</f>
        <v>29</v>
      </c>
      <c r="N20">
        <f>SUM(N5:N19)</f>
        <v>17</v>
      </c>
      <c r="Q20">
        <f>SUM(Q5:Q19)</f>
        <v>14</v>
      </c>
      <c r="T20">
        <f>SUM(T5:T19)</f>
        <v>5</v>
      </c>
    </row>
    <row r="21" spans="1:21" x14ac:dyDescent="0.2">
      <c r="A21" s="2" t="s">
        <v>18</v>
      </c>
      <c r="B21" s="1" t="s">
        <v>30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">
        <v>275</v>
      </c>
      <c r="B23" s="5" t="s">
        <v>276</v>
      </c>
      <c r="C23" s="5">
        <f>_xlfn.IFNA(VLOOKUP($B$21&amp;ROWS($C$23:C23),Rosters!$B$2:$E$163,4,0),"")</f>
        <v>0</v>
      </c>
      <c r="D23" s="5"/>
      <c r="E23" s="5">
        <v>7</v>
      </c>
      <c r="F23" s="5"/>
      <c r="G23" s="5"/>
      <c r="H23" s="5">
        <v>5</v>
      </c>
      <c r="I23" s="5"/>
      <c r="J23" s="5"/>
      <c r="K23" s="5">
        <v>6</v>
      </c>
      <c r="L23" s="5"/>
      <c r="M23" s="5"/>
      <c r="N23" s="5">
        <v>2</v>
      </c>
      <c r="O23" s="5"/>
      <c r="P23" s="5"/>
      <c r="Q23" s="5">
        <v>3</v>
      </c>
      <c r="R23" s="5"/>
      <c r="S23" s="5"/>
      <c r="T23" s="5">
        <v>3</v>
      </c>
      <c r="U23" s="5"/>
    </row>
    <row r="24" spans="1:21" s="6" customFormat="1" x14ac:dyDescent="0.2">
      <c r="A24" s="6" t="str">
        <f>_xlfn.IFNA(VLOOKUP($B$21&amp;ROWS($A$23:A24),Rosters!$B$2:$C$163,2,0),"?")</f>
        <v>Sam</v>
      </c>
      <c r="B24" s="6" t="str">
        <f>_xlfn.IFNA(VLOOKUP($B$21&amp;ROWS($B$23:B24),Rosters!$B$2:$D$163,3,0),"?")</f>
        <v>Velez</v>
      </c>
      <c r="C24" s="6">
        <f>_xlfn.IFNA(VLOOKUP($B$21&amp;ROWS($C$23:C24),Rosters!$B$2:$E$163,4,0),"")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4</v>
      </c>
      <c r="T24" s="6">
        <v>0</v>
      </c>
    </row>
    <row r="25" spans="1:21" s="6" customFormat="1" x14ac:dyDescent="0.2">
      <c r="A25" s="5" t="str">
        <f>_xlfn.IFNA(VLOOKUP($B$21&amp;ROWS($A$23:A25),Rosters!$B$2:$C$163,2,0),"?")</f>
        <v>Tyus</v>
      </c>
      <c r="B25" s="5" t="str">
        <f>_xlfn.IFNA(VLOOKUP($B$21&amp;ROWS($B$23:B25),Rosters!$B$2:$D$163,3,0),"?")</f>
        <v>Jefferson</v>
      </c>
      <c r="C25" s="5">
        <f>_xlfn.IFNA(VLOOKUP($B$21&amp;ROWS($C$23:C25),Rosters!$B$2:$E$163,4,0),"")</f>
        <v>3</v>
      </c>
      <c r="D25" s="5"/>
      <c r="E25" s="5">
        <v>11</v>
      </c>
      <c r="F25" s="5"/>
      <c r="G25" s="5"/>
      <c r="H25" s="5">
        <v>7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2</v>
      </c>
      <c r="R25" s="5"/>
      <c r="S25" s="5"/>
      <c r="T25" s="5">
        <v>2</v>
      </c>
      <c r="U25" s="5"/>
    </row>
    <row r="26" spans="1:21" s="6" customFormat="1" x14ac:dyDescent="0.2">
      <c r="A26" s="6" t="str">
        <f>_xlfn.IFNA(VLOOKUP($B$21&amp;ROWS($A$23:A26),Rosters!$B$2:$C$163,2,0),"?")</f>
        <v>Frank</v>
      </c>
      <c r="B26" s="6" t="str">
        <f>_xlfn.IFNA(VLOOKUP($B$21&amp;ROWS($B$23:B26),Rosters!$B$2:$D$163,3,0),"?")</f>
        <v>Jackson</v>
      </c>
      <c r="C26" s="6">
        <f>_xlfn.IFNA(VLOOKUP($B$21&amp;ROWS($C$23:C26),Rosters!$B$2:$E$163,4,0),"")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_xlfn.IFNA(VLOOKUP($B$21&amp;ROWS($A$23:A27),Rosters!$B$2:$C$163,2,0),"?")</f>
        <v>Trey</v>
      </c>
      <c r="B27" s="5" t="str">
        <f>_xlfn.IFNA(VLOOKUP($B$21&amp;ROWS($B$23:B27),Rosters!$B$2:$D$163,3,0),"?")</f>
        <v>Kennedy</v>
      </c>
      <c r="C27" s="5">
        <f>_xlfn.IFNA(VLOOKUP($B$21&amp;ROWS($C$23:C27),Rosters!$B$2:$E$163,4,0),"")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_xlfn.IFNA(VLOOKUP($B$21&amp;ROWS($A$23:A28),Rosters!$B$2:$C$163,2,0),"?")</f>
        <v>Will</v>
      </c>
      <c r="B28" s="6" t="str">
        <f>_xlfn.IFNA(VLOOKUP($B$21&amp;ROWS($B$23:B28),Rosters!$B$2:$D$163,3,0),"?")</f>
        <v>Joyce</v>
      </c>
      <c r="C28" s="6">
        <f>_xlfn.IFNA(VLOOKUP($B$21&amp;ROWS($C$23:C28),Rosters!$B$2:$E$163,4,0),"")</f>
        <v>11</v>
      </c>
      <c r="E28" s="6">
        <v>3</v>
      </c>
      <c r="H28" s="6">
        <v>0</v>
      </c>
      <c r="K28" s="6">
        <v>0</v>
      </c>
      <c r="N28" s="6">
        <v>0</v>
      </c>
      <c r="Q28" s="6">
        <v>2</v>
      </c>
      <c r="T28" s="6">
        <v>1</v>
      </c>
    </row>
    <row r="29" spans="1:21" s="6" customFormat="1" x14ac:dyDescent="0.2">
      <c r="A29" s="5" t="str">
        <f>_xlfn.IFNA(VLOOKUP($B$21&amp;ROWS($A$23:A29),Rosters!$B$2:$C$163,2,0),"?")</f>
        <v>Jael</v>
      </c>
      <c r="B29" s="5" t="str">
        <f>_xlfn.IFNA(VLOOKUP($B$21&amp;ROWS($B$23:B29),Rosters!$B$2:$D$163,3,0),"?")</f>
        <v>Vaughn</v>
      </c>
      <c r="C29" s="5">
        <f>_xlfn.IFNA(VLOOKUP($B$21&amp;ROWS($C$23:C29),Rosters!$B$2:$E$163,4,0),"")</f>
        <v>12</v>
      </c>
      <c r="D29" s="5"/>
      <c r="E29" s="5">
        <v>10</v>
      </c>
      <c r="F29" s="5"/>
      <c r="G29" s="5"/>
      <c r="H29" s="5">
        <v>3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_xlfn.IFNA(VLOOKUP($B$21&amp;ROWS($A$23:A30),Rosters!$B$2:$C$163,2,0),"?")</f>
        <v>Fardaws</v>
      </c>
      <c r="B30" s="6" t="str">
        <f>_xlfn.IFNA(VLOOKUP($B$21&amp;ROWS($B$23:B30),Rosters!$B$2:$D$163,3,0),"?")</f>
        <v>Aimaq</v>
      </c>
      <c r="C30" s="6">
        <f>_xlfn.IFNA(VLOOKUP($B$21&amp;ROWS($C$23:C30),Rosters!$B$2:$E$163,4,0),"")</f>
        <v>21</v>
      </c>
      <c r="E30" s="6">
        <v>23</v>
      </c>
      <c r="H30" s="6">
        <v>14</v>
      </c>
      <c r="K30" s="6">
        <v>3</v>
      </c>
      <c r="N30" s="6">
        <v>2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_xlfn.IFNA(VLOOKUP($B$21&amp;ROWS($A$23:A31),Rosters!$B$2:$C$163,2,0),"?")</f>
        <v>Yoeli</v>
      </c>
      <c r="B31" s="5" t="str">
        <f>_xlfn.IFNA(VLOOKUP($B$21&amp;ROWS($B$23:B31),Rosters!$B$2:$D$163,3,0),"?")</f>
        <v>Childs</v>
      </c>
      <c r="C31" s="5">
        <f>_xlfn.IFNA(VLOOKUP($B$21&amp;ROWS($C$23:C31),Rosters!$B$2:$E$163,4,0),"")</f>
        <v>22</v>
      </c>
      <c r="D31" s="5"/>
      <c r="E31" s="5">
        <v>7</v>
      </c>
      <c r="F31" s="5"/>
      <c r="G31" s="5"/>
      <c r="H31" s="5">
        <v>4</v>
      </c>
      <c r="I31" s="5"/>
      <c r="J31" s="5"/>
      <c r="K31" s="5">
        <v>5</v>
      </c>
      <c r="L31" s="5"/>
      <c r="M31" s="5"/>
      <c r="N31" s="5">
        <v>2</v>
      </c>
      <c r="O31" s="5"/>
      <c r="P31" s="5"/>
      <c r="Q31" s="5">
        <v>9</v>
      </c>
      <c r="R31" s="5"/>
      <c r="S31" s="5"/>
      <c r="T31" s="5">
        <v>4</v>
      </c>
      <c r="U31" s="5"/>
    </row>
    <row r="32" spans="1:21" s="6" customFormat="1" x14ac:dyDescent="0.2">
      <c r="A32" s="6" t="str">
        <f>_xlfn.IFNA(VLOOKUP($B$21&amp;ROWS($A$23:A32),Rosters!$B$2:$C$163,2,0),"?")</f>
        <v>Nicholas</v>
      </c>
      <c r="B32" s="6" t="str">
        <f>_xlfn.IFNA(VLOOKUP($B$21&amp;ROWS($B$23:B32),Rosters!$B$2:$D$163,3,0),"?")</f>
        <v>Paulos</v>
      </c>
      <c r="C32" s="6">
        <f>_xlfn.IFNA(VLOOKUP($B$21&amp;ROWS($C$23:C32),Rosters!$B$2:$E$163,4,0),"")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_xlfn.IFNA(VLOOKUP($B$21&amp;ROWS($A$23:A33),Rosters!$B$2:$C$163,2,0),"?")</f>
        <v>Zac</v>
      </c>
      <c r="B33" s="5" t="str">
        <f>_xlfn.IFNA(VLOOKUP($B$21&amp;ROWS($B$23:B33),Rosters!$B$2:$D$163,3,0),"?")</f>
        <v>Seljaas</v>
      </c>
      <c r="C33" s="5">
        <f>_xlfn.IFNA(VLOOKUP($B$21&amp;ROWS($C$23:C33),Rosters!$B$2:$E$163,4,0),"")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167</v>
      </c>
      <c r="B34" s="6" t="s">
        <v>274</v>
      </c>
      <c r="C34" s="6">
        <v>55</v>
      </c>
      <c r="D34"/>
      <c r="E34" s="6">
        <v>4</v>
      </c>
      <c r="F34"/>
      <c r="G34"/>
      <c r="H34" s="6">
        <v>3</v>
      </c>
      <c r="I34"/>
      <c r="J34"/>
      <c r="K34" s="6">
        <v>5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 t="str">
        <f>_xlfn.IFNA(VLOOKUP($B$21&amp;ROWS($C$23:C36),Rosters!$B$2:$E$163,4,0),"")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65</v>
      </c>
      <c r="H38">
        <f>SUM(H23:H37)</f>
        <v>36</v>
      </c>
      <c r="K38">
        <f>SUM(K23:K37)</f>
        <v>24</v>
      </c>
      <c r="N38">
        <f>SUM(N23:N37)</f>
        <v>8</v>
      </c>
      <c r="Q38">
        <f>SUM(Q23:Q37)</f>
        <v>20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21" sqref="C2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252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263</v>
      </c>
      <c r="D5" t="s">
        <v>45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46</v>
      </c>
      <c r="D6" t="s">
        <v>47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264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265</v>
      </c>
      <c r="D8" t="s">
        <v>44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257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48</v>
      </c>
      <c r="D12" t="s">
        <v>49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50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65</v>
      </c>
      <c r="D14" t="s">
        <v>66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53</v>
      </c>
      <c r="D15" t="s">
        <v>54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70</v>
      </c>
      <c r="D16" t="s">
        <v>71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63</v>
      </c>
      <c r="D17" t="s">
        <v>64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69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72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73</v>
      </c>
      <c r="D20" t="s">
        <v>74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51</v>
      </c>
      <c r="D21" t="s">
        <v>52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67</v>
      </c>
      <c r="D22" t="s">
        <v>68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57</v>
      </c>
      <c r="D23" t="s">
        <v>58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55</v>
      </c>
      <c r="D24" t="s">
        <v>56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61</v>
      </c>
      <c r="D25" t="s">
        <v>62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59</v>
      </c>
      <c r="D26" t="s">
        <v>60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75</v>
      </c>
      <c r="D27" t="s">
        <v>262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81</v>
      </c>
      <c r="D28" t="s">
        <v>82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90</v>
      </c>
      <c r="D29" t="s">
        <v>91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83</v>
      </c>
      <c r="D30" t="s">
        <v>84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266</v>
      </c>
      <c r="D31" t="s">
        <v>76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77</v>
      </c>
      <c r="D32" t="s">
        <v>78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87</v>
      </c>
      <c r="D33" t="s">
        <v>88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89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85</v>
      </c>
      <c r="D35" t="s">
        <v>86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92</v>
      </c>
      <c r="D36" t="s">
        <v>93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79</v>
      </c>
      <c r="D37" t="s">
        <v>80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94</v>
      </c>
      <c r="D38" t="s">
        <v>95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103</v>
      </c>
      <c r="D39" t="s">
        <v>104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101</v>
      </c>
      <c r="D40" t="s">
        <v>102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105</v>
      </c>
      <c r="D41" t="s">
        <v>106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267</v>
      </c>
      <c r="D42" t="s">
        <v>111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99</v>
      </c>
      <c r="D43" t="s">
        <v>100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112</v>
      </c>
      <c r="D44" t="s">
        <v>113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96</v>
      </c>
      <c r="D45" t="s">
        <v>97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107</v>
      </c>
      <c r="D46" t="s">
        <v>108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114</v>
      </c>
      <c r="D47" t="s">
        <v>115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98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109</v>
      </c>
      <c r="D49" t="s">
        <v>110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122</v>
      </c>
      <c r="D51" t="s">
        <v>123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126</v>
      </c>
      <c r="D52" t="s">
        <v>127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57</v>
      </c>
      <c r="D53" t="s">
        <v>128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118</v>
      </c>
      <c r="D54" t="s">
        <v>119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133</v>
      </c>
      <c r="D55" t="s">
        <v>134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120</v>
      </c>
      <c r="D56" t="s">
        <v>121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89</v>
      </c>
      <c r="D57" t="s">
        <v>130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135</v>
      </c>
      <c r="D58" t="s">
        <v>136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124</v>
      </c>
      <c r="D59" t="s">
        <v>125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137</v>
      </c>
      <c r="D60" t="s">
        <v>138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268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116</v>
      </c>
      <c r="D62" t="s">
        <v>117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242</v>
      </c>
      <c r="D63" t="s">
        <v>129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131</v>
      </c>
      <c r="D64" t="s">
        <v>132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143</v>
      </c>
      <c r="D65" t="s">
        <v>144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157</v>
      </c>
      <c r="D66" t="s">
        <v>158</v>
      </c>
      <c r="E66" s="7" t="s">
        <v>254</v>
      </c>
    </row>
    <row r="67" spans="1:5" x14ac:dyDescent="0.2">
      <c r="A67" t="s">
        <v>24</v>
      </c>
      <c r="B67" t="str">
        <f>A67&amp;COUNTIF($A$2:$A67,A67)</f>
        <v>Covington3</v>
      </c>
      <c r="C67" t="s">
        <v>159</v>
      </c>
      <c r="D67" t="s">
        <v>160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140</v>
      </c>
      <c r="D68" t="s">
        <v>141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150</v>
      </c>
      <c r="D69" t="s">
        <v>151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147</v>
      </c>
      <c r="D70" t="s">
        <v>148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139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145</v>
      </c>
      <c r="D72" t="s">
        <v>146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153</v>
      </c>
      <c r="D73" t="s">
        <v>154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149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83</v>
      </c>
      <c r="D75" t="s">
        <v>152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155</v>
      </c>
      <c r="D76" t="s">
        <v>156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57</v>
      </c>
      <c r="D77" t="s">
        <v>142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165</v>
      </c>
      <c r="D78" t="s">
        <v>166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173</v>
      </c>
      <c r="D79" t="s">
        <v>174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163</v>
      </c>
      <c r="D80" t="s">
        <v>164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162</v>
      </c>
      <c r="D81" t="s">
        <v>149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167</v>
      </c>
      <c r="D82" t="s">
        <v>168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175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269</v>
      </c>
      <c r="D84" t="s">
        <v>78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176</v>
      </c>
      <c r="D85" t="s">
        <v>177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270</v>
      </c>
      <c r="D86" t="s">
        <v>161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169</v>
      </c>
      <c r="D87" t="s">
        <v>170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171</v>
      </c>
      <c r="D88" t="s">
        <v>172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188</v>
      </c>
      <c r="D89" t="s">
        <v>189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70</v>
      </c>
      <c r="D90" t="s">
        <v>179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180</v>
      </c>
      <c r="D91" t="s">
        <v>181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99</v>
      </c>
      <c r="D92" t="s">
        <v>184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167</v>
      </c>
      <c r="D93" t="s">
        <v>66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255</v>
      </c>
      <c r="D94" t="s">
        <v>192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190</v>
      </c>
      <c r="D95" t="s">
        <v>191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89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187</v>
      </c>
      <c r="D97" t="s">
        <v>166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185</v>
      </c>
      <c r="D98" t="s">
        <v>186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70</v>
      </c>
      <c r="D99" t="s">
        <v>178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182</v>
      </c>
      <c r="D100" t="s">
        <v>183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195</v>
      </c>
      <c r="D101" t="s">
        <v>82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61</v>
      </c>
      <c r="D102" t="s">
        <v>193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75</v>
      </c>
      <c r="D103" t="s">
        <v>174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194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198</v>
      </c>
      <c r="D105" t="s">
        <v>199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200</v>
      </c>
      <c r="D106" t="s">
        <v>201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192</v>
      </c>
      <c r="D107" t="s">
        <v>197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202</v>
      </c>
      <c r="D108" t="s">
        <v>203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204</v>
      </c>
      <c r="D109" t="s">
        <v>199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196</v>
      </c>
      <c r="D110" t="s">
        <v>102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205</v>
      </c>
      <c r="D111" t="s">
        <v>57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206</v>
      </c>
      <c r="D112" t="s">
        <v>207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173</v>
      </c>
      <c r="D113" t="s">
        <v>208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173</v>
      </c>
      <c r="D114" t="s">
        <v>217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211</v>
      </c>
      <c r="D115" t="s">
        <v>212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213</v>
      </c>
      <c r="D116" t="s">
        <v>214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209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218</v>
      </c>
      <c r="D118" t="s">
        <v>219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261</v>
      </c>
      <c r="D119" t="s">
        <v>43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210</v>
      </c>
      <c r="D120" t="s">
        <v>149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215</v>
      </c>
      <c r="D121" t="s">
        <v>216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225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153</v>
      </c>
      <c r="D123" t="s">
        <v>220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271</v>
      </c>
      <c r="D124" t="s">
        <v>231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221</v>
      </c>
      <c r="D125" t="s">
        <v>222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225</v>
      </c>
      <c r="D126" t="s">
        <v>230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228</v>
      </c>
      <c r="D127" t="s">
        <v>229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232</v>
      </c>
      <c r="D128" t="s">
        <v>233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226</v>
      </c>
      <c r="D129" t="s">
        <v>227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223</v>
      </c>
      <c r="D130" t="s">
        <v>224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240</v>
      </c>
      <c r="D131" t="s">
        <v>241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192</v>
      </c>
      <c r="D132" t="s">
        <v>236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237</v>
      </c>
      <c r="D133" t="s">
        <v>238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245</v>
      </c>
      <c r="D134" t="s">
        <v>246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242</v>
      </c>
      <c r="D135" t="s">
        <v>243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146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234</v>
      </c>
      <c r="D137" t="s">
        <v>235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239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247</v>
      </c>
      <c r="D139" t="s">
        <v>227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244</v>
      </c>
      <c r="D140" t="s">
        <v>104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248</v>
      </c>
      <c r="D141" t="s">
        <v>249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83</v>
      </c>
      <c r="D142" t="s">
        <v>250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251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253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2021-07-19T23:55:41Z</dcterms:modified>
</cp:coreProperties>
</file>