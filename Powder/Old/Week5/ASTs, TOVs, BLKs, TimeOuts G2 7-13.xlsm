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AB3F743C-4614-534D-8575-35035A61017B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H24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<sst xmlns="http://schemas.openxmlformats.org/spreadsheetml/2006/main" count="488" uniqueCount="270">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</sst>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6" workbookViewId="0">
      <selection activeCell="B21" sqref="B2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249</v>
      </c>
      <c r="F1" t="s">
        <v>3</v>
      </c>
      <c r="G1" t="str">
        <f>'Stats G2'!B3</f>
        <v>Clarke</v>
      </c>
    </row>
    <row r="2" spans="2:12" x14ac:dyDescent="0.2">
      <c r="B2" t="str">
        <f>G1</f>
        <v>Clarke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250</v>
      </c>
      <c r="J2" t="s">
        <v>245</v>
      </c>
      <c r="K2" t="s">
        <v>246</v>
      </c>
      <c r="L2" t="s">
        <v>248</v>
      </c>
    </row>
    <row r="3" spans="2:12" x14ac:dyDescent="0.2">
      <c r="B3">
        <f>I18</f>
        <v>20</v>
      </c>
      <c r="C3" s="3" t="s">
        <v>6</v>
      </c>
      <c r="D3" s="4">
        <f>J37</f>
        <v>9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G2'!E5</f>
        <v>5</v>
      </c>
      <c r="J3">
        <f>'Stats G2'!H5</f>
        <v>3</v>
      </c>
      <c r="K3">
        <f>'Stats G2'!K5</f>
        <v>0</v>
      </c>
    </row>
    <row r="4" spans="2:12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2</v>
      </c>
      <c r="J4">
        <f>'Stats G2'!H6</f>
        <v>0</v>
      </c>
      <c r="K4">
        <f>'Stats G2'!K6</f>
        <v>2</v>
      </c>
    </row>
    <row r="5" spans="2:12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0</v>
      </c>
      <c r="J5">
        <f>'Stats G2'!H7</f>
        <v>0</v>
      </c>
      <c r="K5">
        <f>'Stats G2'!K7</f>
        <v>0</v>
      </c>
    </row>
    <row r="6" spans="2:12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6</v>
      </c>
      <c r="J6">
        <f>'Stats G2'!H8</f>
        <v>2</v>
      </c>
      <c r="K6">
        <f>'Stats G2'!K8</f>
        <v>0</v>
      </c>
    </row>
    <row r="7" spans="2:12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G2'!E9</f>
        <v>0</v>
      </c>
      <c r="J7">
        <f>'Stats G2'!H9</f>
        <v>0</v>
      </c>
      <c r="K7">
        <f>'Stats G2'!K9</f>
        <v>0</v>
      </c>
    </row>
    <row r="8" spans="2:12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2</v>
      </c>
      <c r="J8">
        <f>'Stats G2'!H10</f>
        <v>0</v>
      </c>
      <c r="K8">
        <f>'Stats G2'!K10</f>
        <v>0</v>
      </c>
    </row>
    <row r="9" spans="2:12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>'Stats G2'!K11</f>
        <v>0</v>
      </c>
    </row>
    <row r="10" spans="2:12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1</v>
      </c>
      <c r="J10">
        <f>'Stats G2'!H12</f>
        <v>1</v>
      </c>
      <c r="K10">
        <f>'Stats G2'!K12</f>
        <v>1</v>
      </c>
    </row>
    <row r="11" spans="2:12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>'Stats G2'!K13</f>
        <v>0</v>
      </c>
    </row>
    <row r="12" spans="2:12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2</v>
      </c>
      <c r="J12">
        <f>'Stats G2'!H14</f>
        <v>2</v>
      </c>
      <c r="K12">
        <f>'Stats G2'!K14</f>
        <v>0</v>
      </c>
    </row>
    <row r="13" spans="2:12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1</v>
      </c>
      <c r="J13">
        <f>'Stats G2'!H15</f>
        <v>1</v>
      </c>
      <c r="K13">
        <f>'Stats G2'!K15</f>
        <v>0</v>
      </c>
    </row>
    <row r="14" spans="2:12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0</v>
      </c>
      <c r="K14">
        <f>'Stats G2'!K16</f>
        <v>0</v>
      </c>
    </row>
    <row r="15" spans="2:12" x14ac:dyDescent="0.2">
      <c r="F15" t="str">
        <f>'Stats G2'!A17</f>
        <v>Riley</v>
      </c>
      <c r="G15" t="str">
        <f>'Stats G2'!B17</f>
        <v>Demps</v>
      </c>
      <c r="H15">
        <f>'Stats G2'!C17</f>
        <v>30</v>
      </c>
      <c r="I15">
        <f>'Stats G2'!E17</f>
        <v>1</v>
      </c>
      <c r="J15">
        <f>'Stats G2'!H17</f>
        <v>1</v>
      </c>
      <c r="K15">
        <f>'Stats G2'!K17</f>
        <v>1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2" x14ac:dyDescent="0.2">
      <c r="H18" s="2" t="s">
        <v>5</v>
      </c>
      <c r="I18">
        <f>SUM(I3:I17)</f>
        <v>20</v>
      </c>
      <c r="J18">
        <f>SUM(J3:J17)</f>
        <v>10</v>
      </c>
      <c r="K18">
        <f>SUM(K3:K17)</f>
        <v>4</v>
      </c>
      <c r="L18">
        <f>'Stats G2'!W5</f>
        <v>1</v>
      </c>
    </row>
    <row r="20" spans="6:12" x14ac:dyDescent="0.2">
      <c r="F20" t="s">
        <v>4</v>
      </c>
      <c r="G20" t="str">
        <f>'Stats G2'!B21</f>
        <v>Fulton</v>
      </c>
    </row>
    <row r="21" spans="6:12" x14ac:dyDescent="0.2">
      <c r="F21" t="s">
        <v>1</v>
      </c>
      <c r="G21" t="s">
        <v>2</v>
      </c>
      <c r="H21" t="s">
        <v>0</v>
      </c>
      <c r="I21" t="s">
        <v>250</v>
      </c>
      <c r="J21" t="s">
        <v>245</v>
      </c>
      <c r="K21" t="s">
        <v>246</v>
      </c>
      <c r="L21" t="s">
        <v>248</v>
      </c>
    </row>
    <row r="22" spans="6:12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G2'!E23</f>
        <v>2</v>
      </c>
      <c r="J22">
        <f>'Stats G2'!H23</f>
        <v>0</v>
      </c>
      <c r="K22">
        <f>'Stats G2'!K23</f>
        <v>0</v>
      </c>
    </row>
    <row r="23" spans="6:12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G2'!E24</f>
        <v>2</v>
      </c>
      <c r="J23">
        <f>'Stats G2'!H24</f>
        <v>0</v>
      </c>
      <c r="K23">
        <f>'Stats G2'!K24</f>
        <v>0</v>
      </c>
    </row>
    <row r="24" spans="6:12" x14ac:dyDescent="0.2">
      <c r="F24" t="str">
        <f>'Stats G2'!A25</f>
        <v>Conner</v>
      </c>
      <c r="G24" t="str">
        <f>'Stats G2'!B25</f>
        <v>Toolson</v>
      </c>
      <c r="H24">
        <f>'Stats G2'!C25</f>
        <v>0</v>
      </c>
      <c r="I24">
        <f>'Stats G2'!E25</f>
        <v>4</v>
      </c>
      <c r="J24">
        <f>'Stats G2'!H25</f>
        <v>1</v>
      </c>
      <c r="K24">
        <f>'Stats G2'!K25</f>
        <v>0</v>
      </c>
    </row>
    <row r="25" spans="6:12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G2'!E26</f>
        <v>3</v>
      </c>
      <c r="J25">
        <f>'Stats G2'!H26</f>
        <v>1</v>
      </c>
      <c r="K25">
        <f>'Stats G2'!K26</f>
        <v>1</v>
      </c>
    </row>
    <row r="26" spans="6:12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G2'!E27</f>
        <v>0</v>
      </c>
      <c r="J26">
        <f>'Stats G2'!H27</f>
        <v>3</v>
      </c>
      <c r="K26">
        <f>'Stats G2'!K27</f>
        <v>0</v>
      </c>
    </row>
    <row r="27" spans="6:12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G2'!E28</f>
        <v>3</v>
      </c>
      <c r="J27">
        <f>'Stats G2'!H28</f>
        <v>1</v>
      </c>
      <c r="K27">
        <f>'Stats G2'!K28</f>
        <v>1</v>
      </c>
    </row>
    <row r="28" spans="6:12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G2'!E29</f>
        <v>7</v>
      </c>
      <c r="J28">
        <f>'Stats G2'!H29</f>
        <v>1</v>
      </c>
      <c r="K28">
        <f>'Stats G2'!K29</f>
        <v>0</v>
      </c>
    </row>
    <row r="29" spans="6:12" x14ac:dyDescent="0.2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G2'!E30</f>
        <v>2</v>
      </c>
      <c r="J29">
        <f>'Stats G2'!H30</f>
        <v>1</v>
      </c>
      <c r="K29">
        <f>'Stats G2'!K30</f>
        <v>0</v>
      </c>
    </row>
    <row r="30" spans="6:12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4</v>
      </c>
      <c r="J30">
        <f>'Stats G2'!H31</f>
        <v>1</v>
      </c>
      <c r="K30">
        <f>'Stats G2'!K31</f>
        <v>0</v>
      </c>
    </row>
    <row r="31" spans="6:12" x14ac:dyDescent="0.2">
      <c r="F31" t="str">
        <f>'Stats G2'!A32</f>
        <v>?</v>
      </c>
      <c r="G31" t="str">
        <f>'Stats G2'!B32</f>
        <v>?</v>
      </c>
      <c r="I31">
        <f>'Stats G2'!E32</f>
        <v>0</v>
      </c>
      <c r="J31">
        <f>'Stats G2'!H32</f>
        <v>0</v>
      </c>
      <c r="K31">
        <f>'Stats G2'!K32</f>
        <v>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2" x14ac:dyDescent="0.2">
      <c r="H37" s="2" t="s">
        <v>5</v>
      </c>
      <c r="I37">
        <f>SUM(I22:I36)</f>
        <v>27</v>
      </c>
      <c r="J37">
        <f>SUM(J22:J36)</f>
        <v>9</v>
      </c>
      <c r="K37">
        <f>SUM(K22:K36)</f>
        <v>2</v>
      </c>
      <c r="L37">
        <f>'Stats G2'!W23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12" workbookViewId="0">
      <selection activeCell="W12" sqref="W1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13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245</v>
      </c>
      <c r="K4" t="s">
        <v>246</v>
      </c>
    </row>
    <row r="5" spans="1:23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5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2</v>
      </c>
      <c r="H6" s="6">
        <v>0</v>
      </c>
      <c r="K6" s="6">
        <v>2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6</v>
      </c>
      <c r="H8" s="6">
        <v>2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2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1</v>
      </c>
      <c r="H12" s="6">
        <v>1</v>
      </c>
      <c r="K12" s="6">
        <v>1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2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203</v>
      </c>
      <c r="B17" s="5" t="s">
        <v>269</v>
      </c>
      <c r="C17" s="5">
        <v>30</v>
      </c>
      <c r="D17" s="5"/>
      <c r="E17" s="5">
        <v>1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20</v>
      </c>
      <c r="H20">
        <f>SUM(H5:H19)</f>
        <v>10</v>
      </c>
      <c r="K20">
        <f>SUM(K5:K19)</f>
        <v>4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19</v>
      </c>
    </row>
    <row r="22" spans="1:23" x14ac:dyDescent="0.2">
      <c r="A22" t="s">
        <v>1</v>
      </c>
      <c r="B22" t="s">
        <v>2</v>
      </c>
      <c r="C22" t="s">
        <v>0</v>
      </c>
      <c r="E22" t="s">
        <v>250</v>
      </c>
      <c r="H22" t="s">
        <v>245</v>
      </c>
      <c r="K22" t="s">
        <v>246</v>
      </c>
    </row>
    <row r="23" spans="1:23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  <c r="W23" s="6">
        <v>3</v>
      </c>
    </row>
    <row r="24" spans="1:23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2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Conner</v>
      </c>
      <c r="B25" s="5" t="str">
        <f>_xlfn.IFNA(VLOOKUP($B$21&amp;ROWS($B$23:B25),Rosters!$B$2:$D$162,3,0),"?")</f>
        <v>Toolson</v>
      </c>
      <c r="C25" s="5">
        <v>0</v>
      </c>
      <c r="D25" s="5"/>
      <c r="E25" s="5">
        <v>4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3</v>
      </c>
      <c r="H26" s="6">
        <v>1</v>
      </c>
      <c r="K26" s="6">
        <v>1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0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3</v>
      </c>
      <c r="H28" s="6">
        <v>1</v>
      </c>
      <c r="K28" s="6">
        <v>1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7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2</v>
      </c>
      <c r="H30" s="6">
        <v>1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4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27</v>
      </c>
      <c r="H38">
        <f>SUM(H23:H37)</f>
        <v>9</v>
      </c>
      <c r="K38">
        <f>SUM(K23:K37)</f>
        <v>2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14" workbookViewId="0">
      <selection activeCell="B144" sqref="B14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254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255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256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253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257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258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259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262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263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264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265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266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2021-07-14T16:30:25Z</dcterms:modified>
</cp:coreProperties>
</file>