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5/"/>
    </mc:Choice>
  </mc:AlternateContent>
  <xr:revisionPtr revIDLastSave="0" documentId="13_ncr:1_{3D133167-34BE-0345-8711-CE27DD48C7AE}" xr6:coauthVersionLast="47" xr6:coauthVersionMax="47" xr10:uidLastSave="{00000000-0000-0000-0000-000000000000}"/>
  <bookViews>
    <workbookView xWindow="0" yWindow="500" windowWidth="2390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J18" i="2"/>
  <c r="J37" i="2"/>
  <c r="K37" i="2"/>
  <c r="K18" i="2"/>
  <c r="G20" i="2"/>
  <c r="D2" i="2" s="1"/>
  <c r="G1" i="2"/>
  <c r="B2" i="2" s="1"/>
  <c r="H17" i="2" l="1"/>
  <c r="A17" i="1"/>
  <c r="F15" i="2" s="1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G17" i="2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F17" i="2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H28" i="2"/>
  <c r="B37" i="1"/>
  <c r="G36" i="2" s="1"/>
  <c r="C26" i="1"/>
  <c r="H25" i="2" s="1"/>
  <c r="C31" i="1"/>
  <c r="H30" i="2" s="1"/>
  <c r="C18" i="1"/>
  <c r="H16" i="2" s="1"/>
  <c r="G16" i="2"/>
  <c r="F16" i="2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H10" i="2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<sst xmlns="http://schemas.openxmlformats.org/spreadsheetml/2006/main" count="359" uniqueCount="225">
  <si>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</si>
  <si>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</si>
  <si>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</si>
  <si>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</si>
  <si>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</si>
  <si>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</si>
  <si>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</si>
  <si>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</si>
  <si>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</si>
  <si>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</si>
  <si>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</si>
  <si>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</si>
  <si>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</si>
  <si>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</si>
  <si>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</si>
  <si>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</si>
  <si>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</si>
  <si>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</si>
  <si>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</si>
  <si>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</si>
  <si>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</si>
  <si>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</si>
  <si>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</si>
  <si>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</si>
  <si>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</si>
  <si>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</si>
  <si>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</si>
  <si>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</si>
  <si>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</si>
  <si>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</si>
  <si>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</si>
  <si>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</si>
  <si>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</si>
  <si>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</si>
  <si>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</si>
  <si>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</si>
  <si>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</si>
  <si>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</si>
  <si>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</si>
  <si>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</si>
  <si>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</si>
  <si>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</si>
  <si>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</si>
  <si>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</si>
  <si>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</si>
  <si>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</si>
  <si>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</si>
  <si>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</si>
  <si>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</si>
  <si>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</si>
  <si>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</si>
  <si>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</si>
  <si>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</si>
  <si>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</si>
  <si>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</si>
  <si>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</si>
  <si>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</si>
  <si>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</si>
  <si>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</si>
  <si>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</si>
  <si>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</si>
  <si>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</si>
  <si>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</si>
  <si>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</si>
  <si>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</si>
  <si>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</si>
  <si>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</si>
  <si>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</si>
  <si>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</si>
  <si>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</si>
  <si>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</si>
  <si>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</si>
  <si>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</si>
  <si>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</si>
  <si>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</si>
  <si>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</si>
  <si>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</si>
  <si>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</si>
  <si>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</si>
  <si>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</si>
  <si>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</si>
  <si>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</si>
  <si>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</si>
  <si>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</si>
  <si>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</si>
  <si>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</si>
  <si>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</si>
  <si>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</si>
  <si>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</si>
  <si>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</si>
  <si>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</si>
  <si>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</si>
  <si>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</si>
  <si>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</si>
  <si>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</si>
  <si>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</si>
  <si>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</si>
  <si>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</si>
  <si>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</si>
  <si>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</si>
  <si>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</si>
  <si>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</si>
  <si>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</si>
  <si>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</si>
  <si>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</si>
  <si>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</si>
  <si>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</si>
  <si>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</si>
  <si>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</si>
  <si>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</si>
  <si>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</si>
  <si>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</si>
  <si>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</si>
  <si>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</si>
  <si>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</si>
  <si>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</si>
  <si>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</si>
  <si>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</si>
  <si>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</si>
  <si>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</si>
  <si>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</si>
  <si>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</si>
  <si>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</si>
  <si>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</si>
  <si>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</si>
  <si>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</si>
  <si>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</si>
  <si>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</si>
  <si>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</si>
  <si>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</si>
  <si>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</si>
  <si>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</si>
  <si>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</si>
  <si>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</si>
  <si>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</si>
  <si>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</si>
  <si>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</si>
  <si>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</si>
  <si>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</si>
  <si>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</si>
  <si>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</si>
  <si>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</si>
  <si>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</si>
  <si>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</si>
  <si>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</si>
  <si>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</si>
  <si>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</si>
  <si>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</si>
  <si>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</si>
  <si>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</si>
  <si>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</si>
  <si>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</si>
  <si>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</si>
  <si>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</si>
  <si>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</si>
  <si>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</si>
  <si>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</si>
  <si>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</si>
  <si>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</si>
  <si>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</si>
  <si>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</si>
  <si>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</si>
  <si>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</si>
  <si>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</si>
  <si>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</si>
  <si>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</si>
  <si>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</si>
  <si>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</si>
  <si>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</si>
  <si>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</si>
  <si>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</si>
  <si>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</si>
  <si>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</si>
  <si>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</si>
  <si>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</si>
  <si>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</si>
  <si>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</si>
  <si>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</si>
  <si>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</si>
  <si>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</si>
  <si>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</si>
  <si>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</si>
  <si>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</si>
  <si>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</si>
  <si>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</si>
  <si>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</si>
  <si>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</si>
  <si>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</si>
  <si>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</si>
  <si>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</si>
  <si>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</si>
  <si>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</si>
  <si>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</si>
  <si>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</si>
  <si>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</si>
  <si>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</si>
  <si>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</si>
  <si>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</si>
  <si>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</si>
  <si>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</si>
  <si>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</si>
  <si>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</si>
  <si>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</si>
  <si>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</si>
  <si>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</si>
  <si>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</si>
  <si>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</si>
  <si>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</si>
  <si>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</si>
  <si>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</si>
  <si>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</si>
  <si>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</si>
  <si>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</si>
  <si>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</si>
  <si>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</si>
  <si>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</si>
  <si>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</si>
  <si>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</si>
  <si>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</si>
  <si>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</si>
  <si>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</si>
  <si>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</si>
  <si>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Majok</t>
  </si>
  <si>
    <t>Torian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</si>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</sst>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49" fontId="0" fillId="2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D10" sqref="D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Humpherys</v>
      </c>
    </row>
    <row r="2" spans="2:12" x14ac:dyDescent="0.2">
      <c r="B2" t="str">
        <f>G1</f>
        <v>Team Humpherys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94</v>
      </c>
      <c r="C3" s="3" t="s">
        <v>13</v>
      </c>
      <c r="D3" s="4">
        <f>I37</f>
        <v>113</v>
      </c>
      <c r="F3" t="str">
        <f>'Stats G1'!A5</f>
        <v>John</v>
      </c>
      <c r="G3" t="str">
        <f>'Stats G1'!B5</f>
        <v>Knight III</v>
      </c>
      <c r="H3">
        <f>'Stats G1'!C5</f>
        <v>23</v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Isaac</v>
      </c>
      <c r="G4" t="str">
        <f>'Stats G1'!B6</f>
        <v>Johnson</v>
      </c>
      <c r="H4">
        <f>'Stats G1'!C6</f>
        <v>20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Seena</v>
      </c>
      <c r="G5" t="str">
        <f>'Stats G1'!B7</f>
        <v>Namdar</v>
      </c>
      <c r="H5">
        <f>'Stats G1'!C7</f>
        <v>13</v>
      </c>
      <c r="I5">
        <f>'Stats G1'!H7*2+'Stats G1'!N7*3+'Stats G1'!T7</f>
        <v>0</v>
      </c>
      <c r="J5" t="str">
        <f>SUM('Stats G1'!H7+'Stats G1'!N7)&amp;"-"&amp;SUM('Stats G1'!E7+'Stats G1'!K7)</f>
        <v>0-3</v>
      </c>
      <c r="K5" t="str">
        <f>SUM('Stats G1'!N7)&amp;"-"&amp;SUM('Stats G1'!K7)</f>
        <v>0-3</v>
      </c>
      <c r="L5" t="str">
        <f>SUM('Stats G1'!T7)&amp;"-"&amp;SUM('Stats G1'!Q7)</f>
        <v>0-0</v>
      </c>
    </row>
    <row r="6" spans="2:12" x14ac:dyDescent="0.2">
      <c r="F6" t="str">
        <f>'Stats G1'!A8</f>
        <v>Hunter</v>
      </c>
      <c r="G6" t="str">
        <f>'Stats G1'!B8</f>
        <v>Humpherys</v>
      </c>
      <c r="H6">
        <f>'Stats G1'!C8</f>
        <v>11</v>
      </c>
      <c r="I6">
        <f>'Stats G1'!H8*2+'Stats G1'!N8*3+'Stats G1'!T8</f>
        <v>8</v>
      </c>
      <c r="J6" t="str">
        <f>SUM('Stats G1'!H8+'Stats G1'!N8)&amp;"-"&amp;SUM('Stats G1'!E8+'Stats G1'!K8)</f>
        <v>3-5</v>
      </c>
      <c r="K6" t="str">
        <f>SUM('Stats G1'!N8)&amp;"-"&amp;SUM('Stats G1'!K8)</f>
        <v>1-2</v>
      </c>
      <c r="L6" t="str">
        <f>SUM('Stats G1'!T8)&amp;"-"&amp;SUM('Stats G1'!Q8)</f>
        <v>1-2</v>
      </c>
    </row>
    <row r="7" spans="2:12" x14ac:dyDescent="0.2">
      <c r="F7" t="str">
        <f>'Stats G1'!A9</f>
        <v>Mark</v>
      </c>
      <c r="G7" t="str">
        <f>'Stats G1'!B9</f>
        <v>Burton</v>
      </c>
      <c r="H7">
        <f>'Stats G1'!C9</f>
        <v>3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Gabe</v>
      </c>
      <c r="G8" t="str">
        <f>'Stats G1'!B10</f>
        <v>Madsen</v>
      </c>
      <c r="H8">
        <f>'Stats G1'!C10</f>
        <v>55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Marco</v>
      </c>
      <c r="G9" t="str">
        <f>'Stats G1'!B11</f>
        <v>Anthony</v>
      </c>
      <c r="H9">
        <f>'Stats G1'!C11</f>
        <v>99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Dee</v>
      </c>
      <c r="G10" t="str">
        <f>'Stats G1'!B12</f>
        <v>Barnes</v>
      </c>
      <c r="H10">
        <f>'Stats G1'!C12</f>
        <v>24</v>
      </c>
      <c r="I10">
        <f>'Stats G1'!H12*2+'Stats G1'!N12*3+'Stats G1'!T12</f>
        <v>20</v>
      </c>
      <c r="J10" t="str">
        <f>SUM('Stats G1'!H12+'Stats G1'!N12)&amp;"-"&amp;SUM('Stats G1'!E12+'Stats G1'!K12)</f>
        <v>8-17</v>
      </c>
      <c r="K10" t="str">
        <f>SUM('Stats G1'!N12)&amp;"-"&amp;SUM('Stats G1'!K12)</f>
        <v>4-10</v>
      </c>
      <c r="L10" t="str">
        <f>SUM('Stats G1'!T12)&amp;"-"&amp;SUM('Stats G1'!Q12)</f>
        <v>0-0</v>
      </c>
    </row>
    <row r="11" spans="2:12" x14ac:dyDescent="0.2">
      <c r="F11" t="str">
        <f>'Stats G1'!A13</f>
        <v>Zack</v>
      </c>
      <c r="G11" t="str">
        <f>'Stats G1'!B13</f>
        <v>Visentin</v>
      </c>
      <c r="H11">
        <f>'Stats G1'!C13</f>
        <v>32</v>
      </c>
      <c r="I11">
        <f>'Stats G1'!H13*2+'Stats G1'!N13*3+'Stats G1'!T13</f>
        <v>6</v>
      </c>
      <c r="J11" t="str">
        <f>SUM('Stats G1'!H13+'Stats G1'!N13)&amp;"-"&amp;SUM('Stats G1'!E13+'Stats G1'!K13)</f>
        <v>2-7</v>
      </c>
      <c r="K11" t="str">
        <f>SUM('Stats G1'!N13)&amp;"-"&amp;SUM('Stats G1'!K13)</f>
        <v>0-0</v>
      </c>
      <c r="L11" t="str">
        <f>SUM('Stats G1'!T13)&amp;"-"&amp;SUM('Stats G1'!Q13)</f>
        <v>2-4</v>
      </c>
    </row>
    <row r="12" spans="2:12" x14ac:dyDescent="0.2">
      <c r="F12" t="str">
        <f>'Stats G1'!A14</f>
        <v>Demarcus</v>
      </c>
      <c r="G12" t="str">
        <f>'Stats G1'!B14</f>
        <v>Harrison</v>
      </c>
      <c r="H12">
        <f>'Stats G1'!C14</f>
        <v>31</v>
      </c>
      <c r="I12">
        <f>'Stats G1'!H14*2+'Stats G1'!N14*3+'Stats G1'!T14</f>
        <v>20</v>
      </c>
      <c r="J12" t="str">
        <f>SUM('Stats G1'!H14+'Stats G1'!N14)&amp;"-"&amp;SUM('Stats G1'!E14+'Stats G1'!K14)</f>
        <v>8-18</v>
      </c>
      <c r="K12" t="str">
        <f>SUM('Stats G1'!N14)&amp;"-"&amp;SUM('Stats G1'!K14)</f>
        <v>2-7</v>
      </c>
      <c r="L12" t="str">
        <f>SUM('Stats G1'!T14)&amp;"-"&amp;SUM('Stats G1'!Q14)</f>
        <v>2-3</v>
      </c>
    </row>
    <row r="13" spans="2:12" x14ac:dyDescent="0.2">
      <c r="F13" t="str">
        <f>'Stats G1'!A15</f>
        <v>Trey</v>
      </c>
      <c r="G13" t="str">
        <f>'Stats G1'!B15</f>
        <v>Anderson</v>
      </c>
      <c r="H13">
        <f>'Stats G1'!C15</f>
        <v>5</v>
      </c>
      <c r="I13">
        <f>'Stats G1'!H15*2+'Stats G1'!N15*3+'Stats G1'!T15</f>
        <v>4</v>
      </c>
      <c r="J13" t="str">
        <f>SUM('Stats G1'!H15+'Stats G1'!N15)&amp;"-"&amp;SUM('Stats G1'!E15+'Stats G1'!K15)</f>
        <v>2-8</v>
      </c>
      <c r="K13" t="str">
        <f>SUM('Stats G1'!N15)&amp;"-"&amp;SUM('Stats G1'!K15)</f>
        <v>0-2</v>
      </c>
      <c r="L13" t="str">
        <f>SUM('Stats G1'!T15)&amp;"-"&amp;SUM('Stats G1'!Q15)</f>
        <v>0-0</v>
      </c>
    </row>
    <row r="14" spans="2:12" x14ac:dyDescent="0.2">
      <c r="F14" t="str">
        <f>'Stats G1'!A16</f>
        <v>Lual</v>
      </c>
      <c r="G14" t="str">
        <f>'Stats G1'!B16</f>
        <v>Arok</v>
      </c>
      <c r="H14">
        <f>'Stats G1'!C16</f>
        <v>9</v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Zach</v>
      </c>
      <c r="G15" t="str">
        <f>'Stats G1'!B17</f>
        <v>Mogbo</v>
      </c>
      <c r="H15">
        <f>'Stats G1'!C17</f>
        <v>4</v>
      </c>
      <c r="I15">
        <f>'Stats G1'!H17*2+'Stats G1'!N17*3+'Stats G1'!T17</f>
        <v>21</v>
      </c>
      <c r="J15" t="str">
        <f>SUM('Stats G1'!H17+'Stats G1'!N17)&amp;"-"&amp;SUM('Stats G1'!E17+'Stats G1'!K17)</f>
        <v>7-16</v>
      </c>
      <c r="K15" t="str">
        <f>SUM('Stats G1'!N17)&amp;"-"&amp;SUM('Stats G1'!K17)</f>
        <v>0-1</v>
      </c>
      <c r="L15" t="str">
        <f>SUM('Stats G1'!T17)&amp;"-"&amp;SUM('Stats G1'!Q17)</f>
        <v>7-12</v>
      </c>
    </row>
    <row r="16" spans="2:12" x14ac:dyDescent="0.2">
      <c r="F16" t="str">
        <f>'Stats G1'!A18</f>
        <v>Majok</v>
      </c>
      <c r="G16" t="str">
        <f>'Stats G1'!B18</f>
        <v>Kuath</v>
      </c>
      <c r="H16">
        <f>'Stats G1'!C18</f>
        <v>1</v>
      </c>
      <c r="I16">
        <f>'Stats G1'!H18*2+'Stats G1'!N18*3+'Stats G1'!T18</f>
        <v>9</v>
      </c>
      <c r="J16" t="str">
        <f>SUM('Stats G1'!H18+'Stats G1'!N18)&amp;"-"&amp;SUM('Stats G1'!E18+'Stats G1'!K18)</f>
        <v>4-6</v>
      </c>
      <c r="K16" t="str">
        <f>SUM('Stats G1'!N18)&amp;"-"&amp;SUM('Stats G1'!K18)</f>
        <v>1-3</v>
      </c>
      <c r="L16" t="str">
        <f>SUM('Stats G1'!T18)&amp;"-"&amp;SUM('Stats G1'!Q18)</f>
        <v>0-0</v>
      </c>
    </row>
    <row r="17" spans="6:12" x14ac:dyDescent="0.2">
      <c r="F17" t="str">
        <f>'Stats G1'!A19</f>
        <v>Torian</v>
      </c>
      <c r="G17" t="str">
        <f>'Stats G1'!B19</f>
        <v>Jordan</v>
      </c>
      <c r="H17" t="str">
        <f>'Stats G1'!C19</f>
        <v>00</v>
      </c>
      <c r="I17">
        <f>'Stats G1'!H19*2+'Stats G1'!N19*3+'Stats G1'!T19</f>
        <v>6</v>
      </c>
      <c r="J17" t="str">
        <f>SUM('Stats G1'!H19+'Stats G1'!N19)&amp;"-"&amp;SUM('Stats G1'!E19+'Stats G1'!K19)</f>
        <v>2-6</v>
      </c>
      <c r="K17" t="str">
        <f>SUM('Stats G1'!N19)&amp;"-"&amp;SUM('Stats G1'!K19)</f>
        <v>0-4</v>
      </c>
      <c r="L17" t="str">
        <f>SUM('Stats G1'!T19)&amp;"-"&amp;SUM('Stats G1'!Q19)</f>
        <v>2-2</v>
      </c>
    </row>
    <row r="18" spans="6:12" x14ac:dyDescent="0.2">
      <c r="H18" s="2" t="s">
        <v>12</v>
      </c>
      <c r="I18">
        <f>SUM(I3:I17)</f>
        <v>94</v>
      </c>
      <c r="J18" t="str">
        <f>SUM('Stats G1'!H20+'Stats G1'!N20)&amp;"-"&amp;SUM('Stats G1'!E20+'Stats G1'!K20)</f>
        <v>36-86</v>
      </c>
      <c r="K18" t="str">
        <f>SUM('Stats G1'!N20)&amp;"-"&amp;SUM('Stats G1'!K20)</f>
        <v>8-32</v>
      </c>
      <c r="L18" t="str">
        <f>SUM('Stats G1'!T20)&amp;"-"&amp;SUM('Stats G1'!Q20)</f>
        <v>14-23</v>
      </c>
    </row>
    <row r="20" spans="6:12" x14ac:dyDescent="0.2">
      <c r="F20" t="s">
        <v>11</v>
      </c>
      <c r="G20" t="str">
        <f>'Stats G1'!B21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Corbin</v>
      </c>
      <c r="G22" t="str">
        <f>'Stats G1'!B23</f>
        <v>Green</v>
      </c>
      <c r="H22">
        <f>'Stats G1'!C23</f>
        <v>7</v>
      </c>
      <c r="I22">
        <f>'Stats G1'!H23*2+'Stats G1'!N23*3+'Stats G1'!T23</f>
        <v>20</v>
      </c>
      <c r="J22" t="str">
        <f>SUM('Stats G1'!H23+'Stats G1'!N23)&amp;"-"&amp;SUM('Stats G1'!E23+'Stats G1'!K23)</f>
        <v>6-11</v>
      </c>
      <c r="K22" t="str">
        <f>SUM('Stats G1'!N23)&amp;"-"&amp;SUM('Stats G1'!K23)</f>
        <v>6-10</v>
      </c>
      <c r="L22" t="str">
        <f>SUM('Stats G1'!T23)&amp;"-"&amp;SUM('Stats G1'!Q23)</f>
        <v>2-2</v>
      </c>
    </row>
    <row r="23" spans="6:12" x14ac:dyDescent="0.2">
      <c r="F23" t="str">
        <f>'Stats G1'!A24</f>
        <v>Aubrey</v>
      </c>
      <c r="G23" t="str">
        <f>'Stats G1'!B24</f>
        <v>Hodges</v>
      </c>
      <c r="H23">
        <f>'Stats G1'!C24</f>
        <v>5</v>
      </c>
      <c r="I23">
        <f>'Stats G1'!H24*2+'Stats G1'!N24*3+'Stats G1'!T24</f>
        <v>2</v>
      </c>
      <c r="J23" t="str">
        <f>SUM('Stats G1'!H24+'Stats G1'!N24)&amp;"-"&amp;SUM('Stats G1'!E24+'Stats G1'!K24)</f>
        <v>0-2</v>
      </c>
      <c r="K23" t="str">
        <f>SUM('Stats G1'!N24)&amp;"-"&amp;SUM('Stats G1'!K24)</f>
        <v>0-1</v>
      </c>
      <c r="L23" t="str">
        <f>SUM('Stats G1'!T24)&amp;"-"&amp;SUM('Stats G1'!Q24)</f>
        <v>2-5</v>
      </c>
    </row>
    <row r="24" spans="6:12" x14ac:dyDescent="0.2">
      <c r="F24" t="str">
        <f>'Stats G1'!A25</f>
        <v>Tre</v>
      </c>
      <c r="G24" t="str">
        <f>'Stats G1'!B25</f>
        <v>Smith</v>
      </c>
      <c r="H24">
        <f>'Stats G1'!C25</f>
        <v>3</v>
      </c>
      <c r="I24">
        <f>'Stats G1'!H25*2+'Stats G1'!N25*3+'Stats G1'!T25</f>
        <v>9</v>
      </c>
      <c r="J24" t="str">
        <f>SUM('Stats G1'!H25+'Stats G1'!N25)&amp;"-"&amp;SUM('Stats G1'!E25+'Stats G1'!K25)</f>
        <v>3-7</v>
      </c>
      <c r="K24" t="str">
        <f>SUM('Stats G1'!N25)&amp;"-"&amp;SUM('Stats G1'!K25)</f>
        <v>3-7</v>
      </c>
      <c r="L24" t="str">
        <f>SUM('Stats G1'!T25)&amp;"-"&amp;SUM('Stats G1'!Q25)</f>
        <v>0-0</v>
      </c>
    </row>
    <row r="25" spans="6:12" x14ac:dyDescent="0.2">
      <c r="F25" t="str">
        <f>'Stats G1'!A26</f>
        <v>Tim</v>
      </c>
      <c r="G25" t="str">
        <f>'Stats G1'!B26</f>
        <v>Drisdom</v>
      </c>
      <c r="H25">
        <f>'Stats G1'!C26</f>
        <v>11</v>
      </c>
      <c r="I25">
        <f>'Stats G1'!H26*2+'Stats G1'!N26*3+'Stats G1'!T26</f>
        <v>12</v>
      </c>
      <c r="J25" t="str">
        <f>SUM('Stats G1'!H26+'Stats G1'!N26)&amp;"-"&amp;SUM('Stats G1'!E26+'Stats G1'!K26)</f>
        <v>4-8</v>
      </c>
      <c r="K25" t="str">
        <f>SUM('Stats G1'!N26)&amp;"-"&amp;SUM('Stats G1'!K26)</f>
        <v>3-7</v>
      </c>
      <c r="L25" t="str">
        <f>SUM('Stats G1'!T26)&amp;"-"&amp;SUM('Stats G1'!Q26)</f>
        <v>1-2</v>
      </c>
    </row>
    <row r="26" spans="6:12" x14ac:dyDescent="0.2">
      <c r="F26" t="str">
        <f>'Stats G1'!A27</f>
        <v>Terrence</v>
      </c>
      <c r="G26" t="str">
        <f>'Stats G1'!B27</f>
        <v>Drisdom</v>
      </c>
      <c r="H26">
        <f>'Stats G1'!C27</f>
        <v>2</v>
      </c>
      <c r="I26">
        <f>'Stats G1'!H27*2+'Stats G1'!N27*3+'Stats G1'!T27</f>
        <v>29</v>
      </c>
      <c r="J26" t="str">
        <f>SUM('Stats G1'!H27+'Stats G1'!N27)&amp;"-"&amp;SUM('Stats G1'!E27+'Stats G1'!K27)</f>
        <v>10-16</v>
      </c>
      <c r="K26" t="str">
        <f>SUM('Stats G1'!N27)&amp;"-"&amp;SUM('Stats G1'!K27)</f>
        <v>0-5</v>
      </c>
      <c r="L26" t="str">
        <f>SUM('Stats G1'!T27)&amp;"-"&amp;SUM('Stats G1'!Q27)</f>
        <v>9-11</v>
      </c>
    </row>
    <row r="27" spans="6:12" x14ac:dyDescent="0.2">
      <c r="F27" t="str">
        <f>'Stats G1'!A28</f>
        <v>Jared</v>
      </c>
      <c r="G27" t="str">
        <f>'Stats G1'!B28</f>
        <v>Butler</v>
      </c>
      <c r="H27">
        <f>'Stats G1'!C28</f>
        <v>0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Shaun</v>
      </c>
      <c r="G28" t="str">
        <f>'Stats G1'!B29</f>
        <v>Green</v>
      </c>
      <c r="H28">
        <f>'Stats G1'!C29</f>
        <v>8</v>
      </c>
      <c r="I28">
        <f>'Stats G1'!H29*2+'Stats G1'!N29*3+'Stats G1'!T29</f>
        <v>20</v>
      </c>
      <c r="J28" t="str">
        <f>SUM('Stats G1'!H29+'Stats G1'!N29)&amp;"-"&amp;SUM('Stats G1'!E29+'Stats G1'!K29)</f>
        <v>7-14</v>
      </c>
      <c r="K28" t="str">
        <f>SUM('Stats G1'!N29)&amp;"-"&amp;SUM('Stats G1'!K29)</f>
        <v>6-12</v>
      </c>
      <c r="L28" t="str">
        <f>SUM('Stats G1'!T29)&amp;"-"&amp;SUM('Stats G1'!Q29)</f>
        <v>0-0</v>
      </c>
    </row>
    <row r="29" spans="6:12" x14ac:dyDescent="0.2">
      <c r="F29" t="str">
        <f>'Stats G1'!A30</f>
        <v>Zeus</v>
      </c>
      <c r="G29" t="str">
        <f>'Stats G1'!B30</f>
        <v>Martinez</v>
      </c>
      <c r="H29">
        <f>'Stats G1'!C30</f>
        <v>1</v>
      </c>
      <c r="I29">
        <f>'Stats G1'!H30*2+'Stats G1'!N30*3+'Stats G1'!T30</f>
        <v>2</v>
      </c>
      <c r="J29" t="str">
        <f>SUM('Stats G1'!H30+'Stats G1'!N30)&amp;"-"&amp;SUM('Stats G1'!E30+'Stats G1'!K30)</f>
        <v>1-6</v>
      </c>
      <c r="K29" t="str">
        <f>SUM('Stats G1'!N30)&amp;"-"&amp;SUM('Stats G1'!K30)</f>
        <v>0-1</v>
      </c>
      <c r="L29" t="str">
        <f>SUM('Stats G1'!T30)&amp;"-"&amp;SUM('Stats G1'!Q30)</f>
        <v>0-0</v>
      </c>
    </row>
    <row r="30" spans="6:12" x14ac:dyDescent="0.2">
      <c r="F30" t="str">
        <f>'Stats G1'!A31</f>
        <v>Vai</v>
      </c>
      <c r="G30" t="str">
        <f>'Stats G1'!B31</f>
        <v>Harris</v>
      </c>
      <c r="H30">
        <f>'Stats G1'!C31</f>
        <v>4</v>
      </c>
      <c r="I30">
        <f>'Stats G1'!H31*2+'Stats G1'!N31*3+'Stats G1'!T31</f>
        <v>2</v>
      </c>
      <c r="J30" t="str">
        <f>SUM('Stats G1'!H31+'Stats G1'!N31)&amp;"-"&amp;SUM('Stats G1'!E31+'Stats G1'!K31)</f>
        <v>1-5</v>
      </c>
      <c r="K30" t="str">
        <f>SUM('Stats G1'!N31)&amp;"-"&amp;SUM('Stats G1'!K31)</f>
        <v>0-2</v>
      </c>
      <c r="L30" t="str">
        <f>SUM('Stats G1'!T31)&amp;"-"&amp;SUM('Stats G1'!Q31)</f>
        <v>0-0</v>
      </c>
    </row>
    <row r="31" spans="6:12" x14ac:dyDescent="0.2">
      <c r="F31" t="str">
        <f>'Stats G1'!A32</f>
        <v>Brekott</v>
      </c>
      <c r="G31" t="str">
        <f>'Stats G1'!B32</f>
        <v>Chapman</v>
      </c>
      <c r="H31">
        <f>'Stats G1'!C32</f>
        <v>6</v>
      </c>
      <c r="I31">
        <f>'Stats G1'!H32*2+'Stats G1'!N32*3+'Stats G1'!T32</f>
        <v>17</v>
      </c>
      <c r="J31" t="str">
        <f>SUM('Stats G1'!H32+'Stats G1'!N32)&amp;"-"&amp;SUM('Stats G1'!E32+'Stats G1'!K32)</f>
        <v>6-12</v>
      </c>
      <c r="K31" t="str">
        <f>SUM('Stats G1'!N32)&amp;"-"&amp;SUM('Stats G1'!K32)</f>
        <v>1-5</v>
      </c>
      <c r="L31" t="str">
        <f>SUM('Stats G1'!T32)&amp;"-"&amp;SUM('Stats G1'!Q32)</f>
        <v>4-5</v>
      </c>
    </row>
    <row r="32" spans="6:12" x14ac:dyDescent="0.2">
      <c r="F32" t="str">
        <f>'Stats G1'!A33</f>
        <v>Bryant</v>
      </c>
      <c r="G32" t="str">
        <f>'Stats G1'!B33</f>
        <v>Markson</v>
      </c>
      <c r="H32">
        <f>'Stats G1'!C33</f>
        <v>20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113</v>
      </c>
      <c r="J37" t="str">
        <f>SUM('Stats G1'!H38+'Stats G1'!N38)&amp;"-"&amp;SUM('Stats G1'!E38+'Stats G1'!K38)</f>
        <v>38-81</v>
      </c>
      <c r="K37" t="str">
        <f>SUM('Stats G1'!N38)&amp;"-"&amp;SUM('Stats G1'!K38)</f>
        <v>19-50</v>
      </c>
      <c r="L37" t="str">
        <f>SUM('Stats G1'!T38)&amp;"-"&amp;SUM('Stats G1'!Q38)</f>
        <v>18-25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Q33" sqref="Q3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199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John</v>
      </c>
      <c r="B5" s="5" t="str">
        <f>_xlfn.IFNA(VLOOKUP($B$3&amp;ROWS($B$5:B5),Rosters!$B$2:$D$163,3,0),"?")</f>
        <v>Knight III</v>
      </c>
      <c r="C5" s="5">
        <f>_xlfn.IFNA(VLOOKUP($B$3&amp;ROWS($C$5:C5),Rosters!$B$2:$E$163,4,0),"")</f>
        <v>23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Isaac</v>
      </c>
      <c r="B6" s="6" t="str">
        <f>_xlfn.IFNA(VLOOKUP($B$3&amp;ROWS($B$5:B6),Rosters!$B$2:$D$163,3,0),"?")</f>
        <v>Johnson</v>
      </c>
      <c r="C6" s="6">
        <f>_xlfn.IFNA(VLOOKUP($B$3&amp;ROWS($C$5:C6),Rosters!$B$2:$E$163,4,0),"")</f>
        <v>20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Seena</v>
      </c>
      <c r="B7" s="5" t="str">
        <f>_xlfn.IFNA(VLOOKUP($B$3&amp;ROWS($B$5:B7),Rosters!$B$2:$D$163,3,0),"?")</f>
        <v>Namdar</v>
      </c>
      <c r="C7" s="5">
        <f>_xlfn.IFNA(VLOOKUP($B$3&amp;ROWS($C$5:C7),Rosters!$B$2:$E$163,4,0),"")</f>
        <v>13</v>
      </c>
      <c r="D7" s="5"/>
      <c r="E7" s="5">
        <v>0</v>
      </c>
      <c r="F7" s="5"/>
      <c r="G7" s="5"/>
      <c r="H7" s="5">
        <v>0</v>
      </c>
      <c r="I7" s="5"/>
      <c r="J7" s="5"/>
      <c r="K7" s="5">
        <v>3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Hunter</v>
      </c>
      <c r="B8" s="6" t="str">
        <f>_xlfn.IFNA(VLOOKUP($B$3&amp;ROWS($B$5:B8),Rosters!$B$2:$D$163,3,0),"?")</f>
        <v>Humpherys</v>
      </c>
      <c r="C8" s="6">
        <f>_xlfn.IFNA(VLOOKUP($B$3&amp;ROWS($C$5:C8),Rosters!$B$2:$E$163,4,0),"")</f>
        <v>11</v>
      </c>
      <c r="E8" s="6">
        <v>3</v>
      </c>
      <c r="H8" s="6">
        <v>2</v>
      </c>
      <c r="K8" s="6">
        <v>2</v>
      </c>
      <c r="N8" s="6">
        <v>1</v>
      </c>
      <c r="Q8" s="6">
        <v>2</v>
      </c>
      <c r="T8" s="6">
        <v>1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Mark</v>
      </c>
      <c r="B9" s="5" t="str">
        <f>_xlfn.IFNA(VLOOKUP($B$3&amp;ROWS($B$5:B9),Rosters!$B$2:$D$163,3,0),"?")</f>
        <v>Burton</v>
      </c>
      <c r="C9" s="5">
        <f>_xlfn.IFNA(VLOOKUP($B$3&amp;ROWS($C$5:C9),Rosters!$B$2:$E$163,4,0),"")</f>
        <v>3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Gabe</v>
      </c>
      <c r="B10" s="6" t="str">
        <f>_xlfn.IFNA(VLOOKUP($B$3&amp;ROWS($B$5:B10),Rosters!$B$2:$D$163,3,0),"?")</f>
        <v>Madsen</v>
      </c>
      <c r="C10" s="6">
        <f>_xlfn.IFNA(VLOOKUP($B$3&amp;ROWS($C$5:C10),Rosters!$B$2:$E$163,4,0),"")</f>
        <v>55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Marco</v>
      </c>
      <c r="B11" s="5" t="str">
        <f>_xlfn.IFNA(VLOOKUP($B$3&amp;ROWS($B$5:B11),Rosters!$B$2:$D$163,3,0),"?")</f>
        <v>Anthony</v>
      </c>
      <c r="C11" s="5">
        <f>_xlfn.IFNA(VLOOKUP($B$3&amp;ROWS($C$5:C11),Rosters!$B$2:$E$163,4,0),"")</f>
        <v>99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Dee</v>
      </c>
      <c r="B12" s="6" t="str">
        <f>_xlfn.IFNA(VLOOKUP($B$3&amp;ROWS($B$5:B12),Rosters!$B$2:$D$163,3,0),"?")</f>
        <v>Barnes</v>
      </c>
      <c r="C12" s="6">
        <v>24</v>
      </c>
      <c r="E12" s="6">
        <v>7</v>
      </c>
      <c r="H12" s="6">
        <v>4</v>
      </c>
      <c r="K12" s="6">
        <v>10</v>
      </c>
      <c r="N12" s="6">
        <v>4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Zack</v>
      </c>
      <c r="B13" s="5" t="str">
        <f>_xlfn.IFNA(VLOOKUP($B$3&amp;ROWS($B$5:B13),Rosters!$B$2:$D$163,3,0),"?")</f>
        <v>Visentin</v>
      </c>
      <c r="C13" s="5">
        <f>_xlfn.IFNA(VLOOKUP($B$3&amp;ROWS($C$5:C13),Rosters!$B$2:$E$163,4,0),"")</f>
        <v>32</v>
      </c>
      <c r="D13" s="5"/>
      <c r="E13" s="5">
        <v>7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4</v>
      </c>
      <c r="R13" s="5"/>
      <c r="S13" s="5"/>
      <c r="T13" s="5">
        <v>2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Demarcus</v>
      </c>
      <c r="B14" s="6" t="str">
        <f>_xlfn.IFNA(VLOOKUP($B$3&amp;ROWS($B$5:B14),Rosters!$B$2:$D$163,3,0),"?")</f>
        <v>Harrison</v>
      </c>
      <c r="C14" s="6">
        <f>_xlfn.IFNA(VLOOKUP($B$3&amp;ROWS($C$5:C14),Rosters!$B$2:$E$163,4,0),"")</f>
        <v>31</v>
      </c>
      <c r="E14" s="6">
        <v>11</v>
      </c>
      <c r="H14" s="6">
        <v>6</v>
      </c>
      <c r="K14" s="6">
        <v>7</v>
      </c>
      <c r="N14" s="6">
        <v>2</v>
      </c>
      <c r="Q14" s="6">
        <v>3</v>
      </c>
      <c r="T14" s="6">
        <v>2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Trey</v>
      </c>
      <c r="B15" s="5" t="str">
        <f>_xlfn.IFNA(VLOOKUP($B$3&amp;ROWS($B$5:B15),Rosters!$B$2:$D$163,3,0),"?")</f>
        <v>Anderson</v>
      </c>
      <c r="C15" s="5">
        <f>_xlfn.IFNA(VLOOKUP($B$3&amp;ROWS($C$5:C15),Rosters!$B$2:$E$163,4,0),"")</f>
        <v>5</v>
      </c>
      <c r="D15" s="5"/>
      <c r="E15" s="5">
        <v>6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Lual</v>
      </c>
      <c r="B16" s="6" t="str">
        <f>_xlfn.IFNA(VLOOKUP($B$3&amp;ROWS($B$5:B16),Rosters!$B$2:$D$163,3,0),"?")</f>
        <v>Arok</v>
      </c>
      <c r="C16" s="6">
        <f>_xlfn.IFNA(VLOOKUP($B$3&amp;ROWS($C$5:C16),Rosters!$B$2:$E$163,4,0),"")</f>
        <v>9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Zach</v>
      </c>
      <c r="B17" s="5" t="str">
        <f>_xlfn.IFNA(VLOOKUP($B$3&amp;ROWS($B$5:B17),Rosters!$B$2:$D$163,3,0),"?")</f>
        <v>Mogbo</v>
      </c>
      <c r="C17" s="5">
        <f>_xlfn.IFNA(VLOOKUP($B$3&amp;ROWS($C$5:C17),Rosters!$B$2:$E$163,4,0),"")</f>
        <v>4</v>
      </c>
      <c r="D17" s="5"/>
      <c r="E17" s="5">
        <v>15</v>
      </c>
      <c r="F17" s="5"/>
      <c r="G17" s="5"/>
      <c r="H17" s="5">
        <v>7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12</v>
      </c>
      <c r="R17" s="5"/>
      <c r="S17" s="5"/>
      <c r="T17" s="5">
        <v>7</v>
      </c>
      <c r="U17" s="5"/>
      <c r="V17" s="5"/>
      <c r="W17" s="5">
        <v>0</v>
      </c>
      <c r="X17" s="5"/>
    </row>
    <row r="18" spans="1:24" s="6" customFormat="1" x14ac:dyDescent="0.2">
      <c r="A18" s="6" t="s">
        <v>222</v>
      </c>
      <c r="B18" s="6" t="s">
        <v>131</v>
      </c>
      <c r="C18" s="6">
        <f>_xlfn.IFNA(VLOOKUP($B$3&amp;ROWS($C$5:C18),Rosters!$B$2:$E$163,4,0),"")</f>
        <v>1</v>
      </c>
      <c r="E18" s="6">
        <v>3</v>
      </c>
      <c r="H18" s="6">
        <v>3</v>
      </c>
      <c r="K18" s="6">
        <v>3</v>
      </c>
      <c r="N18" s="6">
        <v>1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">
        <v>223</v>
      </c>
      <c r="B19" s="5" t="s">
        <v>91</v>
      </c>
      <c r="C19" s="9" t="s">
        <v>224</v>
      </c>
      <c r="D19" s="5"/>
      <c r="E19" s="5">
        <v>2</v>
      </c>
      <c r="F19" s="5"/>
      <c r="G19" s="5"/>
      <c r="H19" s="5">
        <v>2</v>
      </c>
      <c r="I19" s="5"/>
      <c r="J19" s="5"/>
      <c r="K19" s="5">
        <v>4</v>
      </c>
      <c r="L19" s="5"/>
      <c r="M19" s="5"/>
      <c r="N19" s="5">
        <v>0</v>
      </c>
      <c r="O19" s="5"/>
      <c r="P19" s="5"/>
      <c r="Q19" s="5">
        <v>2</v>
      </c>
      <c r="R19" s="5"/>
      <c r="S19" s="5"/>
      <c r="T19" s="5">
        <v>2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54</v>
      </c>
      <c r="H20" s="6">
        <f>SUM(H5:H19)</f>
        <v>28</v>
      </c>
      <c r="K20" s="6">
        <f>SUM(K5:K19)</f>
        <v>32</v>
      </c>
      <c r="N20" s="6">
        <f>SUM(N5:N19)</f>
        <v>8</v>
      </c>
      <c r="Q20" s="6">
        <f>SUM(Q5:Q19)</f>
        <v>23</v>
      </c>
      <c r="T20" s="6">
        <f>SUM(T5:T19)</f>
        <v>14</v>
      </c>
      <c r="W20" s="6">
        <f>SUM(W5:W19)</f>
        <v>0</v>
      </c>
    </row>
    <row r="21" spans="1:24" x14ac:dyDescent="0.2">
      <c r="A21" s="2" t="s">
        <v>16</v>
      </c>
      <c r="B21" s="1" t="s">
        <v>69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Corbin</v>
      </c>
      <c r="B23" s="5" t="str">
        <f>_xlfn.IFNA(VLOOKUP($B$21&amp;ROWS($B$23:B23),Rosters!$B$2:$D$163,3,0),"?")</f>
        <v>Green</v>
      </c>
      <c r="C23" s="5">
        <f>_xlfn.IFNA(VLOOKUP($B$21&amp;ROWS($C$23:C23),Rosters!$B$2:$E$163,4,0),"")</f>
        <v>7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10</v>
      </c>
      <c r="L23" s="5"/>
      <c r="M23" s="5"/>
      <c r="N23" s="5">
        <v>6</v>
      </c>
      <c r="O23" s="5"/>
      <c r="P23" s="5"/>
      <c r="Q23" s="5">
        <v>2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Aubrey</v>
      </c>
      <c r="B24" t="str">
        <f>_xlfn.IFNA(VLOOKUP($B$21&amp;ROWS($B$23:B24),Rosters!$B$2:$D$163,3,0),"?")</f>
        <v>Hodges</v>
      </c>
      <c r="C24">
        <f>_xlfn.IFNA(VLOOKUP($B$21&amp;ROWS($C$23:C24),Rosters!$B$2:$E$163,4,0),"")</f>
        <v>5</v>
      </c>
      <c r="D24" s="6"/>
      <c r="E24" s="6">
        <v>1</v>
      </c>
      <c r="F24" s="6"/>
      <c r="G24" s="6"/>
      <c r="H24" s="6">
        <v>0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5</v>
      </c>
      <c r="R24" s="6"/>
      <c r="S24" s="6"/>
      <c r="T24" s="6">
        <v>2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Tre</v>
      </c>
      <c r="B25" s="5" t="str">
        <f>_xlfn.IFNA(VLOOKUP($B$21&amp;ROWS($B$23:B25),Rosters!$B$2:$D$163,3,0),"?")</f>
        <v>Smith</v>
      </c>
      <c r="C25" s="5"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7</v>
      </c>
      <c r="L25" s="5"/>
      <c r="M25" s="5"/>
      <c r="N25" s="5">
        <v>3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Tim</v>
      </c>
      <c r="B26" t="str">
        <f>_xlfn.IFNA(VLOOKUP($B$21&amp;ROWS($B$23:B26),Rosters!$B$2:$D$163,3,0),"?")</f>
        <v>Drisdom</v>
      </c>
      <c r="C26">
        <f>_xlfn.IFNA(VLOOKUP($B$21&amp;ROWS($C$23:C26),Rosters!$B$2:$E$163,4,0),"")</f>
        <v>11</v>
      </c>
      <c r="D26" s="6"/>
      <c r="E26" s="6">
        <v>1</v>
      </c>
      <c r="F26" s="6"/>
      <c r="G26" s="6"/>
      <c r="H26" s="6">
        <v>1</v>
      </c>
      <c r="I26" s="6"/>
      <c r="J26" s="6"/>
      <c r="K26" s="6">
        <v>7</v>
      </c>
      <c r="L26" s="6"/>
      <c r="M26" s="6"/>
      <c r="N26" s="6">
        <v>3</v>
      </c>
      <c r="O26" s="6"/>
      <c r="P26" s="6"/>
      <c r="Q26" s="6">
        <v>2</v>
      </c>
      <c r="R26" s="6"/>
      <c r="S26" s="6"/>
      <c r="T26" s="6">
        <v>1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Terrence</v>
      </c>
      <c r="B27" s="5" t="str">
        <f>_xlfn.IFNA(VLOOKUP($B$21&amp;ROWS($B$23:B27),Rosters!$B$2:$D$163,3,0),"?")</f>
        <v>Drisdom</v>
      </c>
      <c r="C27" s="5">
        <f>_xlfn.IFNA(VLOOKUP($B$21&amp;ROWS($C$23:C27),Rosters!$B$2:$E$163,4,0),"")</f>
        <v>2</v>
      </c>
      <c r="D27" s="5"/>
      <c r="E27" s="5">
        <v>11</v>
      </c>
      <c r="F27" s="5"/>
      <c r="G27" s="5"/>
      <c r="H27" s="5">
        <v>10</v>
      </c>
      <c r="I27" s="5"/>
      <c r="J27" s="5"/>
      <c r="K27" s="5">
        <v>5</v>
      </c>
      <c r="L27" s="5"/>
      <c r="M27" s="5"/>
      <c r="N27" s="5">
        <v>0</v>
      </c>
      <c r="O27" s="5"/>
      <c r="P27" s="5"/>
      <c r="Q27" s="5">
        <v>11</v>
      </c>
      <c r="R27" s="5"/>
      <c r="S27" s="5"/>
      <c r="T27" s="5">
        <v>9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Jared</v>
      </c>
      <c r="B28" t="str">
        <f>_xlfn.IFNA(VLOOKUP($B$21&amp;ROWS($B$23:B28),Rosters!$B$2:$D$163,3,0),"?")</f>
        <v>Butler</v>
      </c>
      <c r="C28">
        <f>_xlfn.IFNA(VLOOKUP($B$21&amp;ROWS($C$23:C28),Rosters!$B$2:$E$163,4,0),"")</f>
        <v>0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Shaun</v>
      </c>
      <c r="B29" s="5" t="str">
        <f>_xlfn.IFNA(VLOOKUP($B$21&amp;ROWS($B$23:B29),Rosters!$B$2:$D$163,3,0),"?")</f>
        <v>Green</v>
      </c>
      <c r="C29" s="5">
        <v>8</v>
      </c>
      <c r="D29" s="5"/>
      <c r="E29" s="5">
        <v>2</v>
      </c>
      <c r="F29" s="5"/>
      <c r="G29" s="5"/>
      <c r="H29" s="5">
        <v>1</v>
      </c>
      <c r="I29" s="5"/>
      <c r="J29" s="5"/>
      <c r="K29" s="5">
        <v>12</v>
      </c>
      <c r="L29" s="5"/>
      <c r="M29" s="5"/>
      <c r="N29" s="5">
        <v>6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Zeus</v>
      </c>
      <c r="B30" t="str">
        <f>_xlfn.IFNA(VLOOKUP($B$21&amp;ROWS($B$23:B30),Rosters!$B$2:$D$163,3,0),"?")</f>
        <v>Martinez</v>
      </c>
      <c r="C30">
        <f>_xlfn.IFNA(VLOOKUP($B$21&amp;ROWS($C$23:C30),Rosters!$B$2:$E$163,4,0),"")</f>
        <v>1</v>
      </c>
      <c r="D30" s="6"/>
      <c r="E30" s="6">
        <v>5</v>
      </c>
      <c r="F30" s="6"/>
      <c r="G30" s="6"/>
      <c r="H30" s="6">
        <v>1</v>
      </c>
      <c r="I30" s="6"/>
      <c r="J30" s="6"/>
      <c r="K30" s="6">
        <v>1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Vai</v>
      </c>
      <c r="B31" s="5" t="str">
        <f>_xlfn.IFNA(VLOOKUP($B$21&amp;ROWS($B$23:B31),Rosters!$B$2:$D$163,3,0),"?")</f>
        <v>Harris</v>
      </c>
      <c r="C31" s="5">
        <f>_xlfn.IFNA(VLOOKUP($B$21&amp;ROWS($C$23:C31),Rosters!$B$2:$E$163,4,0),"")</f>
        <v>4</v>
      </c>
      <c r="D31" s="5"/>
      <c r="E31" s="5">
        <v>3</v>
      </c>
      <c r="F31" s="5"/>
      <c r="G31" s="5"/>
      <c r="H31" s="5">
        <v>1</v>
      </c>
      <c r="I31" s="5"/>
      <c r="J31" s="5"/>
      <c r="K31" s="5">
        <v>2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Brekott</v>
      </c>
      <c r="B32" t="str">
        <f>_xlfn.IFNA(VLOOKUP($B$21&amp;ROWS($B$23:B32),Rosters!$B$2:$D$163,3,0),"?")</f>
        <v>Chapman</v>
      </c>
      <c r="C32">
        <f>_xlfn.IFNA(VLOOKUP($B$21&amp;ROWS($C$23:C32),Rosters!$B$2:$E$163,4,0),"")</f>
        <v>6</v>
      </c>
      <c r="D32" s="6"/>
      <c r="E32" s="6">
        <v>7</v>
      </c>
      <c r="F32" s="6"/>
      <c r="G32" s="6"/>
      <c r="H32" s="6">
        <v>5</v>
      </c>
      <c r="I32" s="6"/>
      <c r="J32" s="6"/>
      <c r="K32" s="6">
        <v>5</v>
      </c>
      <c r="L32" s="6"/>
      <c r="M32" s="6"/>
      <c r="N32" s="6">
        <v>1</v>
      </c>
      <c r="O32" s="6"/>
      <c r="P32" s="6"/>
      <c r="Q32" s="6">
        <v>5</v>
      </c>
      <c r="R32" s="6"/>
      <c r="S32" s="6"/>
      <c r="T32" s="6">
        <v>4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Bryant</v>
      </c>
      <c r="B33" s="5" t="str">
        <f>_xlfn.IFNA(VLOOKUP($B$21&amp;ROWS($B$23:B33),Rosters!$B$2:$D$163,3,0),"?")</f>
        <v>Markson</v>
      </c>
      <c r="C33" s="5">
        <f>_xlfn.IFNA(VLOOKUP($B$21&amp;ROWS($C$23:C33),Rosters!$B$2:$E$163,4,0),"")</f>
        <v>20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31</v>
      </c>
      <c r="H38">
        <f>SUM(H23:H37)</f>
        <v>19</v>
      </c>
      <c r="K38">
        <f>SUM(K23:K37)</f>
        <v>50</v>
      </c>
      <c r="N38">
        <f>SUM(N23:N37)</f>
        <v>19</v>
      </c>
      <c r="Q38">
        <f>SUM(Q23:Q37)</f>
        <v>25</v>
      </c>
      <c r="T38">
        <f>SUM(T23:T37)</f>
        <v>18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2022-07-16T15:57:08Z</dcterms:modified>
</cp:coreProperties>
</file>