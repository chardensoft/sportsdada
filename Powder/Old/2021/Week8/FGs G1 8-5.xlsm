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9T015816Z-001/"/>
    </mc:Choice>
  </mc:AlternateContent>
  <xr:revisionPtr revIDLastSave="0" documentId="13_ncr:1_{FAA75684-587C-214A-B664-1114776F12C4}" xr6:coauthVersionLast="47" xr6:coauthVersionMax="47" xr10:uidLastSave="{00000000-0000-0000-0000-000000000000}"/>
  <bookViews>
    <workbookView xWindow="0" yWindow="500" windowWidth="25820" windowHeight="145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30" i="1" s="1"/>
  <c r="B8" i="3"/>
  <c r="B7" i="3"/>
  <c r="B6" i="3"/>
  <c r="B5" i="3"/>
  <c r="B4" i="3"/>
  <c r="B3" i="3"/>
  <c r="B2" i="3"/>
  <c r="C25" i="1" s="1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H34" i="2"/>
  <c r="A25" i="1"/>
  <c r="G15" i="2"/>
  <c r="C18" i="1"/>
  <c r="H16" i="2" s="1"/>
  <c r="B13" i="1"/>
  <c r="G11" i="2" s="1"/>
  <c r="A8" i="1"/>
  <c r="F6" i="2" s="1"/>
  <c r="H35" i="2"/>
  <c r="C28" i="1"/>
  <c r="A5" i="1"/>
  <c r="B15" i="1"/>
  <c r="C12" i="1"/>
  <c r="H10" i="2" s="1"/>
  <c r="A10" i="1"/>
  <c r="B7" i="1"/>
  <c r="G5" i="2" s="1"/>
  <c r="A24" i="1"/>
  <c r="B33" i="1"/>
  <c r="C30" i="1"/>
  <c r="H29" i="2" s="1"/>
  <c r="A28" i="1"/>
  <c r="F27" i="2" s="1"/>
  <c r="B25" i="1"/>
  <c r="B24" i="1"/>
  <c r="G23" i="2" s="1"/>
  <c r="A12" i="1"/>
  <c r="F10" i="2" s="1"/>
  <c r="A7" i="1"/>
  <c r="C27" i="1"/>
  <c r="B9" i="1"/>
  <c r="G7" i="2" s="1"/>
  <c r="C32" i="1"/>
  <c r="H31" i="2" s="1"/>
  <c r="C19" i="1"/>
  <c r="H17" i="2" s="1"/>
  <c r="B14" i="1"/>
  <c r="G12" i="2" s="1"/>
  <c r="A9" i="1"/>
  <c r="F7" i="2" s="1"/>
  <c r="H36" i="2"/>
  <c r="C29" i="1"/>
  <c r="B19" i="1"/>
  <c r="G17" i="2" s="1"/>
  <c r="C16" i="1"/>
  <c r="H14" i="2" s="1"/>
  <c r="A14" i="1"/>
  <c r="F12" i="2" s="1"/>
  <c r="B11" i="1"/>
  <c r="G9" i="2" s="1"/>
  <c r="C8" i="1"/>
  <c r="H6" i="2" s="1"/>
  <c r="A6" i="1"/>
  <c r="F4" i="2" s="1"/>
  <c r="G36" i="2"/>
  <c r="A32" i="1"/>
  <c r="B29" i="1"/>
  <c r="C26" i="1"/>
  <c r="H25" i="2" s="1"/>
  <c r="B5" i="1"/>
  <c r="G3" i="2" s="1"/>
  <c r="C9" i="1"/>
  <c r="H7" i="2" s="1"/>
  <c r="A33" i="1"/>
  <c r="F32" i="2" s="1"/>
  <c r="C14" i="1"/>
  <c r="C24" i="1"/>
  <c r="B27" i="1"/>
  <c r="F15" i="2"/>
  <c r="C11" i="1"/>
  <c r="H9" i="2" s="1"/>
  <c r="B6" i="1"/>
  <c r="G4" i="2" s="1"/>
  <c r="B32" i="1"/>
  <c r="G31" i="2" s="1"/>
  <c r="A27" i="1"/>
  <c r="A19" i="1"/>
  <c r="F17" i="2" s="1"/>
  <c r="B16" i="1"/>
  <c r="C13" i="1"/>
  <c r="A11" i="1"/>
  <c r="F9" i="2" s="1"/>
  <c r="B8" i="1"/>
  <c r="G6" i="2" s="1"/>
  <c r="A23" i="1"/>
  <c r="F22" i="2" s="1"/>
  <c r="F36" i="2"/>
  <c r="C31" i="1"/>
  <c r="A29" i="1"/>
  <c r="B26" i="1"/>
  <c r="H15" i="2"/>
  <c r="B30" i="1"/>
  <c r="C5" i="1"/>
  <c r="H3" i="2" s="1"/>
  <c r="C6" i="1"/>
  <c r="H4" i="2" s="1"/>
  <c r="A16" i="1"/>
  <c r="F14" i="2" s="1"/>
  <c r="C10" i="1"/>
  <c r="B23" i="1"/>
  <c r="B31" i="1"/>
  <c r="G30" i="2" s="1"/>
  <c r="A26" i="1"/>
  <c r="F25" i="2" s="1"/>
  <c r="C15" i="1"/>
  <c r="H13" i="2" s="1"/>
  <c r="A13" i="1"/>
  <c r="F11" i="2" s="1"/>
  <c r="B10" i="1"/>
  <c r="C7" i="1"/>
  <c r="C23" i="1"/>
  <c r="G35" i="2"/>
  <c r="C33" i="1"/>
  <c r="H32" i="2" s="1"/>
  <c r="A31" i="1"/>
  <c r="F30" i="2" s="1"/>
  <c r="B28" i="1"/>
  <c r="G27" i="2" s="1"/>
  <c r="F24" i="2"/>
  <c r="H23" i="2"/>
  <c r="G34" i="2"/>
  <c r="F29" i="2"/>
  <c r="G26" i="2"/>
  <c r="G10" i="2"/>
  <c r="F34" i="2"/>
  <c r="H28" i="2"/>
  <c r="F26" i="2"/>
  <c r="G8" i="2"/>
  <c r="G33" i="2"/>
  <c r="H30" i="2"/>
  <c r="F28" i="2"/>
  <c r="G25" i="2"/>
  <c r="F8" i="2"/>
  <c r="G22" i="2"/>
  <c r="F33" i="2"/>
  <c r="H27" i="2"/>
  <c r="F3" i="2"/>
  <c r="H33" i="2"/>
  <c r="G14" i="2"/>
  <c r="H5" i="2"/>
  <c r="H22" i="2"/>
  <c r="H24" i="2"/>
  <c r="H8" i="2"/>
  <c r="F31" i="2"/>
  <c r="G13" i="2"/>
  <c r="H12" i="2"/>
  <c r="F23" i="2"/>
  <c r="F35" i="2"/>
  <c r="G32" i="2"/>
  <c r="G24" i="2"/>
  <c r="G28" i="2"/>
  <c r="F13" i="2"/>
  <c r="F5" i="2"/>
  <c r="H11" i="2"/>
  <c r="G29" i="2"/>
  <c r="H26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<sst xmlns="http://schemas.openxmlformats.org/spreadsheetml/2006/main" count="497" uniqueCount="282">
  <si>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</si>
  <si>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</si>
  <si>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</si>
  <si>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</si>
  <si>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</si>
  <si>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</si>
  <si>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</si>
  <si>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</si>
  <si>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</si>
  <si>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</si>
  <si>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</si>
  <si>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</si>
  <si>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</si>
  <si>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</si>
  <si>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</si>
  <si>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</si>
  <si>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</si>
  <si>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</si>
  <si>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</si>
  <si>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</si>
  <si>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</si>
  <si>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</si>
  <si>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</si>
  <si>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</si>
  <si>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</si>
  <si>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</si>
  <si>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</si>
  <si>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</si>
  <si>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</si>
  <si>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</si>
  <si>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</si>
  <si>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</si>
  <si>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</si>
  <si>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</si>
  <si>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</si>
  <si>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</si>
  <si>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</si>
  <si>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</si>
  <si>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</si>
  <si>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</si>
  <si>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</si>
  <si>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</si>
  <si>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</si>
  <si>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</si>
  <si>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</si>
  <si>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</si>
  <si>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</si>
  <si>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</si>
  <si>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</si>
  <si>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</si>
  <si>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</si>
  <si>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</si>
  <si>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</si>
  <si>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</si>
  <si>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</si>
  <si>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</si>
  <si>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</si>
  <si>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</si>
  <si>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</si>
  <si>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</si>
  <si>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</si>
  <si>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</si>
  <si>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</si>
  <si>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</si>
  <si>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</si>
  <si>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</si>
  <si>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</si>
  <si>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</si>
  <si>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</si>
  <si>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</si>
  <si>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</si>
  <si>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</si>
  <si>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</si>
  <si>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</si>
  <si>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</si>
  <si>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</si>
  <si>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</si>
  <si>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</si>
  <si>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</si>
  <si>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</si>
  <si>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</si>
  <si>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</si>
  <si>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</si>
  <si>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</si>
  <si>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</si>
  <si>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</si>
  <si>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</si>
  <si>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</si>
  <si>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</si>
  <si>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</si>
  <si>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</si>
  <si>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</si>
  <si>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</si>
  <si>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</si>
  <si>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</si>
  <si>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</si>
  <si>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</si>
  <si>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</si>
  <si>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</si>
  <si>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</si>
  <si>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</si>
  <si>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</si>
  <si>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</si>
  <si>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</si>
  <si>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</si>
  <si>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</si>
  <si>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</si>
  <si>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</si>
  <si>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</si>
  <si>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</si>
  <si>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</si>
  <si>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</si>
  <si>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</si>
  <si>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</si>
  <si>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</si>
  <si>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</si>
  <si>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</si>
  <si>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</si>
  <si>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</si>
  <si>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</si>
  <si>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</si>
  <si>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</si>
  <si>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</si>
  <si>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</si>
  <si>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</si>
  <si>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</si>
  <si>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</si>
  <si>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</si>
  <si>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</si>
  <si>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</si>
  <si>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</si>
  <si>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</si>
  <si>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</si>
  <si>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</si>
  <si>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</si>
  <si>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</si>
  <si>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</si>
  <si>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</si>
  <si>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</si>
  <si>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</si>
  <si>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</si>
  <si>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</si>
  <si>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</si>
  <si>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</si>
  <si>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</si>
  <si>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</si>
  <si>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</si>
  <si>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</si>
  <si>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</si>
  <si>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</si>
  <si>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</si>
  <si>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</si>
  <si>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</si>
  <si>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</si>
  <si>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</si>
  <si>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</si>
  <si>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</si>
  <si>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</si>
  <si>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</si>
  <si>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</si>
  <si>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</si>
  <si>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</si>
  <si>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</si>
  <si>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</si>
  <si>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</si>
  <si>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</si>
  <si>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</si>
  <si>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</si>
  <si>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</si>
  <si>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</si>
  <si>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</si>
  <si>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</si>
  <si>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</si>
  <si>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</si>
  <si>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</si>
  <si>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</si>
  <si>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</si>
  <si>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</si>
  <si>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</si>
  <si>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</si>
  <si>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</si>
  <si>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</si>
  <si>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</si>
  <si>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</si>
  <si>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</si>
  <si>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</si>
  <si>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</si>
  <si>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</si>
  <si>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</si>
  <si>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</si>
  <si>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</si>
  <si>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</si>
  <si>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</si>
  <si>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</si>
  <si>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</si>
  <si>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</si>
  <si>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</si>
  <si>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</si>
  <si>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</si>
  <si>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</si>
  <si>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</si>
  <si>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</si>
  <si>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</si>
  <si>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</si>
  <si>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</si>
  <si>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</si>
  <si>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</si>
  <si>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</si>
  <si>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</si>
  <si>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</si>
  <si>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</si>
  <si>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</si>
  <si>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</si>
  <si>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</si>
  <si>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</si>
  <si>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</si>
  <si>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</si>
  <si>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</si>
  <si>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</si>
  <si>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</si>
  <si>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</si>
  <si>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</si>
  <si>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</si>
  <si>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</si>
  <si>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</si>
  <si>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</si>
  <si>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</si>
  <si>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</si>
  <si>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</si>
  <si>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</si>
  <si>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</si>
  <si>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</si>
  <si>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</si>
  <si>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</si>
  <si>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</si>
  <si>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</si>
  <si>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</si>
  <si>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</si>
  <si>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</si>
  <si>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</si>
  <si>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</si>
  <si>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</si>
  <si>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</si>
  <si>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</si>
  <si>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</si>
  <si>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</si>
  <si>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</si>
  <si>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</si>
  <si>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</si>
  <si>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</si>
  <si>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</si>
  <si>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</si>
  <si>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</si>
  <si>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</si>
  <si>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</si>
  <si>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</si>
  <si>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</si>
  <si>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</si>
  <si>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</si>
  <si>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</si>
  <si>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</si>
  <si>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</si>
  <si>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</si>
  <si>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</si>
  <si>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</si>
  <si>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</si>
  <si>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</si>
  <si>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</si>
  <si>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</si>
  <si>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</si>
  <si>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</si>
  <si>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</si>
  <si>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</si>
  <si>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</si>
  <si>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</si>
  <si>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Myles</t>
  </si>
  <si>
    <t>Demps</t>
  </si>
  <si>
    <t>Woodbury</t>
  </si>
  <si>
    <t>Dee</t>
  </si>
  <si>
    <t>Barnes</t>
  </si>
  <si>
    <t>?</t>
  </si>
  <si>
    <t>McClanahan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</si>
</sst>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B1" workbookViewId="0">
      <selection activeCell="G36" sqref="G3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Clarke</v>
      </c>
    </row>
    <row r="2" spans="2:12" x14ac:dyDescent="0.2">
      <c r="B2" t="str">
        <f>G1</f>
        <v>Clarke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92</v>
      </c>
      <c r="C3" s="3" t="s">
        <v>15</v>
      </c>
      <c r="D3" s="4">
        <f>I37</f>
        <v>132</v>
      </c>
      <c r="F3" t="str">
        <f>'Stats G1'!A5</f>
        <v>Marquis</v>
      </c>
      <c r="G3" t="str">
        <f>'Stats G1'!B5</f>
        <v>O’Shea</v>
      </c>
      <c r="H3">
        <f>'Stats G1'!C5</f>
        <v>0</v>
      </c>
      <c r="I3">
        <f>'Stats G1'!H5*2+'Stats G1'!N5*3+'Stats G1'!T5</f>
        <v>8</v>
      </c>
      <c r="J3" t="str">
        <f>SUM('Stats G1'!N5+'Stats G1'!H5)&amp;"-"&amp;SUM('Stats G1'!E5+'Stats G1'!K5)</f>
        <v>2-10</v>
      </c>
      <c r="K3" t="str">
        <f>SUM('Stats G1'!N5)&amp;"-"&amp;SUM('Stats G1'!K5)</f>
        <v>1-3</v>
      </c>
      <c r="L3" t="str">
        <f>SUM('Stats G1'!T5)&amp;"-"&amp;SUM('Stats G1'!Q5)</f>
        <v>3-4</v>
      </c>
    </row>
    <row r="4" spans="2:12" x14ac:dyDescent="0.2">
      <c r="F4" t="str">
        <f>'Stats G1'!A6</f>
        <v>Jaren</v>
      </c>
      <c r="G4" t="str">
        <f>'Stats G1'!B6</f>
        <v>McKnight</v>
      </c>
      <c r="H4">
        <f>'Stats G1'!C6</f>
        <v>1</v>
      </c>
      <c r="I4">
        <f>'Stats G1'!H6*2+'Stats G1'!N6*3+'Stats G1'!T6</f>
        <v>0</v>
      </c>
      <c r="J4" t="str">
        <f>SUM('Stats G1'!N6+'Stats G1'!H6)&amp;"-"&amp;SUM('Stats G1'!E6+'Stats G1'!K6)</f>
        <v>0-4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Elijah</v>
      </c>
      <c r="G5" t="str">
        <f>'Stats G1'!B7</f>
        <v>Davy</v>
      </c>
      <c r="H5">
        <f>'Stats G1'!C7</f>
        <v>4</v>
      </c>
      <c r="I5">
        <f>'Stats G1'!H7*2+'Stats G1'!N7*3+'Stats G1'!T7</f>
        <v>0</v>
      </c>
      <c r="J5" t="str">
        <f>SUM('Stats G1'!N7+'Stats G1'!H7)&amp;"-"&amp;SUM('Stats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Jaxon</v>
      </c>
      <c r="G6" t="str">
        <f>'Stats G1'!B8</f>
        <v>Brenchley</v>
      </c>
      <c r="H6">
        <f>'Stats G1'!C8</f>
        <v>5</v>
      </c>
      <c r="I6">
        <f>'Stats G1'!H8*2+'Stats G1'!N8*3+'Stats G1'!T8</f>
        <v>38</v>
      </c>
      <c r="J6" t="str">
        <f>SUM('Stats G1'!N8+'Stats G1'!H8)&amp;"-"&amp;SUM('Stats G1'!E8+'Stats G1'!K8)</f>
        <v>16-29</v>
      </c>
      <c r="K6" t="str">
        <f>SUM('Stats G1'!N8)&amp;"-"&amp;SUM('Stats G1'!K8)</f>
        <v>2-9</v>
      </c>
      <c r="L6" t="str">
        <f>SUM('Stats G1'!T8)&amp;"-"&amp;SUM('Stats G1'!Q8)</f>
        <v>4-4</v>
      </c>
    </row>
    <row r="7" spans="2:12" x14ac:dyDescent="0.2">
      <c r="F7" t="str">
        <f>'Stats G1'!A9</f>
        <v xml:space="preserve">Jay </v>
      </c>
      <c r="G7" t="str">
        <f>'Stats G1'!B9</f>
        <v>Payne</v>
      </c>
      <c r="H7">
        <f>'Stats G1'!C9</f>
        <v>10</v>
      </c>
      <c r="I7">
        <f>'Stats G1'!H9*2+'Stats G1'!N9*3+'Stats G1'!T9</f>
        <v>12</v>
      </c>
      <c r="J7" t="str">
        <f>SUM('Stats G1'!N9+'Stats G1'!H9)&amp;"-"&amp;SUM('Stats G1'!E9+'Stats G1'!K9)</f>
        <v>5-12</v>
      </c>
      <c r="K7" t="str">
        <f>SUM('Stats G1'!N9)&amp;"-"&amp;SUM('Stats G1'!K9)</f>
        <v>2-7</v>
      </c>
      <c r="L7" t="str">
        <f>SUM('Stats G1'!T9)&amp;"-"&amp;SUM('Stats G1'!Q9)</f>
        <v>0-0</v>
      </c>
    </row>
    <row r="8" spans="2:12" x14ac:dyDescent="0.2">
      <c r="F8" t="str">
        <f>'Stats G1'!A10</f>
        <v>Jaden</v>
      </c>
      <c r="G8" t="str">
        <f>'Stats G1'!B10</f>
        <v>Vaughn</v>
      </c>
      <c r="H8">
        <f>'Stats G1'!C10</f>
        <v>11</v>
      </c>
      <c r="I8">
        <f>'Stats G1'!H10*2+'Stats G1'!N10*3+'Stats G1'!T10</f>
        <v>26</v>
      </c>
      <c r="J8" t="str">
        <f>SUM('Stats G1'!N10+'Stats G1'!H10)&amp;"-"&amp;SUM('Stats G1'!E10+'Stats G1'!K10)</f>
        <v>11-24</v>
      </c>
      <c r="K8" t="str">
        <f>SUM('Stats G1'!N10)&amp;"-"&amp;SUM('Stats G1'!K10)</f>
        <v>2-7</v>
      </c>
      <c r="L8" t="str">
        <f>SUM('Stats G1'!T10)&amp;"-"&amp;SUM('Stats G1'!Q10)</f>
        <v>2-2</v>
      </c>
    </row>
    <row r="9" spans="2:12" x14ac:dyDescent="0.2">
      <c r="F9" t="str">
        <f>'Stats G1'!A11</f>
        <v>Dason</v>
      </c>
      <c r="G9" t="str">
        <f>'Stats G1'!B11</f>
        <v>Youngblood</v>
      </c>
      <c r="H9">
        <f>'Stats G1'!C11</f>
        <v>14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Hunter</v>
      </c>
      <c r="G10" t="str">
        <f>'Stats G1'!B12</f>
        <v>Clarke</v>
      </c>
      <c r="H10">
        <f>'Stats G1'!C12</f>
        <v>15</v>
      </c>
      <c r="I10">
        <f>'Stats G1'!H12*2+'Stats G1'!N12*3+'Stats G1'!T12</f>
        <v>0</v>
      </c>
      <c r="J10" t="str">
        <f>SUM('Stats G1'!N12+'Stats G1'!H12)&amp;"-"&amp;SUM('Stats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Trevin</v>
      </c>
      <c r="G11" t="str">
        <f>'Stats G1'!B13</f>
        <v>Knell</v>
      </c>
      <c r="H11">
        <f>'Stats G1'!C13</f>
        <v>21</v>
      </c>
      <c r="I11">
        <f>'Stats G1'!H13*2+'Stats G1'!N13*3+'Stats G1'!T13</f>
        <v>0</v>
      </c>
      <c r="J11" t="str">
        <f>SUM('Stats G1'!N13+'Stats G1'!H13)&amp;"-"&amp;SUM('Stats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Hank</v>
      </c>
      <c r="G12" t="str">
        <f>'Stats G1'!B14</f>
        <v>Bushell</v>
      </c>
      <c r="H12">
        <f>'Stats G1'!C14</f>
        <v>23</v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Keon</v>
      </c>
      <c r="G13" t="str">
        <f>'Stats G1'!B15</f>
        <v>Burgout</v>
      </c>
      <c r="H13">
        <f>'Stats G1'!C15</f>
        <v>24</v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Kaleb</v>
      </c>
      <c r="G14" t="str">
        <f>'Stats G1'!B16</f>
        <v>Wilborn</v>
      </c>
      <c r="H14">
        <f>'Stats G1'!C16</f>
        <v>25</v>
      </c>
      <c r="I14">
        <f>'Stats G1'!H16*2+'Stats G1'!N16*3+'Stats G1'!T16</f>
        <v>6</v>
      </c>
      <c r="J14" t="str">
        <f>SUM('Stats G1'!N16+'Stats G1'!H16)&amp;"-"&amp;SUM('Stats G1'!E16+'Stats G1'!K16)</f>
        <v>3-7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Riley</v>
      </c>
      <c r="G15" t="str">
        <f>'Stats G1'!B17</f>
        <v>Demps</v>
      </c>
      <c r="H15">
        <f>'Stats G1'!C17</f>
        <v>30</v>
      </c>
      <c r="I15">
        <f>'Stats G1'!H17*2+'Stats G1'!N17*3+'Stats G1'!T17</f>
        <v>2</v>
      </c>
      <c r="J15" t="str">
        <f>SUM('Stats G1'!N17+'Stats G1'!H17)&amp;"-"&amp;SUM('Stats G1'!E17+'Stats G1'!K17)</f>
        <v>1-11</v>
      </c>
      <c r="K15" t="str">
        <f>SUM('Stats G1'!N17)&amp;"-"&amp;SUM('Stats G1'!K17)</f>
        <v>0-3</v>
      </c>
      <c r="L15" t="str">
        <f>SUM('Stats G1'!T17)&amp;"-"&amp;SUM('Stats G1'!Q17)</f>
        <v>0-0</v>
      </c>
    </row>
    <row r="16" spans="2:12" x14ac:dyDescent="0.2">
      <c r="F16" t="s">
        <v>280</v>
      </c>
      <c r="G16" t="s">
        <v>280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92</v>
      </c>
      <c r="J18" t="str">
        <f>SUM('Stats G1'!N20+'Stats G1'!H20)&amp;"-"&amp;SUM('Stats G1'!E20+'Stats G1'!K20)</f>
        <v>38-97</v>
      </c>
      <c r="K18" t="str">
        <f>SUM('Stats G1'!N20)&amp;"-"&amp;SUM('Stats G1'!K20)</f>
        <v>7-29</v>
      </c>
      <c r="L18" t="str">
        <f>SUM('Stats G1'!T20)&amp;"-"&amp;SUM('Stats G1'!Q20)</f>
        <v>9-10</v>
      </c>
    </row>
    <row r="20" spans="6:12" x14ac:dyDescent="0.2">
      <c r="F20" t="s">
        <v>13</v>
      </c>
      <c r="G20" t="str">
        <f>'Stats G1'!B21</f>
        <v>Joyce</v>
      </c>
    </row>
    <row r="21" spans="6:12" x14ac:dyDescent="0.2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G1'!H23*2+'Stats G1'!N23*3+'Stats G1'!T23</f>
        <v>0</v>
      </c>
      <c r="J22" t="str">
        <f>SUM('Stats G1'!N23+'Stats G1'!H23)&amp;"-"&amp;SUM('Stats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</row>
    <row r="23" spans="6:12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G1'!H24*2+'Stats G1'!N24*3+'Stats G1'!T24</f>
        <v>0</v>
      </c>
      <c r="J23" t="str">
        <f>SUM('Stats G1'!N24+'Stats G1'!H24)&amp;"-"&amp;SUM('Stats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</row>
    <row r="24" spans="6:12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G1'!H25*2+'Stats G1'!N25*3+'Stats G1'!T25</f>
        <v>19</v>
      </c>
      <c r="J24" t="str">
        <f>SUM('Stats G1'!N25+'Stats G1'!H25)&amp;"-"&amp;SUM('Stats G1'!E25+'Stats G1'!K25)</f>
        <v>7-13</v>
      </c>
      <c r="K24" t="str">
        <f>SUM('Stats G1'!N25)&amp;"-"&amp;SUM('Stats G1'!K25)</f>
        <v>0-2</v>
      </c>
      <c r="L24" t="str">
        <f>SUM('Stats G1'!T25)&amp;"-"&amp;SUM('Stats G1'!Q25)</f>
        <v>5-6</v>
      </c>
    </row>
    <row r="25" spans="6:12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G1'!H26*2+'Stats G1'!N26*3+'Stats G1'!T26</f>
        <v>0</v>
      </c>
      <c r="J25" t="str">
        <f>SUM('Stats G1'!N26+'Stats G1'!H26)&amp;"-"&amp;SUM('Stats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</row>
    <row r="26" spans="6:12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G1'!H27*2+'Stats G1'!N27*3+'Stats G1'!T27</f>
        <v>0</v>
      </c>
      <c r="J26" t="str">
        <f>SUM('Stats G1'!N27+'Stats G1'!H27)&amp;"-"&amp;SUM('Stats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 xml:space="preserve">Jael </v>
      </c>
      <c r="G28" t="str">
        <f>'Stats G1'!B29</f>
        <v>Vaughn</v>
      </c>
      <c r="H28">
        <f>'Stats G1'!C29</f>
        <v>12</v>
      </c>
      <c r="I28">
        <f>'Stats G1'!H29*2+'Stats G1'!N29*3+'Stats G1'!T29</f>
        <v>17</v>
      </c>
      <c r="J28" t="str">
        <f>SUM('Stats G1'!N29+'Stats G1'!H29)&amp;"-"&amp;SUM('Stats G1'!E29+'Stats G1'!K29)</f>
        <v>8-11</v>
      </c>
      <c r="K28" t="str">
        <f>SUM('Stats G1'!N29)&amp;"-"&amp;SUM('Stats G1'!K29)</f>
        <v>0-0</v>
      </c>
      <c r="L28" t="str">
        <f>SUM('Stats G1'!T29)&amp;"-"&amp;SUM('Stats G1'!Q29)</f>
        <v>1-2</v>
      </c>
    </row>
    <row r="29" spans="6:12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G1'!H30*2+'Stats G1'!N30*3+'Stats G1'!T30</f>
        <v>0</v>
      </c>
      <c r="J29" t="str">
        <f>SUM('Stats G1'!N30+'Stats G1'!H30)&amp;"-"&amp;SUM('Stats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 xml:space="preserve">Yoeli </v>
      </c>
      <c r="G30" t="str">
        <f>'Stats G1'!B31</f>
        <v>Childs</v>
      </c>
      <c r="H30">
        <f>'Stats G1'!C31</f>
        <v>22</v>
      </c>
      <c r="I30">
        <f>'Stats G1'!H31*2+'Stats G1'!N31*3+'Stats G1'!T31</f>
        <v>0</v>
      </c>
      <c r="J30" t="str">
        <f>SUM('Stats G1'!N31+'Stats G1'!H31)&amp;"-"&amp;SUM('Stats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</row>
    <row r="31" spans="6:12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G1'!H33*2+'Stats G1'!N33*3+'Stats G1'!T33</f>
        <v>42</v>
      </c>
      <c r="J32" t="str">
        <f>SUM('Stats G1'!N33+'Stats G1'!H33)&amp;"-"&amp;SUM('Stats G1'!E33+'Stats G1'!K33)</f>
        <v>15-20</v>
      </c>
      <c r="K32" t="str">
        <f>SUM('Stats G1'!N33)&amp;"-"&amp;SUM('Stats G1'!K33)</f>
        <v>9-13</v>
      </c>
      <c r="L32" t="str">
        <f>SUM('Stats G1'!T33)&amp;"-"&amp;SUM('Stats G1'!Q33)</f>
        <v>3-4</v>
      </c>
    </row>
    <row r="33" spans="6:12" x14ac:dyDescent="0.2">
      <c r="F33" t="str">
        <f>'Stats G1'!A34</f>
        <v>Myles</v>
      </c>
      <c r="G33" t="str">
        <f>'Stats G1'!B34</f>
        <v>Jefferson</v>
      </c>
      <c r="H33">
        <f>'Stats G1'!C34</f>
        <v>11</v>
      </c>
      <c r="I33">
        <f>'Stats G1'!H34*2+'Stats G1'!N34*3+'Stats G1'!T34</f>
        <v>0</v>
      </c>
      <c r="J33" t="str">
        <f>SUM('Stats G1'!N34+'Stats G1'!H34)&amp;"-"&amp;SUM('Stats G1'!E34+'Stats G1'!K34)</f>
        <v>0-5</v>
      </c>
      <c r="K33" t="str">
        <f>SUM('Stats G1'!N34)&amp;"-"&amp;SUM('Stats G1'!K34)</f>
        <v>0-2</v>
      </c>
      <c r="L33" t="str">
        <f>SUM('Stats G1'!T34)&amp;"-"&amp;SUM('Stats G1'!Q34)</f>
        <v>0-2</v>
      </c>
    </row>
    <row r="34" spans="6:12" x14ac:dyDescent="0.2">
      <c r="F34" t="str">
        <f>'Stats G1'!A35</f>
        <v>Trey</v>
      </c>
      <c r="G34" t="str">
        <f>'Stats G1'!B35</f>
        <v>Woodbury</v>
      </c>
      <c r="H34">
        <f>'Stats G1'!C35</f>
        <v>4</v>
      </c>
      <c r="I34">
        <f>'Stats G1'!H35*2+'Stats G1'!N35*3+'Stats G1'!T35</f>
        <v>17</v>
      </c>
      <c r="J34" t="str">
        <f>SUM('Stats G1'!N35+'Stats G1'!H35)&amp;"-"&amp;SUM('Stats G1'!E35+'Stats G1'!K35)</f>
        <v>7-13</v>
      </c>
      <c r="K34" t="str">
        <f>SUM('Stats G1'!N35)&amp;"-"&amp;SUM('Stats G1'!K35)</f>
        <v>3-6</v>
      </c>
      <c r="L34" t="str">
        <f>SUM('Stats G1'!T35)&amp;"-"&amp;SUM('Stats G1'!Q35)</f>
        <v>0-3</v>
      </c>
    </row>
    <row r="35" spans="6:12" x14ac:dyDescent="0.2">
      <c r="F35" t="str">
        <f>'Stats G1'!A36</f>
        <v>Dee</v>
      </c>
      <c r="G35" t="str">
        <f>'Stats G1'!B36</f>
        <v>Barnes</v>
      </c>
      <c r="H35">
        <f>'Stats G1'!C36</f>
        <v>23</v>
      </c>
      <c r="I35">
        <f>'Stats G1'!H36*2+'Stats G1'!N36*3+'Stats G1'!T36</f>
        <v>24</v>
      </c>
      <c r="J35" t="str">
        <f>SUM('Stats G1'!N36+'Stats G1'!H36)&amp;"-"&amp;SUM('Stats G1'!E36+'Stats G1'!K36)</f>
        <v>8-13</v>
      </c>
      <c r="K35" t="str">
        <f>SUM('Stats G1'!N36)&amp;"-"&amp;SUM('Stats G1'!K36)</f>
        <v>2-6</v>
      </c>
      <c r="L35" t="str">
        <f>SUM('Stats G1'!T36)&amp;"-"&amp;SUM('Stats G1'!Q36)</f>
        <v>6-8</v>
      </c>
    </row>
    <row r="36" spans="6:12" x14ac:dyDescent="0.2">
      <c r="F36" t="str">
        <f>'Stats G1'!A37</f>
        <v>Jaden</v>
      </c>
      <c r="G36" t="str">
        <f>'Stats G1'!B37</f>
        <v>McClanahan</v>
      </c>
      <c r="H36">
        <f>'Stats G1'!C37</f>
        <v>55</v>
      </c>
      <c r="I36">
        <f>'Stats G1'!H37*2+'Stats G1'!N37*3+'Stats G1'!T37</f>
        <v>13</v>
      </c>
      <c r="J36" t="str">
        <f>SUM('Stats G1'!N37+'Stats G1'!H37)&amp;"-"&amp;SUM('Stats G1'!E37+'Stats G1'!K37)</f>
        <v>5-8</v>
      </c>
      <c r="K36" t="str">
        <f>SUM('Stats G1'!N37)&amp;"-"&amp;SUM('Stats G1'!K37)</f>
        <v>3-3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132</v>
      </c>
      <c r="J37" t="str">
        <f>SUM('Stats G1'!N38+'Stats G1'!H38)&amp;"-"&amp;SUM('Stats G1'!E38+'Stats G1'!K38)</f>
        <v>50-83</v>
      </c>
      <c r="K37" t="str">
        <f>SUM('Stats G1'!N38)&amp;"-"&amp;SUM('Stats G1'!K38)</f>
        <v>17-32</v>
      </c>
      <c r="L37" t="str">
        <f>SUM('Stats G1'!T38)&amp;"-"&amp;SUM('Stats G1'!Q38)</f>
        <v>15-25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3" workbookViewId="0">
      <selection activeCell="B38" sqref="B38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23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O’Shea</v>
      </c>
      <c r="C5" s="5">
        <f>_xlfn.IFNA(VLOOKUP($B$3&amp;ROWS($C$5:C5),Rosters!$B$2:$E$162,4,0),"")</f>
        <v>0</v>
      </c>
      <c r="D5" s="5"/>
      <c r="E5" s="5">
        <v>7</v>
      </c>
      <c r="F5" s="5"/>
      <c r="G5" s="5"/>
      <c r="H5" s="5">
        <v>1</v>
      </c>
      <c r="I5" s="5"/>
      <c r="J5" s="5"/>
      <c r="K5" s="5">
        <v>3</v>
      </c>
      <c r="L5" s="5"/>
      <c r="M5" s="5"/>
      <c r="N5" s="5">
        <v>1</v>
      </c>
      <c r="O5" s="5"/>
      <c r="P5" s="5"/>
      <c r="Q5" s="5">
        <v>4</v>
      </c>
      <c r="R5" s="5"/>
      <c r="S5" s="5"/>
      <c r="T5" s="5">
        <v>3</v>
      </c>
      <c r="U5" s="5"/>
    </row>
    <row r="6" spans="1:21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4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20</v>
      </c>
      <c r="H8" s="6">
        <v>14</v>
      </c>
      <c r="K8" s="6">
        <v>9</v>
      </c>
      <c r="N8" s="6">
        <v>2</v>
      </c>
      <c r="Q8" s="6">
        <v>4</v>
      </c>
      <c r="T8" s="6">
        <v>4</v>
      </c>
    </row>
    <row r="9" spans="1:21" s="6" customFormat="1" x14ac:dyDescent="0.2">
      <c r="A9" s="5" t="str">
        <f>_xlfn.IFNA(VLOOKUP($B$3&amp;ROWS($A$5:A9),Rosters!$B$2:$C$162,2,0),"?")</f>
        <v xml:space="preserve">Jay 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5</v>
      </c>
      <c r="F9" s="5"/>
      <c r="G9" s="5"/>
      <c r="H9" s="5">
        <v>3</v>
      </c>
      <c r="I9" s="5"/>
      <c r="J9" s="5"/>
      <c r="K9" s="5">
        <v>7</v>
      </c>
      <c r="L9" s="5"/>
      <c r="M9" s="5"/>
      <c r="N9" s="5">
        <v>2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17</v>
      </c>
      <c r="H10" s="6">
        <v>9</v>
      </c>
      <c r="K10" s="6">
        <v>7</v>
      </c>
      <c r="N10" s="6">
        <v>2</v>
      </c>
      <c r="Q10" s="6">
        <v>2</v>
      </c>
      <c r="T10" s="6">
        <v>2</v>
      </c>
    </row>
    <row r="11" spans="1:21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7</v>
      </c>
      <c r="H16" s="6">
        <v>3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227</v>
      </c>
      <c r="B17" s="5" t="s">
        <v>276</v>
      </c>
      <c r="C17" s="5">
        <v>30</v>
      </c>
      <c r="D17" s="5"/>
      <c r="E17" s="5">
        <v>8</v>
      </c>
      <c r="F17" s="5"/>
      <c r="G17" s="5"/>
      <c r="H17" s="5">
        <v>1</v>
      </c>
      <c r="I17" s="5"/>
      <c r="J17" s="5"/>
      <c r="K17" s="5">
        <v>3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68</v>
      </c>
      <c r="H20">
        <f>SUM(H5:H19)</f>
        <v>31</v>
      </c>
      <c r="K20">
        <f>SUM(K5:K19)</f>
        <v>29</v>
      </c>
      <c r="N20">
        <f>SUM(N5:N19)</f>
        <v>7</v>
      </c>
      <c r="Q20">
        <f>SUM(Q5:Q19)</f>
        <v>10</v>
      </c>
      <c r="T20">
        <f>SUM(T5:T19)</f>
        <v>9</v>
      </c>
    </row>
    <row r="21" spans="1:21" x14ac:dyDescent="0.2">
      <c r="A21" s="2" t="s">
        <v>18</v>
      </c>
      <c r="B21" s="1" t="s">
        <v>30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Neema</v>
      </c>
      <c r="B23" s="5" t="str">
        <f>_xlfn.IFNA(VLOOKUP($B$21&amp;ROWS($B$23:B23),Rosters!$B$2:$D$162,3,0),"?")</f>
        <v>Namdar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11</v>
      </c>
      <c r="F25" s="5"/>
      <c r="G25" s="5"/>
      <c r="H25" s="5">
        <v>7</v>
      </c>
      <c r="I25" s="5"/>
      <c r="J25" s="5"/>
      <c r="K25" s="5">
        <v>2</v>
      </c>
      <c r="L25" s="5"/>
      <c r="M25" s="5"/>
      <c r="N25" s="5">
        <v>0</v>
      </c>
      <c r="O25" s="5"/>
      <c r="P25" s="5"/>
      <c r="Q25" s="5">
        <v>6</v>
      </c>
      <c r="R25" s="5"/>
      <c r="S25" s="5"/>
      <c r="T25" s="5">
        <v>5</v>
      </c>
      <c r="U25" s="5"/>
    </row>
    <row r="26" spans="1:21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 xml:space="preserve">Jael 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11</v>
      </c>
      <c r="F29" s="5"/>
      <c r="G29" s="5"/>
      <c r="H29" s="5">
        <v>8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2</v>
      </c>
      <c r="R29" s="5"/>
      <c r="S29" s="5"/>
      <c r="T29" s="5">
        <v>1</v>
      </c>
      <c r="U29" s="5"/>
    </row>
    <row r="30" spans="1:21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 xml:space="preserve">Yoeli 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7</v>
      </c>
      <c r="F33" s="5"/>
      <c r="G33" s="5"/>
      <c r="H33" s="5">
        <v>6</v>
      </c>
      <c r="I33" s="5"/>
      <c r="J33" s="5"/>
      <c r="K33" s="5">
        <v>13</v>
      </c>
      <c r="L33" s="5"/>
      <c r="M33" s="5"/>
      <c r="N33" s="5">
        <v>9</v>
      </c>
      <c r="O33" s="5"/>
      <c r="P33" s="5"/>
      <c r="Q33" s="5">
        <v>4</v>
      </c>
      <c r="R33" s="5"/>
      <c r="S33" s="5"/>
      <c r="T33" s="5">
        <v>3</v>
      </c>
      <c r="U33" s="5"/>
    </row>
    <row r="34" spans="1:21" s="6" customFormat="1" x14ac:dyDescent="0.2">
      <c r="A34" s="6" t="s">
        <v>275</v>
      </c>
      <c r="B34" s="6" t="s">
        <v>176</v>
      </c>
      <c r="C34" s="6">
        <v>11</v>
      </c>
      <c r="D34"/>
      <c r="E34" s="6">
        <v>3</v>
      </c>
      <c r="F34"/>
      <c r="G34"/>
      <c r="H34" s="6">
        <v>0</v>
      </c>
      <c r="I34"/>
      <c r="J34"/>
      <c r="K34" s="6">
        <v>2</v>
      </c>
      <c r="L34"/>
      <c r="M34"/>
      <c r="N34" s="6">
        <v>0</v>
      </c>
      <c r="O34"/>
      <c r="P34"/>
      <c r="Q34" s="6">
        <v>2</v>
      </c>
      <c r="R34"/>
      <c r="S34"/>
      <c r="T34" s="6">
        <v>0</v>
      </c>
      <c r="U34"/>
    </row>
    <row r="35" spans="1:21" s="6" customFormat="1" x14ac:dyDescent="0.2">
      <c r="A35" s="5" t="s">
        <v>180</v>
      </c>
      <c r="B35" s="5" t="s">
        <v>277</v>
      </c>
      <c r="C35" s="5">
        <v>4</v>
      </c>
      <c r="D35" s="5"/>
      <c r="E35" s="5">
        <v>7</v>
      </c>
      <c r="F35" s="5"/>
      <c r="G35" s="5"/>
      <c r="H35" s="5">
        <v>4</v>
      </c>
      <c r="I35" s="5"/>
      <c r="J35" s="5"/>
      <c r="K35" s="5">
        <v>6</v>
      </c>
      <c r="L35" s="5"/>
      <c r="M35" s="5"/>
      <c r="N35" s="5">
        <v>3</v>
      </c>
      <c r="O35" s="5"/>
      <c r="P35" s="5"/>
      <c r="Q35" s="5">
        <v>3</v>
      </c>
      <c r="R35" s="5"/>
      <c r="S35" s="5"/>
      <c r="T35" s="5">
        <v>0</v>
      </c>
      <c r="U35" s="5"/>
    </row>
    <row r="36" spans="1:21" s="6" customFormat="1" x14ac:dyDescent="0.2">
      <c r="A36" s="6" t="s">
        <v>278</v>
      </c>
      <c r="B36" s="6" t="s">
        <v>279</v>
      </c>
      <c r="C36" s="6">
        <v>23</v>
      </c>
      <c r="D36"/>
      <c r="E36" s="6">
        <v>7</v>
      </c>
      <c r="F36"/>
      <c r="G36"/>
      <c r="H36" s="6">
        <v>6</v>
      </c>
      <c r="I36"/>
      <c r="J36"/>
      <c r="K36" s="6">
        <v>6</v>
      </c>
      <c r="L36"/>
      <c r="M36"/>
      <c r="N36" s="6">
        <v>2</v>
      </c>
      <c r="O36"/>
      <c r="P36"/>
      <c r="Q36" s="6">
        <v>8</v>
      </c>
      <c r="R36"/>
      <c r="S36"/>
      <c r="T36" s="6">
        <v>6</v>
      </c>
      <c r="U36"/>
    </row>
    <row r="37" spans="1:21" s="6" customFormat="1" x14ac:dyDescent="0.2">
      <c r="A37" s="5" t="s">
        <v>84</v>
      </c>
      <c r="B37" s="5" t="s">
        <v>281</v>
      </c>
      <c r="C37" s="5">
        <v>55</v>
      </c>
      <c r="D37" s="5"/>
      <c r="E37" s="5">
        <v>5</v>
      </c>
      <c r="F37" s="5"/>
      <c r="G37" s="5"/>
      <c r="H37" s="5">
        <v>2</v>
      </c>
      <c r="I37" s="5"/>
      <c r="J37" s="5"/>
      <c r="K37" s="5">
        <v>3</v>
      </c>
      <c r="L37" s="5"/>
      <c r="M37" s="5"/>
      <c r="N37" s="5">
        <v>3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51</v>
      </c>
      <c r="H38">
        <f>SUM(H23:H37)</f>
        <v>33</v>
      </c>
      <c r="K38">
        <f>SUM(K23:K37)</f>
        <v>32</v>
      </c>
      <c r="N38">
        <f>SUM(N23:N37)</f>
        <v>17</v>
      </c>
      <c r="Q38">
        <f>SUM(Q23:Q37)</f>
        <v>25</v>
      </c>
      <c r="T38">
        <f>SUM(T23:T37)</f>
        <v>15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">
      <c r="A118" t="s">
        <v>20</v>
      </c>
      <c r="B118" t="str">
        <f>A118&amp;COUNTIF($A$2:$A118,A118)</f>
        <v>Berger7</v>
      </c>
      <c r="E118">
        <v>21</v>
      </c>
    </row>
    <row r="119" spans="1:5" x14ac:dyDescent="0.2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2021-08-09T02:00:31Z</dcterms:modified>
</cp:coreProperties>
</file>