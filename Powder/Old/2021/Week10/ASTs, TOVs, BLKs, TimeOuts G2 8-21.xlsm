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60EC09EA-0567-0E4E-B29F-4D3DF759E4C8}" xr6:coauthVersionLast="47" xr6:coauthVersionMax="47" xr10:uidLastSave="{00000000-0000-0000-0000-000000000000}"/>
  <bookViews>
    <workbookView xWindow="18800" yWindow="500" windowWidth="10000" windowHeight="166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1" l="1"/>
  <c r="I1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B6" i="1"/>
  <c r="G4" i="2" s="1"/>
  <c r="B33" i="1"/>
  <c r="G32" i="2" s="1"/>
  <c r="H31" i="2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K38" i="1"/>
  <c r="H38" i="1"/>
  <c r="E38" i="1"/>
  <c r="K20" i="1"/>
  <c r="H20" i="1"/>
  <c r="E20" i="1"/>
  <c r="J37" i="2" l="1"/>
  <c r="J18" i="2"/>
  <c r="I18" i="2"/>
  <c r="B3" i="2" s="1"/>
  <c r="C13" i="1"/>
  <c r="H11" i="2" s="1"/>
  <c r="G24" i="2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F24" i="2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C10" i="1"/>
  <c r="A35" i="1"/>
  <c r="F34" i="2" s="1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A12" i="1"/>
  <c r="F10" i="2" s="1"/>
  <c r="H16" i="2"/>
  <c r="G31" i="2"/>
  <c r="A27" i="1"/>
  <c r="F26" i="2" s="1"/>
  <c r="A11" i="1"/>
  <c r="F9" i="2" s="1"/>
  <c r="H15" i="2"/>
  <c r="F31" i="2"/>
  <c r="G15" i="2"/>
  <c r="F15" i="2"/>
  <c r="A9" i="1"/>
  <c r="F7" i="2" s="1"/>
  <c r="B16" i="1"/>
  <c r="G14" i="2" s="1"/>
  <c r="B8" i="1"/>
  <c r="G6" i="2" s="1"/>
  <c r="C7" i="1"/>
  <c r="H5" i="2" s="1"/>
  <c r="B23" i="1"/>
  <c r="G22" i="2" s="1"/>
  <c r="C36" i="1"/>
  <c r="H35" i="2" s="1"/>
  <c r="F33" i="2"/>
  <c r="G30" i="2"/>
  <c r="C28" i="1"/>
  <c r="H27" i="2" s="1"/>
  <c r="A26" i="1"/>
  <c r="F25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B37" i="1"/>
  <c r="G36" i="2" s="1"/>
  <c r="H33" i="2"/>
  <c r="C26" i="1"/>
  <c r="H25" i="2" s="1"/>
  <c r="A10" i="1"/>
  <c r="A16" i="1"/>
  <c r="F14" i="2" s="1"/>
  <c r="A8" i="1"/>
  <c r="F6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F30" i="2"/>
  <c r="B28" i="1"/>
  <c r="G27" i="2" s="1"/>
  <c r="K37" i="2"/>
  <c r="D3" i="2"/>
  <c r="H3" i="2"/>
</calcChain>
</file>

<file path=xl/sharedStrings.xml><?xml version="1.0" encoding="utf-8"?>
<sst xmlns="http://schemas.openxmlformats.org/spreadsheetml/2006/main" count="501" uniqueCount="272">
  <si>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</si>
  <si>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</si>
  <si>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</si>
  <si>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</si>
  <si>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</si>
  <si>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</si>
  <si>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</si>
  <si>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</si>
  <si>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</si>
  <si>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</si>
  <si>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</si>
  <si>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</si>
  <si>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</si>
  <si>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</si>
  <si>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</si>
  <si>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</si>
  <si>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</si>
  <si>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</si>
  <si>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</si>
  <si>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</si>
  <si>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</si>
  <si>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</si>
  <si>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</si>
  <si>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</si>
  <si>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</si>
  <si>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</si>
  <si>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</si>
  <si>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</si>
  <si>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</si>
  <si>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</si>
  <si>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</si>
  <si>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</si>
  <si>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</si>
  <si>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</si>
  <si>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</si>
  <si>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</si>
  <si>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</si>
  <si>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</si>
  <si>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</si>
  <si>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</si>
  <si>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</si>
  <si>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</si>
  <si>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</si>
  <si>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</si>
  <si>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</si>
  <si>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</si>
  <si>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</si>
  <si>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</si>
  <si>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</si>
  <si>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</si>
  <si>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</si>
  <si>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</si>
  <si>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</si>
  <si>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</si>
  <si>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</si>
  <si>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</si>
  <si>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</si>
  <si>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</si>
  <si>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</si>
  <si>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</si>
  <si>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</si>
  <si>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</si>
  <si>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</si>
  <si>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</si>
  <si>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</si>
  <si>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</si>
  <si>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</si>
  <si>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</si>
  <si>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</si>
  <si>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</si>
  <si>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</si>
  <si>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</si>
  <si>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</si>
  <si>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</si>
  <si>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</si>
  <si>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</si>
  <si>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</si>
  <si>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</si>
  <si>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</si>
  <si>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</si>
  <si>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</si>
  <si>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</si>
  <si>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</si>
  <si>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</si>
  <si>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</si>
  <si>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</si>
  <si>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</si>
  <si>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</si>
  <si>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</si>
  <si>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</si>
  <si>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</si>
  <si>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</si>
  <si>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</si>
  <si>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</si>
  <si>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</si>
  <si>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</si>
  <si>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</si>
  <si>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</si>
  <si>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</si>
  <si>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</si>
  <si>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</si>
  <si>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</si>
  <si>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</si>
  <si>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</si>
  <si>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</si>
  <si>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</si>
  <si>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</si>
  <si>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</si>
  <si>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</si>
  <si>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</si>
  <si>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</si>
  <si>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</si>
  <si>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</si>
  <si>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</si>
  <si>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</si>
  <si>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</si>
  <si>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</si>
  <si>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</si>
  <si>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</si>
  <si>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</si>
  <si>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</si>
  <si>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</si>
  <si>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</si>
  <si>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</si>
  <si>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</si>
  <si>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</si>
  <si>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</si>
  <si>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</si>
  <si>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</si>
  <si>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</si>
  <si>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</si>
  <si>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</si>
  <si>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</si>
  <si>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</si>
  <si>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</si>
  <si>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</si>
  <si>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</si>
  <si>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</si>
  <si>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</si>
  <si>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</si>
  <si>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</si>
  <si>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</si>
  <si>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</si>
  <si>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</si>
  <si>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</si>
  <si>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</si>
  <si>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</si>
  <si>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</si>
  <si>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</si>
  <si>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</si>
  <si>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</si>
  <si>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</si>
  <si>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</si>
  <si>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</si>
  <si>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</si>
  <si>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</si>
  <si>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</si>
  <si>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</si>
  <si>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</si>
  <si>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</si>
  <si>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</si>
  <si>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</si>
  <si>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</si>
  <si>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</si>
  <si>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</si>
  <si>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</si>
  <si>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</si>
  <si>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</si>
  <si>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</si>
  <si>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</si>
  <si>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</si>
  <si>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</si>
  <si>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</si>
  <si>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</si>
  <si>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</si>
  <si>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</si>
  <si>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</si>
  <si>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</si>
  <si>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</si>
  <si>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</si>
  <si>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</si>
  <si>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</si>
  <si>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</si>
  <si>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</si>
  <si>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</si>
  <si>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</si>
  <si>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</si>
  <si>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</si>
  <si>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</si>
  <si>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</si>
  <si>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</si>
  <si>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</si>
  <si>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</si>
  <si>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</si>
  <si>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</si>
  <si>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</si>
  <si>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</si>
  <si>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</si>
  <si>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</si>
  <si>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</si>
  <si>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</si>
  <si>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</si>
  <si>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</si>
  <si>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</si>
  <si>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</si>
  <si>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</si>
  <si>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</si>
  <si>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</si>
  <si>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</si>
  <si>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</si>
  <si>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</si>
  <si>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</si>
  <si>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</si>
  <si>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</si>
  <si>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</si>
  <si>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</si>
  <si>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</si>
  <si>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</si>
  <si>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</si>
  <si>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</si>
  <si>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</si>
  <si>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</si>
  <si>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</si>
  <si>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</si>
  <si>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</si>
  <si>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</si>
  <si>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</si>
  <si>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</si>
  <si>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</si>
  <si>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</si>
  <si>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</si>
  <si>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</si>
  <si>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</si>
  <si>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</si>
  <si>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</si>
  <si>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</si>
  <si>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</si>
  <si>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</si>
  <si>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</si>
  <si>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</si>
  <si>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</si>
  <si>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</si>
  <si>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</si>
  <si>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</si>
  <si>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</si>
  <si>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</si>
  <si>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</si>
  <si>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</si>
  <si>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</si>
  <si>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</si>
  <si>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</si>
  <si>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</si>
  <si>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</si>
  <si>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</si>
  <si>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</si>
  <si>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</si>
  <si>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</si>
  <si>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</si>
  <si>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</si>
  <si>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</si>
  <si>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</si>
  <si>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</si>
  <si>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</si>
  <si>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</si>
  <si>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</si>
  <si>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</si>
  <si>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</si>
  <si>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Eli</t>
  </si>
  <si>
    <t>Nelson</t>
  </si>
  <si>
    <t>Ballstaedt</t>
  </si>
  <si>
    <t>Jenkins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</si>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</sst>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topLeftCell="D1" workbookViewId="0">
      <selection activeCell="I8" sqref="I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245</v>
      </c>
      <c r="F1" t="s">
        <v>3</v>
      </c>
      <c r="G1" t="str">
        <f>'Stats G2'!B3</f>
        <v>Drisdom</v>
      </c>
    </row>
    <row r="2" spans="2:11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246</v>
      </c>
      <c r="J2" t="s">
        <v>243</v>
      </c>
      <c r="K2" t="s">
        <v>244</v>
      </c>
    </row>
    <row r="3" spans="2:11" x14ac:dyDescent="0.2">
      <c r="B3">
        <f>I18</f>
        <v>18</v>
      </c>
      <c r="C3" s="3" t="s">
        <v>6</v>
      </c>
      <c r="D3" s="4">
        <f>J37</f>
        <v>12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G2'!E5</f>
        <v>2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G2'!E6</f>
        <v>1</v>
      </c>
      <c r="J4">
        <f>'Stats G2'!H6</f>
        <v>2</v>
      </c>
      <c r="K4">
        <f>'Stats G2'!K6</f>
        <v>3</v>
      </c>
    </row>
    <row r="5" spans="2:11" x14ac:dyDescent="0.2">
      <c r="F5" t="str">
        <f>'Stats G2'!A7</f>
        <v>Dwayne</v>
      </c>
      <c r="G5" t="str">
        <f>'Stats G2'!B7</f>
        <v>Brown</v>
      </c>
      <c r="H5">
        <f>'Stats G2'!C7</f>
        <v>2</v>
      </c>
      <c r="I5">
        <f>'Stats G2'!E7</f>
        <v>3</v>
      </c>
      <c r="J5">
        <f>'Stats G2'!H7</f>
        <v>2</v>
      </c>
      <c r="K5">
        <f>'Stats G2'!K7</f>
        <v>0</v>
      </c>
    </row>
    <row r="6" spans="2:11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G2'!E8</f>
        <v>4</v>
      </c>
      <c r="J6">
        <f>'Stats G2'!H8</f>
        <v>1</v>
      </c>
      <c r="K6">
        <f>'Stats G2'!K8</f>
        <v>0</v>
      </c>
    </row>
    <row r="7" spans="2:11" x14ac:dyDescent="0.2">
      <c r="F7" t="str">
        <f>'Stats G2'!A9</f>
        <v>Brekkott</v>
      </c>
      <c r="G7" t="str">
        <f>'Stats G2'!B9</f>
        <v>Chapman</v>
      </c>
      <c r="H7">
        <f>'Stats G2'!C9</f>
        <v>6</v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">
        <v>176</v>
      </c>
      <c r="G8" t="s">
        <v>177</v>
      </c>
      <c r="H8">
        <v>0</v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Isaiah</v>
      </c>
      <c r="G9" t="str">
        <f>'Stats G2'!B11</f>
        <v>Wright</v>
      </c>
      <c r="H9">
        <f>'Stats G2'!C11</f>
        <v>8</v>
      </c>
      <c r="I9">
        <f>'Stats G2'!E11</f>
        <v>0</v>
      </c>
      <c r="J9">
        <f>'Stats G2'!H11</f>
        <v>0</v>
      </c>
      <c r="K9">
        <f>'Stats G2'!K11</f>
        <v>0</v>
      </c>
    </row>
    <row r="10" spans="2:11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G2'!E14</f>
        <v>0</v>
      </c>
      <c r="J12">
        <f>'Stats G2'!H14</f>
        <v>1</v>
      </c>
      <c r="K12">
        <f>'Stats G2'!K14</f>
        <v>0</v>
      </c>
    </row>
    <row r="13" spans="2:11" x14ac:dyDescent="0.2">
      <c r="F13" t="s">
        <v>96</v>
      </c>
      <c r="G13" t="s">
        <v>270</v>
      </c>
      <c r="H13">
        <v>3</v>
      </c>
      <c r="I13">
        <f>'Stats G2'!E15</f>
        <v>1</v>
      </c>
      <c r="J13">
        <f>'Stats G2'!H15</f>
        <v>0</v>
      </c>
      <c r="K13">
        <f>'Stats G2'!K15</f>
        <v>0</v>
      </c>
    </row>
    <row r="14" spans="2:11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G2'!E16</f>
        <v>2</v>
      </c>
      <c r="J14">
        <f>'Stats G2'!H16</f>
        <v>1</v>
      </c>
      <c r="K14">
        <f>'Stats G2'!K16</f>
        <v>0</v>
      </c>
    </row>
    <row r="15" spans="2:11" x14ac:dyDescent="0.2">
      <c r="F15" t="str">
        <f>'Stats G2'!A17</f>
        <v>Ibe</v>
      </c>
      <c r="G15" t="str">
        <f>'Stats G2'!B17</f>
        <v>Gerlach</v>
      </c>
      <c r="H15">
        <f>'Stats G2'!C17</f>
        <v>20</v>
      </c>
      <c r="I15">
        <f>'Stats G2'!E17</f>
        <v>3</v>
      </c>
      <c r="J15">
        <f>'Stats G2'!H17</f>
        <v>0</v>
      </c>
      <c r="K15">
        <f>'Stats G2'!K17</f>
        <v>0</v>
      </c>
    </row>
    <row r="16" spans="2:11" x14ac:dyDescent="0.2">
      <c r="F16" t="str">
        <f>'Stats G2'!A18</f>
        <v>Roman</v>
      </c>
      <c r="G16" t="str">
        <f>'Stats G2'!B18</f>
        <v>McKnight</v>
      </c>
      <c r="H16">
        <f>'Stats G2'!C18</f>
        <v>0</v>
      </c>
      <c r="I16">
        <f>'Stats G2'!E18</f>
        <v>0</v>
      </c>
      <c r="J16">
        <f>'Stats G2'!H18</f>
        <v>1</v>
      </c>
      <c r="K16">
        <f>'Stats G2'!K18</f>
        <v>0</v>
      </c>
    </row>
    <row r="17" spans="6:11" x14ac:dyDescent="0.2">
      <c r="F17" t="str">
        <f>'Stats G2'!A19</f>
        <v>Elijah</v>
      </c>
      <c r="G17" t="str">
        <f>'Stats G2'!B19</f>
        <v>Davy</v>
      </c>
      <c r="H17">
        <f>'Stats G2'!C19</f>
        <v>4</v>
      </c>
      <c r="I17">
        <f>'Stats G2'!E19</f>
        <v>2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>SUM(I3:I17)</f>
        <v>18</v>
      </c>
      <c r="J18">
        <f>SUM(J3:J17)</f>
        <v>8</v>
      </c>
      <c r="K18">
        <f>SUM(K3:K17)</f>
        <v>3</v>
      </c>
    </row>
    <row r="20" spans="6:11" x14ac:dyDescent="0.2">
      <c r="F20" t="s">
        <v>4</v>
      </c>
      <c r="G20" t="str">
        <f>'Stats G2'!B21</f>
        <v>Berger</v>
      </c>
    </row>
    <row r="21" spans="6:11" x14ac:dyDescent="0.2">
      <c r="F21" t="s">
        <v>1</v>
      </c>
      <c r="G21" t="s">
        <v>2</v>
      </c>
      <c r="H21" t="s">
        <v>0</v>
      </c>
      <c r="I21" t="s">
        <v>246</v>
      </c>
      <c r="J21" t="s">
        <v>243</v>
      </c>
      <c r="K21" t="s">
        <v>244</v>
      </c>
    </row>
    <row r="22" spans="6:11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G2'!E23</f>
        <v>0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>Sam</v>
      </c>
      <c r="G23" t="str">
        <f>'Stats G2'!B24</f>
        <v>Merril</v>
      </c>
      <c r="H23">
        <f>'Stats G2'!C24</f>
        <v>5</v>
      </c>
      <c r="I23">
        <f>'Stats G2'!E24</f>
        <v>0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Eli</v>
      </c>
      <c r="G24" t="str">
        <f>'Stats G2'!B25</f>
        <v>Ballstaedt</v>
      </c>
      <c r="H24">
        <f>'Stats G2'!C25</f>
        <v>7</v>
      </c>
      <c r="I24">
        <f>'Stats G2'!E25</f>
        <v>3</v>
      </c>
      <c r="J24">
        <f>'Stats G2'!H25</f>
        <v>1</v>
      </c>
      <c r="K24">
        <f>'Stats G2'!K25</f>
        <v>0</v>
      </c>
    </row>
    <row r="25" spans="6:11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G2'!E26</f>
        <v>3</v>
      </c>
      <c r="J25">
        <f>'Stats G2'!H26</f>
        <v>3</v>
      </c>
      <c r="K25">
        <f>'Stats G2'!K26</f>
        <v>0</v>
      </c>
    </row>
    <row r="26" spans="6:11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G2'!E27</f>
        <v>4</v>
      </c>
      <c r="J26">
        <f>'Stats G2'!H27</f>
        <v>3</v>
      </c>
      <c r="K26">
        <f>'Stats G2'!K27</f>
        <v>0</v>
      </c>
    </row>
    <row r="27" spans="6:11" x14ac:dyDescent="0.2">
      <c r="F27" t="str">
        <f>'Stats G2'!A28</f>
        <v>Jalen</v>
      </c>
      <c r="G27" t="str">
        <f>'Stats G2'!B28</f>
        <v>Moore</v>
      </c>
      <c r="H27">
        <f>'Stats G2'!C28</f>
        <v>21</v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G2'!E29</f>
        <v>2</v>
      </c>
      <c r="J28">
        <f>'Stats G2'!H29</f>
        <v>0</v>
      </c>
      <c r="K28">
        <f>'Stats G2'!K29</f>
        <v>0</v>
      </c>
    </row>
    <row r="29" spans="6:11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G2'!E30</f>
        <v>11</v>
      </c>
      <c r="J29">
        <f>'Stats G2'!H30</f>
        <v>4</v>
      </c>
      <c r="K29">
        <f>'Stats G2'!K30</f>
        <v>0</v>
      </c>
    </row>
    <row r="30" spans="6:11" x14ac:dyDescent="0.2">
      <c r="F30" t="str">
        <f>'Stats G2'!A31</f>
        <v>Zach</v>
      </c>
      <c r="G30" t="str">
        <f>'Stats G2'!B31</f>
        <v>Nelson</v>
      </c>
      <c r="H30">
        <f>'Stats G2'!C31</f>
        <v>30</v>
      </c>
      <c r="I30">
        <f>'Stats G2'!E31</f>
        <v>3</v>
      </c>
      <c r="J30">
        <f>'Stats G2'!H31</f>
        <v>0</v>
      </c>
      <c r="K30">
        <f>'Stats G2'!K31</f>
        <v>0</v>
      </c>
    </row>
    <row r="31" spans="6:11" x14ac:dyDescent="0.2">
      <c r="F31" t="str">
        <f>'Stats G2'!A32</f>
        <v>Zac</v>
      </c>
      <c r="G31" t="str">
        <f>'Stats G2'!B32</f>
        <v>Seljaas</v>
      </c>
      <c r="H31">
        <f>'Stats G2'!C32</f>
        <v>99</v>
      </c>
      <c r="I31">
        <f>'Stats G2'!E32</f>
        <v>4</v>
      </c>
      <c r="J31">
        <f>'Stats G2'!H32</f>
        <v>1</v>
      </c>
      <c r="K31">
        <f>'Stats G2'!K32</f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>SUM(I22:I36)</f>
        <v>30</v>
      </c>
      <c r="J37">
        <f>SUM(J22:J36)</f>
        <v>12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L38"/>
  <sheetViews>
    <sheetView topLeftCell="A3" zoomScale="90" zoomScaleNormal="90" workbookViewId="0">
      <selection activeCell="B18" sqref="B1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2" width="5.33203125" customWidth="1"/>
  </cols>
  <sheetData>
    <row r="1" spans="1:12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</row>
    <row r="2" spans="1:12" hidden="1" x14ac:dyDescent="0.2"/>
    <row r="3" spans="1:12" x14ac:dyDescent="0.2">
      <c r="A3" s="2" t="s">
        <v>7</v>
      </c>
      <c r="B3" s="1" t="s">
        <v>17</v>
      </c>
    </row>
    <row r="4" spans="1:12" x14ac:dyDescent="0.2">
      <c r="A4" t="s">
        <v>1</v>
      </c>
      <c r="B4" t="s">
        <v>2</v>
      </c>
      <c r="C4" t="s">
        <v>0</v>
      </c>
      <c r="E4" t="s">
        <v>246</v>
      </c>
      <c r="H4" t="s">
        <v>243</v>
      </c>
      <c r="K4" t="s">
        <v>244</v>
      </c>
    </row>
    <row r="5" spans="1:12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0</v>
      </c>
      <c r="I5" s="5"/>
      <c r="J5" s="5"/>
      <c r="K5" s="5">
        <v>0</v>
      </c>
      <c r="L5" s="5"/>
    </row>
    <row r="6" spans="1:12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1</v>
      </c>
      <c r="H6" s="6">
        <v>2</v>
      </c>
      <c r="K6" s="6">
        <v>3</v>
      </c>
    </row>
    <row r="7" spans="1:12" s="6" customFormat="1" x14ac:dyDescent="0.2">
      <c r="A7" s="5" t="str">
        <f>_xlfn.IFNA(VLOOKUP($B$3&amp;ROWS($A$5:A7),Rosters!$B$2:$C$162,2,0),"?")</f>
        <v>Dwayne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3</v>
      </c>
      <c r="F7" s="5"/>
      <c r="G7" s="5"/>
      <c r="H7" s="5">
        <v>2</v>
      </c>
      <c r="I7" s="5"/>
      <c r="J7" s="5"/>
      <c r="K7" s="5">
        <v>0</v>
      </c>
      <c r="L7" s="5"/>
    </row>
    <row r="8" spans="1:12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4</v>
      </c>
      <c r="H8" s="6">
        <v>1</v>
      </c>
      <c r="K8" s="6">
        <v>0</v>
      </c>
    </row>
    <row r="9" spans="1:12" s="6" customFormat="1" x14ac:dyDescent="0.2">
      <c r="A9" s="5" t="str">
        <f>_xlfn.IFNA(VLOOKUP($B$3&amp;ROWS($A$5:A9),Rosters!$B$2:$C$162,2,0),"?")</f>
        <v>Brekkott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</row>
    <row r="10" spans="1:12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</row>
    <row r="11" spans="1:12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</row>
    <row r="12" spans="1:12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</row>
    <row r="13" spans="1:12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</row>
    <row r="14" spans="1:12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0</v>
      </c>
      <c r="H14" s="6">
        <v>1</v>
      </c>
      <c r="K14" s="6">
        <v>0</v>
      </c>
    </row>
    <row r="15" spans="1:12" s="6" customFormat="1" x14ac:dyDescent="0.2">
      <c r="A15" s="5" t="s">
        <v>96</v>
      </c>
      <c r="B15" s="5" t="s">
        <v>270</v>
      </c>
      <c r="C15" s="5">
        <v>3</v>
      </c>
      <c r="D15" s="5"/>
      <c r="E15" s="5">
        <v>1</v>
      </c>
      <c r="F15" s="5"/>
      <c r="G15" s="5"/>
      <c r="H15" s="5">
        <v>0</v>
      </c>
      <c r="I15" s="5"/>
      <c r="J15" s="5"/>
      <c r="K15" s="5">
        <v>0</v>
      </c>
      <c r="L15" s="5"/>
    </row>
    <row r="16" spans="1:12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2</v>
      </c>
      <c r="H16" s="6">
        <v>1</v>
      </c>
      <c r="K16" s="6">
        <v>0</v>
      </c>
    </row>
    <row r="17" spans="1:12" s="6" customFormat="1" x14ac:dyDescent="0.2">
      <c r="A17" s="5" t="s">
        <v>220</v>
      </c>
      <c r="B17" s="5" t="s">
        <v>221</v>
      </c>
      <c r="C17" s="5">
        <v>20</v>
      </c>
      <c r="D17" s="5"/>
      <c r="E17" s="5">
        <v>3</v>
      </c>
      <c r="F17" s="5"/>
      <c r="G17" s="5"/>
      <c r="H17" s="5">
        <v>0</v>
      </c>
      <c r="I17" s="5"/>
      <c r="J17" s="5"/>
      <c r="K17" s="5">
        <v>0</v>
      </c>
      <c r="L17" s="5"/>
    </row>
    <row r="18" spans="1:12" s="6" customFormat="1" x14ac:dyDescent="0.2">
      <c r="A18" s="6" t="s">
        <v>183</v>
      </c>
      <c r="B18" s="6" t="s">
        <v>70</v>
      </c>
      <c r="C18" s="6">
        <v>0</v>
      </c>
      <c r="E18" s="6">
        <v>0</v>
      </c>
      <c r="H18" s="6">
        <v>1</v>
      </c>
      <c r="K18" s="6">
        <v>0</v>
      </c>
    </row>
    <row r="19" spans="1:12" s="6" customFormat="1" x14ac:dyDescent="0.2">
      <c r="A19" s="5" t="s">
        <v>78</v>
      </c>
      <c r="B19" s="5" t="s">
        <v>79</v>
      </c>
      <c r="C19" s="5">
        <v>4</v>
      </c>
      <c r="D19" s="5"/>
      <c r="E19" s="5">
        <v>2</v>
      </c>
      <c r="F19" s="5"/>
      <c r="G19" s="5"/>
      <c r="H19" s="5">
        <v>0</v>
      </c>
      <c r="I19" s="5"/>
      <c r="J19" s="5"/>
      <c r="K19" s="5">
        <v>0</v>
      </c>
      <c r="L19" s="5"/>
    </row>
    <row r="20" spans="1:12" x14ac:dyDescent="0.2">
      <c r="E20">
        <f>SUM(E5:E19)</f>
        <v>18</v>
      </c>
      <c r="H20">
        <f>SUM(H5:H19)</f>
        <v>8</v>
      </c>
      <c r="K20">
        <f>SUM(K5:K19)</f>
        <v>3</v>
      </c>
    </row>
    <row r="21" spans="1:12" x14ac:dyDescent="0.2">
      <c r="A21" s="2" t="s">
        <v>8</v>
      </c>
      <c r="B21" s="1" t="s">
        <v>10</v>
      </c>
    </row>
    <row r="22" spans="1:12" x14ac:dyDescent="0.2">
      <c r="A22" t="s">
        <v>1</v>
      </c>
      <c r="B22" t="s">
        <v>2</v>
      </c>
      <c r="C22" t="s">
        <v>0</v>
      </c>
      <c r="E22" t="s">
        <v>246</v>
      </c>
      <c r="H22" t="s">
        <v>243</v>
      </c>
      <c r="K22" t="s">
        <v>244</v>
      </c>
    </row>
    <row r="23" spans="1:12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</row>
    <row r="24" spans="1:1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</row>
    <row r="25" spans="1:12" s="6" customFormat="1" x14ac:dyDescent="0.2">
      <c r="A25" s="5" t="s">
        <v>267</v>
      </c>
      <c r="B25" s="5" t="s">
        <v>269</v>
      </c>
      <c r="C25" s="5">
        <f>_xlfn.IFNA(VLOOKUP($B$21&amp;ROWS($C$23:C25),Rosters!$B$2:$E$162,4,0),"")</f>
        <v>7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0</v>
      </c>
      <c r="L25" s="5"/>
    </row>
    <row r="26" spans="1:12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3</v>
      </c>
      <c r="H26" s="6">
        <v>3</v>
      </c>
      <c r="K26" s="6">
        <v>0</v>
      </c>
    </row>
    <row r="27" spans="1:12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4</v>
      </c>
      <c r="F27" s="5"/>
      <c r="G27" s="5"/>
      <c r="H27" s="5">
        <v>3</v>
      </c>
      <c r="I27" s="5"/>
      <c r="J27" s="5"/>
      <c r="K27" s="5">
        <v>0</v>
      </c>
      <c r="L27" s="5"/>
    </row>
    <row r="28" spans="1:12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0</v>
      </c>
    </row>
    <row r="29" spans="1:12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0</v>
      </c>
      <c r="L29" s="5"/>
    </row>
    <row r="30" spans="1:12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11</v>
      </c>
      <c r="H30" s="6">
        <v>4</v>
      </c>
      <c r="K30" s="6">
        <v>0</v>
      </c>
    </row>
    <row r="31" spans="1:12" s="6" customFormat="1" x14ac:dyDescent="0.2">
      <c r="A31" s="5" t="s">
        <v>87</v>
      </c>
      <c r="B31" s="5" t="s">
        <v>268</v>
      </c>
      <c r="C31" s="5">
        <f>_xlfn.IFNA(VLOOKUP($B$21&amp;ROWS($C$23:C31),Rosters!$B$2:$E$162,4,0),"")</f>
        <v>30</v>
      </c>
      <c r="D31" s="5"/>
      <c r="E31" s="5">
        <v>3</v>
      </c>
      <c r="F31" s="5"/>
      <c r="G31" s="5"/>
      <c r="H31" s="5">
        <v>0</v>
      </c>
      <c r="I31" s="5"/>
      <c r="J31" s="5"/>
      <c r="K31" s="5">
        <v>0</v>
      </c>
      <c r="L31" s="5"/>
    </row>
    <row r="32" spans="1:12" s="6" customFormat="1" x14ac:dyDescent="0.2">
      <c r="A32" s="6" t="s">
        <v>159</v>
      </c>
      <c r="B32" s="6" t="s">
        <v>160</v>
      </c>
      <c r="C32" s="6">
        <v>99</v>
      </c>
      <c r="E32" s="6">
        <v>4</v>
      </c>
      <c r="H32" s="6">
        <v>1</v>
      </c>
      <c r="K32" s="6">
        <v>0</v>
      </c>
    </row>
    <row r="33" spans="1:12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</row>
    <row r="34" spans="1:12" s="6" customFormat="1" x14ac:dyDescent="0.2">
      <c r="A34" s="6" t="s">
        <v>271</v>
      </c>
      <c r="B34" s="6" t="s">
        <v>271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</row>
    <row r="35" spans="1:12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</row>
    <row r="36" spans="1:12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</row>
    <row r="37" spans="1:12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</row>
    <row r="38" spans="1:12" x14ac:dyDescent="0.2">
      <c r="E38">
        <f>SUM(E23:E37)</f>
        <v>30</v>
      </c>
      <c r="H38">
        <f>SUM(H23:H37)</f>
        <v>12</v>
      </c>
      <c r="K38">
        <f>SUM(K23:K37)</f>
        <v>0</v>
      </c>
    </row>
  </sheetData>
  <dataValidations count="1">
    <dataValidation type="list" allowBlank="1" showInputMessage="1" showErrorMessage="1" sqref="B21 B3" xr:uid="{C0688EB3-74DB-9949-A8A7-34166CC2C504}">
      <formula1>$A$1:$L$1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4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5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6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8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9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0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3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4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5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6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7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8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0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3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3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3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3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39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40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41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42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43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44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5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6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47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48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49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50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1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52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53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54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55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56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57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58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59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60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61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62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63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64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65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66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67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68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69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70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71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72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73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74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75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76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77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78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79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80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81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82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83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84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85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86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87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88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89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90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91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92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93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94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95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96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97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98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99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00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01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02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03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04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05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06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07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08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09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10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11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12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13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14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15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16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17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18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19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20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21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22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12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12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2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2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12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129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130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131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132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133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134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135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136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137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138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139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140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141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142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143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144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145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146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147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148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149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150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151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152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153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154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155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156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157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158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159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160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161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162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163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164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165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166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167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168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169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170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171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172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173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174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175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176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177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178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179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180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181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182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183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184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185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186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187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188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189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190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191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192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193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194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195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196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197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198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199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200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201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202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203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204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05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06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07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08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09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10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11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12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13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14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15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16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17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18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266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250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265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251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252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249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253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254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255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258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259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260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247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261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262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248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248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248</v>
      </c>
      <c r="B143" t="str">
        <f>A143&amp;COUNTIF($A$2:$A143,A143)</f>
        <v>Guest3</v>
      </c>
      <c r="C143" t="s">
        <v>263</v>
      </c>
      <c r="D143" t="s">
        <v>239</v>
      </c>
      <c r="E143">
        <v>19</v>
      </c>
    </row>
    <row r="144" spans="1:5" x14ac:dyDescent="0.2">
      <c r="A144" t="s">
        <v>248</v>
      </c>
      <c r="B144" t="str">
        <f>A144&amp;COUNTIF($A$2:$A144,A144)</f>
        <v>Guest4</v>
      </c>
      <c r="C144" t="s">
        <v>241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2021-08-22T03:40:16Z</dcterms:modified>
</cp:coreProperties>
</file>