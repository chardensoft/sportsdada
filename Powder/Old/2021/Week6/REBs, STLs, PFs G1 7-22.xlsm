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10724T164158Z-001/"/>
    </mc:Choice>
  </mc:AlternateContent>
  <xr:revisionPtr revIDLastSave="0" documentId="13_ncr:1_{33BD488E-02DB-4D46-936F-D3F7679A9B61}" xr6:coauthVersionLast="47" xr6:coauthVersionMax="47" xr10:uidLastSave="{00000000-0000-0000-0000-000000000000}"/>
  <bookViews>
    <workbookView xWindow="0" yWindow="500" windowWidth="20740" windowHeight="111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33" i="1" s="1"/>
  <c r="G32" i="2" s="1"/>
  <c r="B8" i="3"/>
  <c r="B7" i="3"/>
  <c r="B6" i="3"/>
  <c r="B5" i="3"/>
  <c r="B4" i="3"/>
  <c r="B3" i="3"/>
  <c r="B2" i="3"/>
  <c r="C29" i="1" s="1"/>
  <c r="H28" i="2" s="1"/>
  <c r="I23" i="2"/>
  <c r="J23" i="2"/>
  <c r="L23" i="2"/>
  <c r="I24" i="2"/>
  <c r="J24" i="2"/>
  <c r="K24" i="2" s="1"/>
  <c r="L24" i="2"/>
  <c r="I25" i="2"/>
  <c r="J25" i="2"/>
  <c r="L25" i="2"/>
  <c r="I26" i="2"/>
  <c r="J26" i="2"/>
  <c r="L26" i="2"/>
  <c r="I27" i="2"/>
  <c r="J27" i="2"/>
  <c r="L27" i="2"/>
  <c r="I28" i="2"/>
  <c r="J28" i="2"/>
  <c r="K28" i="2" s="1"/>
  <c r="L28" i="2"/>
  <c r="I29" i="2"/>
  <c r="J29" i="2"/>
  <c r="L29" i="2"/>
  <c r="I30" i="2"/>
  <c r="J30" i="2"/>
  <c r="K30" i="2"/>
  <c r="L30" i="2"/>
  <c r="I31" i="2"/>
  <c r="J31" i="2"/>
  <c r="K31" i="2" s="1"/>
  <c r="L31" i="2"/>
  <c r="I32" i="2"/>
  <c r="J32" i="2"/>
  <c r="L32" i="2"/>
  <c r="I33" i="2"/>
  <c r="K33" i="2" s="1"/>
  <c r="J33" i="2"/>
  <c r="L33" i="2"/>
  <c r="I34" i="2"/>
  <c r="J34" i="2"/>
  <c r="L34" i="2"/>
  <c r="I35" i="2"/>
  <c r="J35" i="2"/>
  <c r="K35" i="2"/>
  <c r="L35" i="2"/>
  <c r="I36" i="2"/>
  <c r="J36" i="2"/>
  <c r="K36" i="2"/>
  <c r="L36" i="2"/>
  <c r="L22" i="2"/>
  <c r="J22" i="2"/>
  <c r="I22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K6" i="2"/>
  <c r="K17" i="2"/>
  <c r="K3" i="2"/>
  <c r="I4" i="2"/>
  <c r="J4" i="2"/>
  <c r="I5" i="2"/>
  <c r="J5" i="2"/>
  <c r="K5" i="2" s="1"/>
  <c r="I6" i="2"/>
  <c r="J6" i="2"/>
  <c r="I7" i="2"/>
  <c r="J7" i="2"/>
  <c r="K7" i="2" s="1"/>
  <c r="I8" i="2"/>
  <c r="K8" i="2" s="1"/>
  <c r="J8" i="2"/>
  <c r="I9" i="2"/>
  <c r="J9" i="2"/>
  <c r="K9" i="2" s="1"/>
  <c r="I10" i="2"/>
  <c r="J10" i="2"/>
  <c r="K10" i="2" s="1"/>
  <c r="I11" i="2"/>
  <c r="J11" i="2"/>
  <c r="I12" i="2"/>
  <c r="K12" i="2" s="1"/>
  <c r="J12" i="2"/>
  <c r="I13" i="2"/>
  <c r="J13" i="2"/>
  <c r="I14" i="2"/>
  <c r="J14" i="2"/>
  <c r="K14" i="2" s="1"/>
  <c r="I15" i="2"/>
  <c r="J15" i="2"/>
  <c r="K15" i="2" s="1"/>
  <c r="I16" i="2"/>
  <c r="K16" i="2" s="1"/>
  <c r="J16" i="2"/>
  <c r="I17" i="2"/>
  <c r="J17" i="2"/>
  <c r="C32" i="1"/>
  <c r="H31" i="2" s="1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23" i="2" l="1"/>
  <c r="K32" i="2"/>
  <c r="K34" i="2"/>
  <c r="K26" i="2"/>
  <c r="L37" i="2"/>
  <c r="K29" i="2"/>
  <c r="K27" i="2"/>
  <c r="K25" i="2"/>
  <c r="K22" i="2"/>
  <c r="I37" i="2"/>
  <c r="D3" i="2" s="1"/>
  <c r="K13" i="2"/>
  <c r="K11" i="2"/>
  <c r="L18" i="2"/>
  <c r="K4" i="2"/>
  <c r="K18" i="2" s="1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F3" i="2"/>
  <c r="K37" i="2" l="1"/>
</calcChain>
</file>

<file path=xl/sharedStrings.xml><?xml version="1.0" encoding="utf-8"?>
<sst xmlns="http://schemas.openxmlformats.org/spreadsheetml/2006/main" count="483" uniqueCount="271">
  <si>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</si>
  <si>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</si>
  <si>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</si>
  <si>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</si>
  <si>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</si>
  <si>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</si>
  <si>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</si>
  <si>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</si>
  <si>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</si>
  <si>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</si>
  <si>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</si>
  <si>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</si>
  <si>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</si>
  <si>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</si>
  <si>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</si>
  <si>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</si>
  <si>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</si>
  <si>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</si>
  <si>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</si>
  <si>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</si>
  <si>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</si>
  <si>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</si>
  <si>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</si>
  <si>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</si>
  <si>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</si>
  <si>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</si>
  <si>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</si>
  <si>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</si>
  <si>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</si>
  <si>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</si>
  <si>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</si>
  <si>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</si>
  <si>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</si>
  <si>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</si>
  <si>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</si>
  <si>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</si>
  <si>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</si>
  <si>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</si>
  <si>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</si>
  <si>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</si>
  <si>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</si>
  <si>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</si>
  <si>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</si>
  <si>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</si>
  <si>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</si>
  <si>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</si>
  <si>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</si>
  <si>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</si>
  <si>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</si>
  <si>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</si>
  <si>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</si>
  <si>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</si>
  <si>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</si>
  <si>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</si>
  <si>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</si>
  <si>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</si>
  <si>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</si>
  <si>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</si>
  <si>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</si>
  <si>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</si>
  <si>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</si>
  <si>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</si>
  <si>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</si>
  <si>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</si>
  <si>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</si>
  <si>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</si>
  <si>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</si>
  <si>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</si>
  <si>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</si>
  <si>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</si>
  <si>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</si>
  <si>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</si>
  <si>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</si>
  <si>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</si>
  <si>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</si>
  <si>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</si>
  <si>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</si>
  <si>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</si>
  <si>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</si>
  <si>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</si>
  <si>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</si>
  <si>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</si>
  <si>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</si>
  <si>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</si>
  <si>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</si>
  <si>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</si>
  <si>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</si>
  <si>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</si>
  <si>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</si>
  <si>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</si>
  <si>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</si>
  <si>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</si>
  <si>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</si>
  <si>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</si>
  <si>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</si>
  <si>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</si>
  <si>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</si>
  <si>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</si>
  <si>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</si>
  <si>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</si>
  <si>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</si>
  <si>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</si>
  <si>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</si>
  <si>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</si>
  <si>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</si>
  <si>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</si>
  <si>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</si>
  <si>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</si>
  <si>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</si>
  <si>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</si>
  <si>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</si>
  <si>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</si>
  <si>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</si>
  <si>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</si>
  <si>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</si>
  <si>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</si>
  <si>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</si>
  <si>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</si>
  <si>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</si>
  <si>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</si>
  <si>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</si>
  <si>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</si>
  <si>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</si>
  <si>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</si>
  <si>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</si>
  <si>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</si>
  <si>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</si>
  <si>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</si>
  <si>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</si>
  <si>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</si>
  <si>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</si>
  <si>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</si>
  <si>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</si>
  <si>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</si>
  <si>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</si>
  <si>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</si>
  <si>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</si>
  <si>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</si>
  <si>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</si>
  <si>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</si>
  <si>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</si>
  <si>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</si>
  <si>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</si>
  <si>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</si>
  <si>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</si>
  <si>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</si>
  <si>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</si>
  <si>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</si>
  <si>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</si>
  <si>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</si>
  <si>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</si>
  <si>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</si>
  <si>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</si>
  <si>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</si>
  <si>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</si>
  <si>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</si>
  <si>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</si>
  <si>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</si>
  <si>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</si>
  <si>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</si>
  <si>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</si>
  <si>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</si>
  <si>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</si>
  <si>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</si>
  <si>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</si>
  <si>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</si>
  <si>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</si>
  <si>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</si>
  <si>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</si>
  <si>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</si>
  <si>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</si>
  <si>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</si>
  <si>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</si>
  <si>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</si>
  <si>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</si>
  <si>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</si>
  <si>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</si>
  <si>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</si>
  <si>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</si>
  <si>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</si>
  <si>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</si>
  <si>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</si>
  <si>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</si>
  <si>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</si>
  <si>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</si>
  <si>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</si>
  <si>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</si>
  <si>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</si>
  <si>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</si>
  <si>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</si>
  <si>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</si>
  <si>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</si>
  <si>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</si>
  <si>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</si>
  <si>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</si>
  <si>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</si>
  <si>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</si>
  <si>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</si>
  <si>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</si>
  <si>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</si>
  <si>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</si>
  <si>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</si>
  <si>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</si>
  <si>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</si>
  <si>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</si>
  <si>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</si>
  <si>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</si>
  <si>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</si>
  <si>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</si>
  <si>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</si>
  <si>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</si>
  <si>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</si>
  <si>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</si>
  <si>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</si>
  <si>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</si>
  <si>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</si>
  <si>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</si>
  <si>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</si>
  <si>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</si>
  <si>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</si>
  <si>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</si>
  <si>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</si>
  <si>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</si>
  <si>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</si>
  <si>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</si>
  <si>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</si>
  <si>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</si>
  <si>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</si>
  <si>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</si>
  <si>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</si>
  <si>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</si>
  <si>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</si>
  <si>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</si>
  <si>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</si>
  <si>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</si>
  <si>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</si>
  <si>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</si>
  <si>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</si>
  <si>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</si>
  <si>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</si>
  <si>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</si>
  <si>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</si>
  <si>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</si>
  <si>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</si>
  <si>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</si>
  <si>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</si>
  <si>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</si>
  <si>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</si>
  <si>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</si>
  <si>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</si>
  <si>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</si>
  <si>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</si>
  <si>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</si>
  <si>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</si>
  <si>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</si>
  <si>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</si>
  <si>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</si>
  <si>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</si>
  <si>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</si>
  <si>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</si>
  <si>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</si>
  <si>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</si>
  <si>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</si>
  <si>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</si>
  <si>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</si>
  <si>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</si>
  <si>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</si>
  <si>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</si>
  <si>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</si>
  <si>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</si>
  <si>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>Demps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</si>
</sst>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J8" sqref="J8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G1'!B3</f>
        <v>Covington</v>
      </c>
    </row>
    <row r="2" spans="2:12" x14ac:dyDescent="0.2">
      <c r="B2" t="str">
        <f>G1</f>
        <v>Covington</v>
      </c>
      <c r="D2" t="str">
        <f>G20</f>
        <v>Clarke</v>
      </c>
      <c r="F2" t="s">
        <v>1</v>
      </c>
      <c r="G2" t="s">
        <v>2</v>
      </c>
      <c r="H2" t="s">
        <v>0</v>
      </c>
      <c r="I2" t="s">
        <v>266</v>
      </c>
      <c r="J2" t="s">
        <v>267</v>
      </c>
      <c r="K2" t="s">
        <v>268</v>
      </c>
      <c r="L2" t="s">
        <v>265</v>
      </c>
    </row>
    <row r="3" spans="2:12" x14ac:dyDescent="0.2">
      <c r="B3">
        <f>I18</f>
        <v>13</v>
      </c>
      <c r="C3" s="3" t="s">
        <v>6</v>
      </c>
      <c r="D3" s="4">
        <f>I37</f>
        <v>6</v>
      </c>
      <c r="F3" t="str">
        <f>'Stats G1'!A5</f>
        <v>Marion</v>
      </c>
      <c r="G3" t="str">
        <f>'Stats G1'!B5</f>
        <v>Humphrey</v>
      </c>
      <c r="H3">
        <f>'Stats G1'!C5</f>
        <v>0</v>
      </c>
      <c r="I3">
        <f>'Stats G1'!E5</f>
        <v>0</v>
      </c>
      <c r="J3">
        <f>'Stats G1'!H5</f>
        <v>0</v>
      </c>
      <c r="K3">
        <f>J3+I3</f>
        <v>0</v>
      </c>
      <c r="L3">
        <f>'Stats G1'!N5</f>
        <v>0</v>
      </c>
    </row>
    <row r="4" spans="2:12" x14ac:dyDescent="0.2">
      <c r="F4" t="str">
        <f>'Stats G1'!A6</f>
        <v>Festus</v>
      </c>
      <c r="G4" t="str">
        <f>'Stats G1'!B6</f>
        <v>Ndumanya</v>
      </c>
      <c r="H4" t="str">
        <f>'Stats G1'!C6</f>
        <v>00</v>
      </c>
      <c r="I4">
        <f>'Stats G1'!E6</f>
        <v>4</v>
      </c>
      <c r="J4">
        <f>'Stats G1'!H6</f>
        <v>4</v>
      </c>
      <c r="K4">
        <f t="shared" ref="K4:K17" si="0">J4+I4</f>
        <v>8</v>
      </c>
      <c r="L4">
        <f>'Stats G1'!N6</f>
        <v>3</v>
      </c>
    </row>
    <row r="5" spans="2:12" x14ac:dyDescent="0.2">
      <c r="F5" t="str">
        <f>'Stats G1'!A7</f>
        <v>Christian</v>
      </c>
      <c r="G5" t="str">
        <f>'Stats G1'!B7</f>
        <v>Haffner</v>
      </c>
      <c r="H5">
        <f>'Stats G1'!C7</f>
        <v>2</v>
      </c>
      <c r="I5">
        <f>'Stats G1'!E7</f>
        <v>0</v>
      </c>
      <c r="J5">
        <f>'Stats G1'!H7</f>
        <v>5</v>
      </c>
      <c r="K5">
        <f t="shared" si="0"/>
        <v>5</v>
      </c>
      <c r="L5">
        <f>'Stats G1'!N7</f>
        <v>3</v>
      </c>
    </row>
    <row r="6" spans="2:12" x14ac:dyDescent="0.2">
      <c r="F6" t="str">
        <f>'Stats G1'!A8</f>
        <v>Oscar</v>
      </c>
      <c r="G6" t="str">
        <f>'Stats G1'!B8</f>
        <v>Lopez</v>
      </c>
      <c r="H6">
        <f>'Stats G1'!C8</f>
        <v>3</v>
      </c>
      <c r="I6">
        <f>'Stats G1'!E8</f>
        <v>0</v>
      </c>
      <c r="J6">
        <f>'Stats G1'!H8</f>
        <v>0</v>
      </c>
      <c r="K6">
        <f t="shared" si="0"/>
        <v>0</v>
      </c>
      <c r="L6">
        <f>'Stats G1'!N8</f>
        <v>0</v>
      </c>
    </row>
    <row r="7" spans="2:12" x14ac:dyDescent="0.2">
      <c r="F7" t="str">
        <f>'Stats G1'!A9</f>
        <v>Max</v>
      </c>
      <c r="G7" t="str">
        <f>'Stats G1'!B9</f>
        <v>Watson</v>
      </c>
      <c r="H7">
        <f>'Stats G1'!C9</f>
        <v>4</v>
      </c>
      <c r="I7">
        <f>'Stats G1'!E9</f>
        <v>0</v>
      </c>
      <c r="J7">
        <f>'Stats G1'!H9</f>
        <v>0</v>
      </c>
      <c r="K7">
        <f t="shared" si="0"/>
        <v>0</v>
      </c>
      <c r="L7">
        <f>'Stats G1'!N9</f>
        <v>0</v>
      </c>
    </row>
    <row r="8" spans="2:12" x14ac:dyDescent="0.2">
      <c r="F8" t="str">
        <f>'Stats G1'!A10</f>
        <v>Quincy</v>
      </c>
      <c r="G8" t="str">
        <f>'Stats G1'!B10</f>
        <v>McGriff</v>
      </c>
      <c r="H8">
        <f>'Stats G1'!C10</f>
        <v>5</v>
      </c>
      <c r="I8">
        <f>'Stats G1'!E10</f>
        <v>2</v>
      </c>
      <c r="J8">
        <f>'Stats G1'!H10</f>
        <v>0</v>
      </c>
      <c r="K8">
        <f t="shared" si="0"/>
        <v>2</v>
      </c>
      <c r="L8">
        <f>'Stats G1'!N10</f>
        <v>1</v>
      </c>
    </row>
    <row r="9" spans="2:12" x14ac:dyDescent="0.2">
      <c r="F9" t="str">
        <f>'Stats G1'!A11</f>
        <v>Nick</v>
      </c>
      <c r="G9" t="str">
        <f>'Stats G1'!B11</f>
        <v>Covington</v>
      </c>
      <c r="H9">
        <f>'Stats G1'!C11</f>
        <v>7</v>
      </c>
      <c r="I9">
        <f>'Stats G1'!E11</f>
        <v>0</v>
      </c>
      <c r="J9">
        <f>'Stats G1'!H11</f>
        <v>4</v>
      </c>
      <c r="K9">
        <f t="shared" si="0"/>
        <v>4</v>
      </c>
      <c r="L9">
        <f>'Stats G1'!N11</f>
        <v>2</v>
      </c>
    </row>
    <row r="10" spans="2:12" x14ac:dyDescent="0.2">
      <c r="F10" t="str">
        <f>'Stats G1'!A12</f>
        <v>Chase</v>
      </c>
      <c r="G10" t="str">
        <f>'Stats G1'!B12</f>
        <v>Adam</v>
      </c>
      <c r="H10">
        <f>'Stats G1'!C12</f>
        <v>10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G1'!N12</f>
        <v>0</v>
      </c>
    </row>
    <row r="11" spans="2:12" x14ac:dyDescent="0.2">
      <c r="F11" t="str">
        <f>'Stats G1'!A13</f>
        <v>Tanner</v>
      </c>
      <c r="G11" t="str">
        <f>'Stats G1'!B13</f>
        <v>Cuff</v>
      </c>
      <c r="H11">
        <f>'Stats G1'!C13</f>
        <v>11</v>
      </c>
      <c r="I11">
        <f>'Stats G1'!E13</f>
        <v>4</v>
      </c>
      <c r="J11">
        <f>'Stats G1'!H13</f>
        <v>5</v>
      </c>
      <c r="K11">
        <f t="shared" si="0"/>
        <v>9</v>
      </c>
      <c r="L11">
        <f>'Stats G1'!N13</f>
        <v>1</v>
      </c>
    </row>
    <row r="12" spans="2:12" x14ac:dyDescent="0.2">
      <c r="F12" t="str">
        <f>'Stats G1'!A14</f>
        <v>Jackson</v>
      </c>
      <c r="G12" t="str">
        <f>'Stats G1'!B14</f>
        <v>Last</v>
      </c>
      <c r="H12">
        <f>'Stats G1'!C14</f>
        <v>13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G1'!N14</f>
        <v>0</v>
      </c>
    </row>
    <row r="13" spans="2:12" x14ac:dyDescent="0.2">
      <c r="F13" t="str">
        <f>'Stats G1'!A15</f>
        <v xml:space="preserve">Jaxon </v>
      </c>
      <c r="G13" t="str">
        <f>'Stats G1'!B15</f>
        <v>Pollard</v>
      </c>
      <c r="H13">
        <f>'Stats G1'!C15</f>
        <v>15</v>
      </c>
      <c r="I13">
        <f>'Stats G1'!E15</f>
        <v>3</v>
      </c>
      <c r="J13">
        <f>'Stats G1'!H15</f>
        <v>2</v>
      </c>
      <c r="K13">
        <f t="shared" si="0"/>
        <v>5</v>
      </c>
      <c r="L13">
        <f>'Stats G1'!N15</f>
        <v>1</v>
      </c>
    </row>
    <row r="14" spans="2:12" x14ac:dyDescent="0.2">
      <c r="F14" t="str">
        <f>'Stats G1'!A16</f>
        <v>Tyson</v>
      </c>
      <c r="G14" t="str">
        <f>'Stats G1'!B16</f>
        <v>Garff</v>
      </c>
      <c r="H14">
        <f>'Stats G1'!C16</f>
        <v>22</v>
      </c>
      <c r="I14">
        <f>'Stats G1'!E16</f>
        <v>0</v>
      </c>
      <c r="J14">
        <f>'Stats G1'!H16</f>
        <v>0</v>
      </c>
      <c r="K14">
        <f t="shared" si="0"/>
        <v>0</v>
      </c>
      <c r="L14">
        <f>'Stats G1'!N16</f>
        <v>0</v>
      </c>
    </row>
    <row r="15" spans="2:12" x14ac:dyDescent="0.2">
      <c r="F15" t="str">
        <f>'Stats G1'!A17</f>
        <v>Jordan</v>
      </c>
      <c r="G15" t="str">
        <f>'Stats G1'!B17</f>
        <v>Brinson</v>
      </c>
      <c r="H15">
        <f>'Stats G1'!C17</f>
        <v>23</v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G1'!N17</f>
        <v>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 t="shared" si="0"/>
        <v>0</v>
      </c>
      <c r="L16">
        <f>'Stats G1'!N18</f>
        <v>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G1'!N19</f>
        <v>0</v>
      </c>
    </row>
    <row r="18" spans="6:12" x14ac:dyDescent="0.2">
      <c r="H18" s="2" t="s">
        <v>5</v>
      </c>
      <c r="I18">
        <f>SUM(I3:I17)</f>
        <v>13</v>
      </c>
      <c r="J18">
        <f>SUM(J3:J17)</f>
        <v>20</v>
      </c>
      <c r="K18">
        <f>SUM(K3:K17)</f>
        <v>33</v>
      </c>
      <c r="L18">
        <f>SUM(L3:L17)</f>
        <v>11</v>
      </c>
    </row>
    <row r="20" spans="6:12" x14ac:dyDescent="0.2">
      <c r="F20" t="s">
        <v>4</v>
      </c>
      <c r="G20" t="str">
        <f>'Stats G1'!B21</f>
        <v>Clarke</v>
      </c>
    </row>
    <row r="21" spans="6:12" x14ac:dyDescent="0.2">
      <c r="F21" t="s">
        <v>1</v>
      </c>
      <c r="G21" t="s">
        <v>2</v>
      </c>
      <c r="H21" t="s">
        <v>0</v>
      </c>
      <c r="I21" t="s">
        <v>266</v>
      </c>
      <c r="J21" t="s">
        <v>267</v>
      </c>
      <c r="K21" t="s">
        <v>268</v>
      </c>
      <c r="L21" t="s">
        <v>265</v>
      </c>
    </row>
    <row r="22" spans="6:12" x14ac:dyDescent="0.2">
      <c r="F22" t="str">
        <f>'Stats G1'!A23</f>
        <v>Marquis</v>
      </c>
      <c r="G22" t="str">
        <f>'Stats G1'!B23</f>
        <v>O’Shea</v>
      </c>
      <c r="H22">
        <f>'Stats G1'!C23</f>
        <v>0</v>
      </c>
      <c r="I22">
        <f>'Stats G1'!E23</f>
        <v>1</v>
      </c>
      <c r="J22">
        <f>'Stats G1'!H23</f>
        <v>5</v>
      </c>
      <c r="K22">
        <f>J22+I22</f>
        <v>6</v>
      </c>
      <c r="L22">
        <f>'Stats G1'!N23</f>
        <v>4</v>
      </c>
    </row>
    <row r="23" spans="6:12" x14ac:dyDescent="0.2">
      <c r="F23" t="str">
        <f>'Stats G1'!A24</f>
        <v>Jaren</v>
      </c>
      <c r="G23" t="str">
        <f>'Stats G1'!B24</f>
        <v>McKnight</v>
      </c>
      <c r="H23">
        <f>'Stats G1'!C24</f>
        <v>1</v>
      </c>
      <c r="I23">
        <f>'Stats G1'!E24</f>
        <v>0</v>
      </c>
      <c r="J23">
        <f>'Stats G1'!H24</f>
        <v>2</v>
      </c>
      <c r="K23">
        <f t="shared" ref="K23:K36" si="1">J23+I23</f>
        <v>2</v>
      </c>
      <c r="L23">
        <f>'Stats G1'!N24</f>
        <v>0</v>
      </c>
    </row>
    <row r="24" spans="6:12" x14ac:dyDescent="0.2">
      <c r="F24" t="str">
        <f>'Stats G1'!A25</f>
        <v>Elijah</v>
      </c>
      <c r="G24" t="str">
        <f>'Stats G1'!B25</f>
        <v>Davy</v>
      </c>
      <c r="H24">
        <f>'Stats G1'!C25</f>
        <v>4</v>
      </c>
      <c r="I24">
        <f>'Stats G1'!E25</f>
        <v>0</v>
      </c>
      <c r="J24">
        <f>'Stats G1'!H25</f>
        <v>0</v>
      </c>
      <c r="K24">
        <f t="shared" si="1"/>
        <v>0</v>
      </c>
      <c r="L24">
        <f>'Stats G1'!N25</f>
        <v>0</v>
      </c>
    </row>
    <row r="25" spans="6:12" x14ac:dyDescent="0.2">
      <c r="F25" t="str">
        <f>'Stats G1'!A26</f>
        <v>Jaxon</v>
      </c>
      <c r="G25" t="str">
        <f>'Stats G1'!B26</f>
        <v>Brenchley</v>
      </c>
      <c r="H25">
        <f>'Stats G1'!C26</f>
        <v>5</v>
      </c>
      <c r="I25">
        <f>'Stats G1'!E26</f>
        <v>1</v>
      </c>
      <c r="J25">
        <f>'Stats G1'!H26</f>
        <v>4</v>
      </c>
      <c r="K25">
        <f t="shared" si="1"/>
        <v>5</v>
      </c>
      <c r="L25">
        <f>'Stats G1'!N26</f>
        <v>1</v>
      </c>
    </row>
    <row r="26" spans="6:12" x14ac:dyDescent="0.2">
      <c r="F26" t="str">
        <f>'Stats G1'!A27</f>
        <v xml:space="preserve">Jay </v>
      </c>
      <c r="G26" t="str">
        <f>'Stats G1'!B27</f>
        <v>Payne</v>
      </c>
      <c r="H26">
        <f>'Stats G1'!C27</f>
        <v>10</v>
      </c>
      <c r="I26">
        <f>'Stats G1'!E27</f>
        <v>0</v>
      </c>
      <c r="J26">
        <f>'Stats G1'!H27</f>
        <v>0</v>
      </c>
      <c r="K26">
        <f t="shared" si="1"/>
        <v>0</v>
      </c>
      <c r="L26">
        <f>'Stats G1'!N27</f>
        <v>0</v>
      </c>
    </row>
    <row r="27" spans="6:12" x14ac:dyDescent="0.2">
      <c r="F27" t="str">
        <f>'Stats G1'!A28</f>
        <v>Jaden</v>
      </c>
      <c r="G27" t="str">
        <f>'Stats G1'!B28</f>
        <v>Vaughn</v>
      </c>
      <c r="H27">
        <f>'Stats G1'!C28</f>
        <v>11</v>
      </c>
      <c r="I27">
        <f>'Stats G1'!E28</f>
        <v>2</v>
      </c>
      <c r="J27">
        <f>'Stats G1'!H28</f>
        <v>5</v>
      </c>
      <c r="K27">
        <f t="shared" si="1"/>
        <v>7</v>
      </c>
      <c r="L27">
        <f>'Stats G1'!N28</f>
        <v>0</v>
      </c>
    </row>
    <row r="28" spans="6:12" x14ac:dyDescent="0.2">
      <c r="F28" t="str">
        <f>'Stats G1'!A29</f>
        <v>Dason</v>
      </c>
      <c r="G28" t="str">
        <f>'Stats G1'!B29</f>
        <v>Youngblood</v>
      </c>
      <c r="H28">
        <f>'Stats G1'!C29</f>
        <v>14</v>
      </c>
      <c r="I28">
        <f>'Stats G1'!E29</f>
        <v>0</v>
      </c>
      <c r="J28">
        <f>'Stats G1'!H29</f>
        <v>0</v>
      </c>
      <c r="K28">
        <f t="shared" si="1"/>
        <v>0</v>
      </c>
      <c r="L28">
        <f>'Stats G1'!N29</f>
        <v>0</v>
      </c>
    </row>
    <row r="29" spans="6:12" x14ac:dyDescent="0.2">
      <c r="F29" t="str">
        <f>'Stats G1'!A30</f>
        <v>Hunter</v>
      </c>
      <c r="G29" t="str">
        <f>'Stats G1'!B30</f>
        <v>Clarke</v>
      </c>
      <c r="H29">
        <f>'Stats G1'!C30</f>
        <v>15</v>
      </c>
      <c r="I29">
        <f>'Stats G1'!E30</f>
        <v>0</v>
      </c>
      <c r="J29">
        <f>'Stats G1'!H30</f>
        <v>1</v>
      </c>
      <c r="K29">
        <f t="shared" si="1"/>
        <v>1</v>
      </c>
      <c r="L29">
        <f>'Stats G1'!N30</f>
        <v>2</v>
      </c>
    </row>
    <row r="30" spans="6:12" x14ac:dyDescent="0.2">
      <c r="F30" t="str">
        <f>'Stats G1'!A31</f>
        <v>Trevin</v>
      </c>
      <c r="G30" t="str">
        <f>'Stats G1'!B31</f>
        <v>Knell</v>
      </c>
      <c r="H30">
        <f>'Stats G1'!C31</f>
        <v>21</v>
      </c>
      <c r="I30">
        <f>'Stats G1'!E31</f>
        <v>0</v>
      </c>
      <c r="J30">
        <f>'Stats G1'!H31</f>
        <v>0</v>
      </c>
      <c r="K30">
        <f t="shared" si="1"/>
        <v>0</v>
      </c>
      <c r="L30">
        <f>'Stats G1'!N31</f>
        <v>0</v>
      </c>
    </row>
    <row r="31" spans="6:12" x14ac:dyDescent="0.2">
      <c r="F31" t="str">
        <f>'Stats G1'!A32</f>
        <v>Hank</v>
      </c>
      <c r="G31" t="str">
        <f>'Stats G1'!B32</f>
        <v>Bushell</v>
      </c>
      <c r="H31">
        <f>'Stats G1'!C32</f>
        <v>23</v>
      </c>
      <c r="I31">
        <f>'Stats G1'!E32</f>
        <v>0</v>
      </c>
      <c r="J31">
        <f>'Stats G1'!H32</f>
        <v>3</v>
      </c>
      <c r="K31">
        <f t="shared" si="1"/>
        <v>3</v>
      </c>
      <c r="L31">
        <f>'Stats G1'!N32</f>
        <v>3</v>
      </c>
    </row>
    <row r="32" spans="6:12" x14ac:dyDescent="0.2">
      <c r="F32" t="str">
        <f>'Stats G1'!A33</f>
        <v>Keon</v>
      </c>
      <c r="G32" t="str">
        <f>'Stats G1'!B33</f>
        <v>Burgout</v>
      </c>
      <c r="H32">
        <f>'Stats G1'!C33</f>
        <v>24</v>
      </c>
      <c r="I32">
        <f>'Stats G1'!E33</f>
        <v>1</v>
      </c>
      <c r="J32">
        <f>'Stats G1'!H33</f>
        <v>3</v>
      </c>
      <c r="K32">
        <f t="shared" si="1"/>
        <v>4</v>
      </c>
      <c r="L32">
        <f>'Stats G1'!N33</f>
        <v>1</v>
      </c>
    </row>
    <row r="33" spans="6:12" x14ac:dyDescent="0.2">
      <c r="F33" t="str">
        <f>'Stats G1'!A34</f>
        <v>Kaleb</v>
      </c>
      <c r="G33" t="str">
        <f>'Stats G1'!B34</f>
        <v>Wilborn</v>
      </c>
      <c r="H33">
        <f>'Stats G1'!C34</f>
        <v>25</v>
      </c>
      <c r="I33">
        <f>'Stats G1'!E34</f>
        <v>1</v>
      </c>
      <c r="J33">
        <f>'Stats G1'!H34</f>
        <v>2</v>
      </c>
      <c r="K33">
        <f t="shared" si="1"/>
        <v>3</v>
      </c>
      <c r="L33">
        <f>'Stats G1'!N34</f>
        <v>2</v>
      </c>
    </row>
    <row r="34" spans="6:12" x14ac:dyDescent="0.2">
      <c r="F34" t="str">
        <f>'Stats G1'!A35</f>
        <v>Riley</v>
      </c>
      <c r="G34" t="str">
        <f>'Stats G1'!B35</f>
        <v>Demps</v>
      </c>
      <c r="H34">
        <f>'Stats G1'!C35</f>
        <v>30</v>
      </c>
      <c r="I34">
        <f>'Stats G1'!E35</f>
        <v>0</v>
      </c>
      <c r="J34">
        <f>'Stats G1'!H35</f>
        <v>1</v>
      </c>
      <c r="K34">
        <f t="shared" si="1"/>
        <v>1</v>
      </c>
      <c r="L34">
        <f>'Stats G1'!N35</f>
        <v>1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G1'!N36</f>
        <v>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G1'!N37</f>
        <v>0</v>
      </c>
    </row>
    <row r="37" spans="6:12" x14ac:dyDescent="0.2">
      <c r="H37" s="2" t="s">
        <v>5</v>
      </c>
      <c r="I37">
        <f>SUM(I22:I36)</f>
        <v>6</v>
      </c>
      <c r="J37">
        <f>SUM(J22:J36)</f>
        <v>26</v>
      </c>
      <c r="K37">
        <f>SUM(K22:K36)</f>
        <v>32</v>
      </c>
      <c r="L37">
        <f>SUM(L22:L36)</f>
        <v>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18" workbookViewId="0">
      <selection activeCell="H36" sqref="H36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15</v>
      </c>
    </row>
    <row r="4" spans="1:21" x14ac:dyDescent="0.2">
      <c r="A4" t="s">
        <v>1</v>
      </c>
      <c r="B4" t="s">
        <v>2</v>
      </c>
      <c r="C4" t="s">
        <v>0</v>
      </c>
      <c r="E4" t="s">
        <v>266</v>
      </c>
      <c r="H4" t="s">
        <v>267</v>
      </c>
      <c r="K4" t="s">
        <v>264</v>
      </c>
      <c r="N4" t="s">
        <v>265</v>
      </c>
    </row>
    <row r="5" spans="1:21" s="6" customFormat="1" x14ac:dyDescent="0.2">
      <c r="A5" s="5" t="str">
        <f>_xlfn.IFNA(VLOOKUP($B$3&amp;ROWS($A$5:A5),Rosters!$B$2:$C$162,2,0),"?")</f>
        <v>Marion</v>
      </c>
      <c r="B5" s="5" t="str">
        <f>_xlfn.IFNA(VLOOKUP($B$3&amp;ROWS($B$5:B5),Rosters!$B$2:$D$162,3,0),"?")</f>
        <v>Humphrey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Festus</v>
      </c>
      <c r="B6" s="6" t="str">
        <f>_xlfn.IFNA(VLOOKUP($B$3&amp;ROWS($B$5:B6),Rosters!$B$2:$D$162,3,0),"?")</f>
        <v>Ndumanya</v>
      </c>
      <c r="C6" s="6" t="str">
        <f>_xlfn.IFNA(VLOOKUP($B$3&amp;ROWS($C$5:C6),Rosters!$B$2:$E$162,4,0),"")</f>
        <v>00</v>
      </c>
      <c r="E6" s="6">
        <v>4</v>
      </c>
      <c r="H6" s="6">
        <v>4</v>
      </c>
      <c r="K6" s="6">
        <v>0</v>
      </c>
      <c r="N6" s="6">
        <v>3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Christian</v>
      </c>
      <c r="B7" s="5" t="str">
        <f>_xlfn.IFNA(VLOOKUP($B$3&amp;ROWS($B$5:B7),Rosters!$B$2:$D$162,3,0),"?")</f>
        <v>Haffner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5</v>
      </c>
      <c r="I7" s="5"/>
      <c r="J7" s="5"/>
      <c r="K7" s="5">
        <v>0</v>
      </c>
      <c r="L7" s="5"/>
      <c r="M7" s="5"/>
      <c r="N7" s="5">
        <v>3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Oscar</v>
      </c>
      <c r="B8" s="6" t="str">
        <f>_xlfn.IFNA(VLOOKUP($B$3&amp;ROWS($B$5:B8),Rosters!$B$2:$D$162,3,0),"?")</f>
        <v>Lopez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Max</v>
      </c>
      <c r="B9" s="5" t="str">
        <f>_xlfn.IFNA(VLOOKUP($B$3&amp;ROWS($B$5:B9),Rosters!$B$2:$D$162,3,0),"?")</f>
        <v>Watson</v>
      </c>
      <c r="C9" s="5">
        <f>_xlfn.IFNA(VLOOKUP($B$3&amp;ROWS($C$5:C9),Rosters!$B$2:$E$162,4,0),"")</f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Quincy</v>
      </c>
      <c r="B10" s="6" t="str">
        <f>_xlfn.IFNA(VLOOKUP($B$3&amp;ROWS($B$5:B10),Rosters!$B$2:$D$162,3,0),"?")</f>
        <v>McGriff</v>
      </c>
      <c r="C10" s="6">
        <f>_xlfn.IFNA(VLOOKUP($B$3&amp;ROWS($C$5:C10),Rosters!$B$2:$E$162,4,0),"")</f>
        <v>5</v>
      </c>
      <c r="E10" s="6">
        <v>2</v>
      </c>
      <c r="H10" s="6">
        <v>0</v>
      </c>
      <c r="K10" s="6">
        <v>0</v>
      </c>
      <c r="N10" s="6">
        <v>1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Nick</v>
      </c>
      <c r="B11" s="5" t="str">
        <f>_xlfn.IFNA(VLOOKUP($B$3&amp;ROWS($B$5:B11),Rosters!$B$2:$D$162,3,0),"?")</f>
        <v>Covington</v>
      </c>
      <c r="C11" s="5">
        <f>_xlfn.IFNA(VLOOKUP($B$3&amp;ROWS($C$5:C11),Rosters!$B$2:$E$162,4,0),"")</f>
        <v>7</v>
      </c>
      <c r="D11" s="5"/>
      <c r="E11" s="5">
        <v>0</v>
      </c>
      <c r="F11" s="5"/>
      <c r="G11" s="5"/>
      <c r="H11" s="5">
        <v>4</v>
      </c>
      <c r="I11" s="5"/>
      <c r="J11" s="5"/>
      <c r="K11" s="5">
        <v>0</v>
      </c>
      <c r="L11" s="5"/>
      <c r="M11" s="5"/>
      <c r="N11" s="5">
        <v>2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tr">
        <f>_xlfn.IFNA(VLOOKUP($B$3&amp;ROWS($A$5:A12),Rosters!$B$2:$C$162,2,0),"?")</f>
        <v>Chase</v>
      </c>
      <c r="B12" s="6" t="str">
        <f>_xlfn.IFNA(VLOOKUP($B$3&amp;ROWS($B$5:B12),Rosters!$B$2:$D$162,3,0),"?")</f>
        <v>Adam</v>
      </c>
      <c r="C12" s="6">
        <f>_xlfn.IFNA(VLOOKUP($B$3&amp;ROWS($C$5:C12),Rosters!$B$2:$E$162,4,0),"")</f>
        <v>10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Tanner</v>
      </c>
      <c r="B13" s="5" t="str">
        <f>_xlfn.IFNA(VLOOKUP($B$3&amp;ROWS($B$5:B13),Rosters!$B$2:$D$162,3,0),"?")</f>
        <v>Cuff</v>
      </c>
      <c r="C13" s="5">
        <f>_xlfn.IFNA(VLOOKUP($B$3&amp;ROWS($C$5:C13),Rosters!$B$2:$E$162,4,0),"")</f>
        <v>11</v>
      </c>
      <c r="D13" s="5"/>
      <c r="E13" s="5">
        <v>4</v>
      </c>
      <c r="F13" s="5"/>
      <c r="G13" s="5"/>
      <c r="H13" s="5">
        <v>5</v>
      </c>
      <c r="I13" s="5"/>
      <c r="J13" s="5"/>
      <c r="K13" s="5">
        <v>0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Jackson</v>
      </c>
      <c r="B14" s="6" t="str">
        <f>_xlfn.IFNA(VLOOKUP($B$3&amp;ROWS($B$5:B14),Rosters!$B$2:$D$162,3,0),"?")</f>
        <v>Last</v>
      </c>
      <c r="C14" s="6">
        <f>_xlfn.IFNA(VLOOKUP($B$3&amp;ROWS($C$5:C14),Rosters!$B$2:$E$162,4,0),"")</f>
        <v>13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 xml:space="preserve">Jaxon </v>
      </c>
      <c r="B15" s="5" t="str">
        <f>_xlfn.IFNA(VLOOKUP($B$3&amp;ROWS($B$5:B15),Rosters!$B$2:$D$162,3,0),"?")</f>
        <v>Pollard</v>
      </c>
      <c r="C15" s="5">
        <f>_xlfn.IFNA(VLOOKUP($B$3&amp;ROWS($C$5:C15),Rosters!$B$2:$E$162,4,0),"")</f>
        <v>15</v>
      </c>
      <c r="D15" s="5"/>
      <c r="E15" s="5">
        <v>3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1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Tyson</v>
      </c>
      <c r="B16" s="6" t="str">
        <f>_xlfn.IFNA(VLOOKUP($B$3&amp;ROWS($B$5:B16),Rosters!$B$2:$D$162,3,0),"?")</f>
        <v>Garff</v>
      </c>
      <c r="C16" s="6">
        <f>_xlfn.IFNA(VLOOKUP($B$3&amp;ROWS($C$5:C16),Rosters!$B$2:$E$162,4,0),"")</f>
        <v>22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Jordan</v>
      </c>
      <c r="B17" s="5" t="str">
        <f>_xlfn.IFNA(VLOOKUP($B$3&amp;ROWS($B$5:B17),Rosters!$B$2:$D$162,3,0),"?")</f>
        <v>Brinson</v>
      </c>
      <c r="C17" s="5">
        <f>_xlfn.IFNA(VLOOKUP($B$3&amp;ROWS($C$5:C17),Rosters!$B$2:$E$162,4,0),"")</f>
        <v>23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13</v>
      </c>
      <c r="H20">
        <f>SUM(H5:H19)</f>
        <v>20</v>
      </c>
      <c r="K20">
        <f>SUM(K5:K19)</f>
        <v>0</v>
      </c>
      <c r="N20">
        <f>SUM(N5:N19)</f>
        <v>11</v>
      </c>
      <c r="Q20">
        <f>SUM(Q5:Q19)</f>
        <v>0</v>
      </c>
      <c r="T20">
        <f>SUM(T5:T19)</f>
        <v>0</v>
      </c>
    </row>
    <row r="21" spans="1:21" x14ac:dyDescent="0.2">
      <c r="A21" s="2" t="s">
        <v>9</v>
      </c>
      <c r="B21" s="1" t="s">
        <v>14</v>
      </c>
    </row>
    <row r="22" spans="1:21" x14ac:dyDescent="0.2">
      <c r="A22" t="s">
        <v>1</v>
      </c>
      <c r="B22" t="s">
        <v>2</v>
      </c>
      <c r="C22" t="s">
        <v>0</v>
      </c>
      <c r="E22" t="s">
        <v>266</v>
      </c>
      <c r="H22" t="s">
        <v>267</v>
      </c>
      <c r="K22" t="s">
        <v>264</v>
      </c>
      <c r="N22" t="s">
        <v>265</v>
      </c>
    </row>
    <row r="23" spans="1:21" s="6" customFormat="1" x14ac:dyDescent="0.2">
      <c r="A23" s="5" t="str">
        <f>_xlfn.IFNA(VLOOKUP($B$21&amp;ROWS($A$23:A23),Rosters!$B$2:$C$162,2,0),"?")</f>
        <v>Marquis</v>
      </c>
      <c r="B23" s="5" t="str">
        <f>_xlfn.IFNA(VLOOKUP($B$21&amp;ROWS($B$23:B23),Rosters!$B$2:$D$162,3,0),"?")</f>
        <v>O’Shea</v>
      </c>
      <c r="C23" s="5">
        <f>_xlfn.IFNA(VLOOKUP($B$21&amp;ROWS($C$23:C23),Rosters!$B$2:$E$162,4,0),"")</f>
        <v>0</v>
      </c>
      <c r="D23" s="5"/>
      <c r="E23" s="5">
        <v>1</v>
      </c>
      <c r="F23" s="5"/>
      <c r="G23" s="5"/>
      <c r="H23" s="5">
        <v>5</v>
      </c>
      <c r="I23" s="5"/>
      <c r="J23" s="5"/>
      <c r="K23" s="5">
        <v>0</v>
      </c>
      <c r="L23" s="5"/>
      <c r="M23" s="5"/>
      <c r="N23" s="5">
        <v>4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Jaren</v>
      </c>
      <c r="B24" s="6" t="str">
        <f>_xlfn.IFNA(VLOOKUP($B$21&amp;ROWS($B$23:B24),Rosters!$B$2:$D$162,3,0),"?")</f>
        <v>McKnight</v>
      </c>
      <c r="C24" s="6">
        <f>_xlfn.IFNA(VLOOKUP($B$21&amp;ROWS($C$23:C24),Rosters!$B$2:$E$162,4,0),"")</f>
        <v>1</v>
      </c>
      <c r="E24" s="6">
        <v>0</v>
      </c>
      <c r="H24" s="6">
        <v>2</v>
      </c>
      <c r="K24" s="6">
        <v>0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Elijah</v>
      </c>
      <c r="B25" s="5" t="str">
        <f>_xlfn.IFNA(VLOOKUP($B$21&amp;ROWS($B$23:B25),Rosters!$B$2:$D$162,3,0),"?")</f>
        <v>Davy</v>
      </c>
      <c r="C25" s="5">
        <f>_xlfn.IFNA(VLOOKUP($B$21&amp;ROWS($C$23:C25),Rosters!$B$2:$E$162,4,0),"")</f>
        <v>4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Jaxon</v>
      </c>
      <c r="B26" s="6" t="str">
        <f>_xlfn.IFNA(VLOOKUP($B$21&amp;ROWS($B$23:B26),Rosters!$B$2:$D$162,3,0),"?")</f>
        <v>Brenchley</v>
      </c>
      <c r="C26" s="6">
        <f>_xlfn.IFNA(VLOOKUP($B$21&amp;ROWS($C$23:C26),Rosters!$B$2:$E$162,4,0),"")</f>
        <v>5</v>
      </c>
      <c r="E26" s="6">
        <v>1</v>
      </c>
      <c r="H26" s="6">
        <v>4</v>
      </c>
      <c r="K26" s="6">
        <v>0</v>
      </c>
      <c r="N26" s="6">
        <v>1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 xml:space="preserve">Jay </v>
      </c>
      <c r="B27" s="5" t="str">
        <f>_xlfn.IFNA(VLOOKUP($B$21&amp;ROWS($B$23:B27),Rosters!$B$2:$D$162,3,0),"?")</f>
        <v>Payne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Jaden</v>
      </c>
      <c r="B28" s="6" t="str">
        <f>_xlfn.IFNA(VLOOKUP($B$21&amp;ROWS($B$23:B28),Rosters!$B$2:$D$162,3,0),"?")</f>
        <v>Vaughn</v>
      </c>
      <c r="C28" s="6">
        <f>_xlfn.IFNA(VLOOKUP($B$21&amp;ROWS($C$23:C28),Rosters!$B$2:$E$162,4,0),"")</f>
        <v>11</v>
      </c>
      <c r="E28" s="6">
        <v>2</v>
      </c>
      <c r="H28" s="6">
        <v>5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Dason</v>
      </c>
      <c r="B29" s="5" t="str">
        <f>_xlfn.IFNA(VLOOKUP($B$21&amp;ROWS($B$23:B29),Rosters!$B$2:$D$162,3,0),"?")</f>
        <v>Youngblood</v>
      </c>
      <c r="C29" s="5">
        <f>_xlfn.IFNA(VLOOKUP($B$21&amp;ROWS($C$23:C29),Rosters!$B$2:$E$162,4,0),"")</f>
        <v>14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Clarke</v>
      </c>
      <c r="C30" s="6">
        <f>_xlfn.IFNA(VLOOKUP($B$21&amp;ROWS($C$23:C30),Rosters!$B$2:$E$162,4,0),"")</f>
        <v>15</v>
      </c>
      <c r="E30" s="6">
        <v>0</v>
      </c>
      <c r="H30" s="6">
        <v>1</v>
      </c>
      <c r="K30" s="6">
        <v>0</v>
      </c>
      <c r="N30" s="6">
        <v>2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Trevin</v>
      </c>
      <c r="B31" s="5" t="str">
        <f>_xlfn.IFNA(VLOOKUP($B$21&amp;ROWS($B$23:B31),Rosters!$B$2:$D$162,3,0),"?")</f>
        <v>Knell</v>
      </c>
      <c r="C31" s="5">
        <f>_xlfn.IFNA(VLOOKUP($B$21&amp;ROWS($C$23:C31),Rosters!$B$2:$E$162,4,0),"")</f>
        <v>21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Hank</v>
      </c>
      <c r="B32" s="6" t="str">
        <f>_xlfn.IFNA(VLOOKUP($B$21&amp;ROWS($B$23:B32),Rosters!$B$2:$D$162,3,0),"?")</f>
        <v>Bushell</v>
      </c>
      <c r="C32" s="6">
        <f>_xlfn.IFNA(VLOOKUP($B$21&amp;ROWS($C$23:C32),Rosters!$B$2:$E$162,4,0),"")</f>
        <v>23</v>
      </c>
      <c r="E32" s="6">
        <v>0</v>
      </c>
      <c r="H32" s="6">
        <v>3</v>
      </c>
      <c r="K32" s="6">
        <v>0</v>
      </c>
      <c r="N32" s="6">
        <v>3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Keon</v>
      </c>
      <c r="B33" s="5" t="str">
        <f>_xlfn.IFNA(VLOOKUP($B$21&amp;ROWS($B$23:B33),Rosters!$B$2:$D$162,3,0),"?")</f>
        <v>Burgout</v>
      </c>
      <c r="C33" s="5">
        <f>_xlfn.IFNA(VLOOKUP($B$21&amp;ROWS($C$23:C33),Rosters!$B$2:$E$162,4,0),"")</f>
        <v>24</v>
      </c>
      <c r="D33" s="5"/>
      <c r="E33" s="5">
        <v>1</v>
      </c>
      <c r="F33" s="5"/>
      <c r="G33" s="5"/>
      <c r="H33" s="5">
        <v>3</v>
      </c>
      <c r="I33" s="5"/>
      <c r="J33" s="5"/>
      <c r="K33" s="5">
        <v>0</v>
      </c>
      <c r="L33" s="5"/>
      <c r="M33" s="5"/>
      <c r="N33" s="5">
        <v>1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Kaleb</v>
      </c>
      <c r="B34" s="6" t="str">
        <f>_xlfn.IFNA(VLOOKUP($B$21&amp;ROWS($B$23:B34),Rosters!$B$2:$D$162,3,0),"?")</f>
        <v>Wilborn</v>
      </c>
      <c r="C34" s="6">
        <f>_xlfn.IFNA(VLOOKUP($B$21&amp;ROWS($C$23:C34),Rosters!$B$2:$E$162,4,0),"")</f>
        <v>25</v>
      </c>
      <c r="D34"/>
      <c r="E34" s="6">
        <v>1</v>
      </c>
      <c r="F34"/>
      <c r="G34"/>
      <c r="H34" s="6">
        <v>2</v>
      </c>
      <c r="I34"/>
      <c r="J34"/>
      <c r="K34" s="6">
        <v>0</v>
      </c>
      <c r="L34"/>
      <c r="M34"/>
      <c r="N34" s="6">
        <v>2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218</v>
      </c>
      <c r="B35" s="5" t="s">
        <v>270</v>
      </c>
      <c r="C35" s="5">
        <v>30</v>
      </c>
      <c r="D35" s="5"/>
      <c r="E35" s="5">
        <v>0</v>
      </c>
      <c r="F35" s="5"/>
      <c r="G35" s="5"/>
      <c r="H35" s="5">
        <v>1</v>
      </c>
      <c r="I35" s="5"/>
      <c r="J35" s="5"/>
      <c r="K35" s="5">
        <v>0</v>
      </c>
      <c r="L35" s="5"/>
      <c r="M35" s="5"/>
      <c r="N35" s="5">
        <v>1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6</v>
      </c>
      <c r="H38">
        <f>SUM(H23:H37)</f>
        <v>26</v>
      </c>
      <c r="K38">
        <f>SUM(K23:K37)</f>
        <v>0</v>
      </c>
      <c r="N38">
        <f>SUM(N23:N37)</f>
        <v>14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sqref="A1:E143"/>
    </sheetView>
  </sheetViews>
  <sheetFormatPr baseColWidth="10" defaultColWidth="11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269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2021-07-24T16:43:41Z</dcterms:modified>
</cp:coreProperties>
</file>