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21T151951Z-001/"/>
    </mc:Choice>
  </mc:AlternateContent>
  <xr:revisionPtr revIDLastSave="0" documentId="13_ncr:1_{B280BD33-16DC-F64B-86E7-57FBC7D7E11B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8" i="2" s="1"/>
  <c r="L11" i="2"/>
  <c r="L12" i="2"/>
  <c r="L13" i="2"/>
  <c r="L14" i="2"/>
  <c r="L15" i="2"/>
  <c r="L16" i="2"/>
  <c r="L17" i="2"/>
  <c r="L3" i="2"/>
  <c r="L37" i="2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M37" i="2"/>
  <c r="M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H10" i="2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G10" i="2"/>
  <c r="C24" i="1"/>
  <c r="H23" i="2" s="1"/>
  <c r="A30" i="1"/>
  <c r="F29" i="2" s="1"/>
  <c r="G17" i="2"/>
  <c r="C10" i="1"/>
  <c r="H8" i="2" s="1"/>
  <c r="A35" i="1"/>
  <c r="F34" i="2" s="1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B35" i="1"/>
  <c r="G34" i="2" s="1"/>
  <c r="B27" i="1"/>
  <c r="G26" i="2" s="1"/>
  <c r="F10" i="2"/>
  <c r="H16" i="2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G14" i="2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F17" i="2"/>
  <c r="B10" i="1"/>
  <c r="G8" i="2" s="1"/>
  <c r="B37" i="1"/>
  <c r="G36" i="2" s="1"/>
  <c r="C34" i="1"/>
  <c r="H33" i="2" s="1"/>
  <c r="C26" i="1"/>
  <c r="H25" i="2" s="1"/>
  <c r="A10" i="1"/>
  <c r="F8" i="2" s="1"/>
  <c r="F14" i="2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D3" i="2"/>
  <c r="H3" i="2"/>
</calcChain>
</file>

<file path=xl/sharedStrings.xml><?xml version="1.0" encoding="utf-8"?>
<sst xmlns="http://schemas.openxmlformats.org/spreadsheetml/2006/main" count="495" uniqueCount="279">
  <si>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</si>
  <si>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</si>
  <si>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</si>
  <si>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</si>
  <si>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</si>
  <si>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</si>
  <si>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</si>
  <si>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</si>
  <si>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</si>
  <si>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</si>
  <si>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</si>
  <si>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</si>
  <si>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</si>
  <si>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</si>
  <si>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</si>
  <si>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</si>
  <si>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</si>
  <si>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</si>
  <si>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</si>
  <si>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</si>
  <si>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</si>
  <si>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</si>
  <si>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</si>
  <si>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</si>
  <si>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</si>
  <si>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</si>
  <si>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</si>
  <si>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</si>
  <si>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</si>
  <si>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</si>
  <si>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</si>
  <si>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</si>
  <si>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</si>
  <si>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</si>
  <si>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</si>
  <si>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</si>
  <si>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</si>
  <si>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</si>
  <si>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</si>
  <si>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</si>
  <si>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</si>
  <si>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</si>
  <si>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</si>
  <si>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</si>
  <si>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</si>
  <si>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</si>
  <si>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</si>
  <si>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</si>
  <si>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</si>
  <si>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</si>
  <si>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</si>
  <si>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</si>
  <si>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</si>
  <si>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</si>
  <si>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</si>
  <si>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</si>
  <si>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</si>
  <si>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</si>
  <si>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</si>
  <si>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</si>
  <si>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</si>
  <si>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</si>
  <si>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</si>
  <si>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</si>
  <si>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</si>
  <si>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</si>
  <si>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</si>
  <si>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</si>
  <si>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</si>
  <si>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</si>
  <si>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</si>
  <si>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</si>
  <si>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</si>
  <si>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</si>
  <si>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</si>
  <si>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</si>
  <si>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</si>
  <si>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</si>
  <si>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</si>
  <si>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</si>
  <si>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</si>
  <si>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</si>
  <si>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</si>
  <si>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</si>
  <si>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</si>
  <si>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</si>
  <si>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</si>
  <si>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</si>
  <si>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</si>
  <si>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</si>
  <si>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</si>
  <si>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</si>
  <si>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</si>
  <si>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</si>
  <si>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</si>
  <si>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</si>
  <si>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</si>
  <si>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</si>
  <si>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</si>
  <si>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</si>
  <si>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</si>
  <si>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</si>
  <si>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</si>
  <si>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</si>
  <si>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</si>
  <si>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</si>
  <si>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</si>
  <si>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</si>
  <si>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</si>
  <si>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</si>
  <si>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</si>
  <si>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</si>
  <si>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</si>
  <si>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</si>
  <si>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</si>
  <si>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</si>
  <si>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</si>
  <si>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</si>
  <si>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</si>
  <si>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</si>
  <si>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</si>
  <si>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</si>
  <si>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</si>
  <si>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</si>
  <si>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</si>
  <si>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</si>
  <si>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</si>
  <si>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</si>
  <si>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</si>
  <si>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</si>
  <si>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</si>
  <si>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</si>
  <si>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</si>
  <si>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</si>
  <si>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</si>
  <si>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</si>
  <si>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</si>
  <si>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</si>
  <si>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</si>
  <si>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</si>
  <si>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</si>
  <si>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</si>
  <si>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</si>
  <si>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</si>
  <si>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</si>
  <si>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</si>
  <si>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</si>
  <si>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</si>
  <si>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</si>
  <si>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</si>
  <si>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</si>
  <si>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</si>
  <si>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</si>
  <si>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</si>
  <si>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</si>
  <si>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</si>
  <si>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</si>
  <si>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</si>
  <si>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</si>
  <si>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</si>
  <si>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</si>
  <si>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</si>
  <si>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</si>
  <si>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</si>
  <si>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</si>
  <si>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</si>
  <si>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</si>
  <si>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</si>
  <si>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</si>
  <si>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</si>
  <si>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</si>
  <si>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</si>
  <si>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</si>
  <si>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</si>
  <si>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</si>
  <si>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</si>
  <si>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</si>
  <si>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</si>
  <si>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</si>
  <si>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</si>
  <si>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</si>
  <si>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</si>
  <si>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</si>
  <si>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</si>
  <si>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</si>
  <si>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</si>
  <si>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</si>
  <si>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</si>
  <si>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</si>
  <si>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</si>
  <si>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</si>
  <si>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</si>
  <si>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</si>
  <si>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</si>
  <si>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</si>
  <si>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</si>
  <si>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</si>
  <si>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</si>
  <si>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</si>
  <si>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</si>
  <si>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</si>
  <si>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</si>
  <si>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</si>
  <si>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</si>
  <si>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</si>
  <si>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</si>
  <si>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</si>
  <si>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</si>
  <si>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</si>
  <si>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</si>
  <si>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</si>
  <si>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</si>
  <si>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</si>
  <si>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</si>
  <si>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</si>
  <si>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</si>
  <si>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</si>
  <si>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</si>
  <si>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</si>
  <si>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</si>
  <si>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</si>
  <si>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</si>
  <si>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</si>
  <si>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</si>
  <si>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</si>
  <si>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</si>
  <si>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</si>
  <si>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</si>
  <si>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</si>
  <si>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</si>
  <si>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</si>
  <si>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</si>
  <si>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</si>
  <si>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</si>
  <si>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</si>
  <si>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</si>
  <si>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</si>
  <si>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</si>
  <si>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</si>
  <si>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</si>
  <si>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</si>
  <si>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</si>
  <si>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</si>
  <si>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</si>
  <si>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</si>
  <si>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</si>
  <si>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</si>
  <si>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</si>
  <si>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</si>
  <si>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</si>
  <si>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</si>
  <si>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</si>
  <si>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</si>
  <si>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</si>
  <si>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</si>
  <si>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</si>
  <si>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</si>
  <si>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</si>
  <si>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</si>
  <si>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</si>
  <si>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</si>
  <si>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</si>
  <si>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</si>
  <si>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</si>
  <si>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</si>
  <si>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</si>
  <si>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</si>
  <si>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</si>
  <si>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</si>
  <si>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Barzin</t>
  </si>
  <si>
    <t>Baban</t>
  </si>
  <si>
    <t>STLS</t>
  </si>
  <si>
    <t>Yannick</t>
  </si>
  <si>
    <t>Liunga</t>
  </si>
  <si>
    <t>Hiden</t>
  </si>
  <si>
    <t>Brian</t>
  </si>
  <si>
    <t>Roland</t>
  </si>
  <si>
    <t>Bodman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</si>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</sst>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D1" workbookViewId="0">
      <selection activeCell="H11" sqref="H1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265</v>
      </c>
      <c r="F1" t="s">
        <v>3</v>
      </c>
      <c r="G1" t="str">
        <f>'Stats G2'!B3</f>
        <v>Draney</v>
      </c>
    </row>
    <row r="2" spans="2:13" x14ac:dyDescent="0.2">
      <c r="B2" t="str">
        <f>G1</f>
        <v>Draney</v>
      </c>
      <c r="D2" t="str">
        <f>G20</f>
        <v>Roberts</v>
      </c>
      <c r="F2" t="s">
        <v>1</v>
      </c>
      <c r="G2" t="s">
        <v>2</v>
      </c>
      <c r="H2" t="s">
        <v>0</v>
      </c>
      <c r="I2" t="s">
        <v>266</v>
      </c>
      <c r="J2" t="s">
        <v>261</v>
      </c>
      <c r="K2" t="s">
        <v>262</v>
      </c>
      <c r="L2" t="s">
        <v>278</v>
      </c>
      <c r="M2" t="s">
        <v>264</v>
      </c>
    </row>
    <row r="3" spans="2:13" x14ac:dyDescent="0.2">
      <c r="B3">
        <f>I18</f>
        <v>12</v>
      </c>
      <c r="C3" s="3" t="s">
        <v>6</v>
      </c>
      <c r="D3" s="4">
        <f>J37</f>
        <v>10</v>
      </c>
      <c r="F3" t="str">
        <f>'Stats G2'!A5</f>
        <v>Roman</v>
      </c>
      <c r="G3" t="str">
        <f>'Stats G2'!B5</f>
        <v>McKnight</v>
      </c>
      <c r="H3">
        <f>'Stats G2'!C5</f>
        <v>0</v>
      </c>
      <c r="I3">
        <f>'Stats G2'!E5</f>
        <v>1</v>
      </c>
      <c r="J3">
        <f>'Stats G2'!H5</f>
        <v>2</v>
      </c>
      <c r="K3">
        <f>'Stats G2'!K5</f>
        <v>0</v>
      </c>
      <c r="L3">
        <f>'Stats G2'!N5</f>
        <v>2</v>
      </c>
    </row>
    <row r="4" spans="2:13" x14ac:dyDescent="0.2">
      <c r="F4" t="str">
        <f>'Stats G2'!A6</f>
        <v xml:space="preserve">Brendan </v>
      </c>
      <c r="G4" t="str">
        <f>'Stats G2'!B6</f>
        <v>Bailey</v>
      </c>
      <c r="H4">
        <f>'Stats G2'!C6</f>
        <v>1</v>
      </c>
      <c r="I4">
        <f>'Stats G2'!E6</f>
        <v>0</v>
      </c>
      <c r="J4">
        <f>'Stats G2'!H6</f>
        <v>0</v>
      </c>
      <c r="K4">
        <f>'Stats G2'!K6</f>
        <v>0</v>
      </c>
      <c r="L4">
        <f>'Stats G2'!N6</f>
        <v>0</v>
      </c>
    </row>
    <row r="5" spans="2:13" x14ac:dyDescent="0.2">
      <c r="F5" t="str">
        <f>'Stats G2'!A7</f>
        <v>Marquis</v>
      </c>
      <c r="G5" t="str">
        <f>'Stats G2'!B7</f>
        <v>Velez</v>
      </c>
      <c r="H5">
        <f>'Stats G2'!C7</f>
        <v>2</v>
      </c>
      <c r="I5">
        <f>'Stats G2'!E7</f>
        <v>0</v>
      </c>
      <c r="J5">
        <f>'Stats G2'!H7</f>
        <v>0</v>
      </c>
      <c r="K5">
        <f>'Stats G2'!K7</f>
        <v>0</v>
      </c>
      <c r="L5">
        <f>'Stats G2'!N7</f>
        <v>0</v>
      </c>
    </row>
    <row r="6" spans="2:13" x14ac:dyDescent="0.2">
      <c r="F6" t="str">
        <f>'Stats G2'!A8</f>
        <v>Marcus</v>
      </c>
      <c r="G6" t="str">
        <f>'Stats G2'!B8</f>
        <v>Draney</v>
      </c>
      <c r="H6">
        <f>'Stats G2'!C8</f>
        <v>4</v>
      </c>
      <c r="I6">
        <f>'Stats G2'!E8</f>
        <v>0</v>
      </c>
      <c r="J6">
        <f>'Stats G2'!H8</f>
        <v>0</v>
      </c>
      <c r="K6">
        <f>'Stats G2'!K8</f>
        <v>0</v>
      </c>
      <c r="L6">
        <f>'Stats G2'!N8</f>
        <v>0</v>
      </c>
    </row>
    <row r="7" spans="2:13" x14ac:dyDescent="0.2">
      <c r="F7" t="str">
        <f>'Stats G2'!A9</f>
        <v>Stefan</v>
      </c>
      <c r="G7" t="str">
        <f>'Stats G2'!B9</f>
        <v>Briggs</v>
      </c>
      <c r="H7">
        <f>'Stats G2'!C9</f>
        <v>8</v>
      </c>
      <c r="I7">
        <f>'Stats G2'!E9</f>
        <v>0</v>
      </c>
      <c r="J7">
        <f>'Stats G2'!H9</f>
        <v>0</v>
      </c>
      <c r="K7">
        <f>'Stats G2'!K9</f>
        <v>0</v>
      </c>
      <c r="L7">
        <f>'Stats G2'!N9</f>
        <v>0</v>
      </c>
    </row>
    <row r="8" spans="2:13" x14ac:dyDescent="0.2">
      <c r="F8" t="str">
        <f>'Stats G2'!A10</f>
        <v>Derrick</v>
      </c>
      <c r="G8" t="str">
        <f>'Stats G2'!B10</f>
        <v>Buys</v>
      </c>
      <c r="H8">
        <f>'Stats G2'!C10</f>
        <v>11</v>
      </c>
      <c r="I8">
        <f>'Stats G2'!E10</f>
        <v>0</v>
      </c>
      <c r="J8">
        <f>'Stats G2'!H10</f>
        <v>0</v>
      </c>
      <c r="K8">
        <f>'Stats G2'!K10</f>
        <v>0</v>
      </c>
      <c r="L8">
        <f>'Stats G2'!N10</f>
        <v>0</v>
      </c>
    </row>
    <row r="9" spans="2:13" x14ac:dyDescent="0.2">
      <c r="F9" t="str">
        <f>'Stats G2'!A11</f>
        <v>James</v>
      </c>
      <c r="G9" t="str">
        <f>'Stats G2'!B11</f>
        <v>Kamich</v>
      </c>
      <c r="H9">
        <f>'Stats G2'!C11</f>
        <v>22</v>
      </c>
      <c r="I9">
        <f>'Stats G2'!E11</f>
        <v>0</v>
      </c>
      <c r="J9">
        <f>'Stats G2'!H11</f>
        <v>0</v>
      </c>
      <c r="K9">
        <f>'Stats G2'!K11</f>
        <v>0</v>
      </c>
      <c r="L9">
        <f>'Stats G2'!N11</f>
        <v>0</v>
      </c>
    </row>
    <row r="10" spans="2:13" x14ac:dyDescent="0.2">
      <c r="F10" t="str">
        <f>'Stats G2'!A12</f>
        <v>Roland</v>
      </c>
      <c r="G10" t="str">
        <f>'Stats G2'!B12</f>
        <v>Bodman</v>
      </c>
      <c r="H10">
        <f>'Stats G2'!C12</f>
        <v>10</v>
      </c>
      <c r="I10">
        <f>'Stats G2'!E12</f>
        <v>1</v>
      </c>
      <c r="J10">
        <f>'Stats G2'!H12</f>
        <v>0</v>
      </c>
      <c r="K10">
        <f>'Stats G2'!K12</f>
        <v>0</v>
      </c>
      <c r="L10">
        <f>'Stats G2'!N12</f>
        <v>0</v>
      </c>
    </row>
    <row r="11" spans="2:13" x14ac:dyDescent="0.2">
      <c r="F11" t="str">
        <f>'Stats G2'!A13</f>
        <v>Darrian</v>
      </c>
      <c r="G11" t="str">
        <f>'Stats G2'!B13</f>
        <v>Briggs</v>
      </c>
      <c r="H11">
        <f>'Stats G2'!C13</f>
        <v>22</v>
      </c>
      <c r="I11">
        <f>'Stats G2'!E13</f>
        <v>4</v>
      </c>
      <c r="J11">
        <f>'Stats G2'!H13</f>
        <v>7</v>
      </c>
      <c r="K11">
        <f>'Stats G2'!K13</f>
        <v>0</v>
      </c>
      <c r="L11">
        <f>'Stats G2'!N13</f>
        <v>1</v>
      </c>
    </row>
    <row r="12" spans="2:13" x14ac:dyDescent="0.2">
      <c r="F12" t="str">
        <f>'Stats G2'!A14</f>
        <v>Deonte</v>
      </c>
      <c r="G12" t="str">
        <f>'Stats G2'!B14</f>
        <v>Burton</v>
      </c>
      <c r="H12">
        <f>'Stats G2'!C14</f>
        <v>24</v>
      </c>
      <c r="I12">
        <f>'Stats G2'!E14</f>
        <v>0</v>
      </c>
      <c r="J12">
        <f>'Stats G2'!H14</f>
        <v>0</v>
      </c>
      <c r="K12">
        <f>'Stats G2'!K14</f>
        <v>0</v>
      </c>
      <c r="L12">
        <f>'Stats G2'!N14</f>
        <v>0</v>
      </c>
    </row>
    <row r="13" spans="2:13" x14ac:dyDescent="0.2">
      <c r="F13" t="str">
        <f>'Stats G2'!A15</f>
        <v>Jarret</v>
      </c>
      <c r="G13" t="str">
        <f>'Stats G2'!B15</f>
        <v>Jordan</v>
      </c>
      <c r="H13">
        <f>'Stats G2'!C15</f>
        <v>25</v>
      </c>
      <c r="I13">
        <f>'Stats G2'!E15</f>
        <v>0</v>
      </c>
      <c r="J13">
        <f>'Stats G2'!H15</f>
        <v>0</v>
      </c>
      <c r="K13">
        <f>'Stats G2'!K15</f>
        <v>0</v>
      </c>
      <c r="L13">
        <f>'Stats G2'!N15</f>
        <v>0</v>
      </c>
    </row>
    <row r="14" spans="2:13" x14ac:dyDescent="0.2">
      <c r="F14" t="str">
        <f>'Stats G2'!A16</f>
        <v>Jackson</v>
      </c>
      <c r="G14" t="str">
        <f>'Stats G2'!B16</f>
        <v>Hiden</v>
      </c>
      <c r="H14">
        <f>'Stats G2'!C16</f>
        <v>30</v>
      </c>
      <c r="I14">
        <f>'Stats G2'!E16</f>
        <v>2</v>
      </c>
      <c r="J14">
        <f>'Stats G2'!H16</f>
        <v>0</v>
      </c>
      <c r="K14">
        <f>'Stats G2'!K16</f>
        <v>1</v>
      </c>
      <c r="L14">
        <f>'Stats G2'!N16</f>
        <v>0</v>
      </c>
    </row>
    <row r="15" spans="2:13" x14ac:dyDescent="0.2">
      <c r="F15" t="str">
        <f>'Stats G2'!A17</f>
        <v>Barzin</v>
      </c>
      <c r="G15" t="str">
        <f>'Stats G2'!B17</f>
        <v>Baban</v>
      </c>
      <c r="H15">
        <f>'Stats G2'!C17</f>
        <v>13</v>
      </c>
      <c r="I15">
        <f>'Stats G2'!E17</f>
        <v>0</v>
      </c>
      <c r="J15">
        <f>'Stats G2'!H17</f>
        <v>0</v>
      </c>
      <c r="K15">
        <f>'Stats G2'!K17</f>
        <v>0</v>
      </c>
      <c r="L15">
        <f>'Stats G2'!N17</f>
        <v>0</v>
      </c>
    </row>
    <row r="16" spans="2:13" x14ac:dyDescent="0.2">
      <c r="F16" t="str">
        <f>'Stats G2'!A18</f>
        <v>Yannick</v>
      </c>
      <c r="G16" t="str">
        <f>'Stats G2'!B18</f>
        <v>Liunga</v>
      </c>
      <c r="H16">
        <f>'Stats G2'!C18</f>
        <v>55</v>
      </c>
      <c r="I16">
        <f>'Stats G2'!E18</f>
        <v>3</v>
      </c>
      <c r="J16">
        <f>'Stats G2'!H18</f>
        <v>4</v>
      </c>
      <c r="K16">
        <f>'Stats G2'!K18</f>
        <v>2</v>
      </c>
      <c r="L16">
        <f>'Stats G2'!N18</f>
        <v>1</v>
      </c>
    </row>
    <row r="17" spans="6:13" x14ac:dyDescent="0.2">
      <c r="F17" t="str">
        <f>'Stats G2'!A19</f>
        <v>Brian</v>
      </c>
      <c r="G17" t="str">
        <f>'Stats G2'!B19</f>
        <v>Nunn</v>
      </c>
      <c r="H17">
        <f>'Stats G2'!C19</f>
        <v>32</v>
      </c>
      <c r="I17">
        <f>'Stats G2'!E19</f>
        <v>1</v>
      </c>
      <c r="J17">
        <f>'Stats G2'!H19</f>
        <v>1</v>
      </c>
      <c r="K17">
        <f>'Stats G2'!K19</f>
        <v>1</v>
      </c>
      <c r="L17">
        <f>'Stats G2'!N19</f>
        <v>5</v>
      </c>
    </row>
    <row r="18" spans="6:13" x14ac:dyDescent="0.2">
      <c r="H18" s="2" t="s">
        <v>5</v>
      </c>
      <c r="I18">
        <f>SUM(I3:I17)</f>
        <v>12</v>
      </c>
      <c r="J18">
        <f>SUM(J3:J17)</f>
        <v>14</v>
      </c>
      <c r="K18">
        <f>SUM(K3:K17)</f>
        <v>4</v>
      </c>
      <c r="L18">
        <f>SUM(L3:L17)</f>
        <v>9</v>
      </c>
      <c r="M18">
        <f>'Stats G2'!W5</f>
        <v>1</v>
      </c>
    </row>
    <row r="20" spans="6:13" x14ac:dyDescent="0.2">
      <c r="F20" t="s">
        <v>4</v>
      </c>
      <c r="G20" t="str">
        <f>'Stats G2'!B21</f>
        <v>Roberts</v>
      </c>
    </row>
    <row r="21" spans="6:13" x14ac:dyDescent="0.2">
      <c r="F21" t="s">
        <v>1</v>
      </c>
      <c r="G21" t="s">
        <v>2</v>
      </c>
      <c r="H21" t="s">
        <v>0</v>
      </c>
      <c r="I21" t="s">
        <v>266</v>
      </c>
      <c r="J21" t="s">
        <v>261</v>
      </c>
      <c r="K21" t="s">
        <v>262</v>
      </c>
      <c r="L21" t="s">
        <v>278</v>
      </c>
      <c r="M21" t="s">
        <v>264</v>
      </c>
    </row>
    <row r="22" spans="6:13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G2'!E23</f>
        <v>0</v>
      </c>
      <c r="J22">
        <f>'Stats G2'!H23</f>
        <v>0</v>
      </c>
      <c r="K22">
        <f>'Stats G2'!K23</f>
        <v>0</v>
      </c>
      <c r="L22">
        <f>'Stats G2'!N23</f>
        <v>0</v>
      </c>
    </row>
    <row r="23" spans="6:13" x14ac:dyDescent="0.2">
      <c r="F23" t="str">
        <f>'Stats G2'!A24</f>
        <v>Charles</v>
      </c>
      <c r="G23" t="str">
        <f>'Stats G2'!B24</f>
        <v>Nunn</v>
      </c>
      <c r="H23">
        <f>'Stats G2'!C24</f>
        <v>1</v>
      </c>
      <c r="I23">
        <f>'Stats G2'!E24</f>
        <v>0</v>
      </c>
      <c r="J23">
        <f>'Stats G2'!H24</f>
        <v>1</v>
      </c>
      <c r="K23">
        <f>'Stats G2'!K24</f>
        <v>0</v>
      </c>
      <c r="L23">
        <f>'Stats G2'!N24</f>
        <v>0</v>
      </c>
    </row>
    <row r="24" spans="6:13" x14ac:dyDescent="0.2">
      <c r="F24" t="str">
        <f>'Stats G2'!A25</f>
        <v>Brandon</v>
      </c>
      <c r="G24" t="str">
        <f>'Stats G2'!B25</f>
        <v>Sly</v>
      </c>
      <c r="H24">
        <f>'Stats G2'!C25</f>
        <v>2</v>
      </c>
      <c r="I24">
        <f>'Stats G2'!E25</f>
        <v>5</v>
      </c>
      <c r="J24">
        <f>'Stats G2'!H25</f>
        <v>2</v>
      </c>
      <c r="K24">
        <f>'Stats G2'!K25</f>
        <v>0</v>
      </c>
      <c r="L24">
        <f>'Stats G2'!N25</f>
        <v>0</v>
      </c>
    </row>
    <row r="25" spans="6:13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G2'!E26</f>
        <v>0</v>
      </c>
      <c r="J25">
        <f>'Stats G2'!H26</f>
        <v>0</v>
      </c>
      <c r="K25">
        <f>'Stats G2'!K26</f>
        <v>0</v>
      </c>
      <c r="L25">
        <f>'Stats G2'!N26</f>
        <v>0</v>
      </c>
    </row>
    <row r="26" spans="6:13" x14ac:dyDescent="0.2">
      <c r="F26" t="str">
        <f>'Stats G2'!A27</f>
        <v>Jaleel</v>
      </c>
      <c r="G26" t="str">
        <f>'Stats G2'!B27</f>
        <v>Roberts</v>
      </c>
      <c r="H26">
        <f>'Stats G2'!C27</f>
        <v>9</v>
      </c>
      <c r="I26">
        <f>'Stats G2'!E27</f>
        <v>1</v>
      </c>
      <c r="J26">
        <f>'Stats G2'!H27</f>
        <v>1</v>
      </c>
      <c r="K26">
        <f>'Stats G2'!K27</f>
        <v>3</v>
      </c>
      <c r="L26">
        <f>'Stats G2'!N27</f>
        <v>0</v>
      </c>
    </row>
    <row r="27" spans="6:13" x14ac:dyDescent="0.2">
      <c r="F27" t="str">
        <f>'Stats G2'!A28</f>
        <v>Rayjon</v>
      </c>
      <c r="G27" t="str">
        <f>'Stats G2'!B28</f>
        <v>Tucker</v>
      </c>
      <c r="H27">
        <f>'Stats G2'!C28</f>
        <v>9</v>
      </c>
      <c r="I27">
        <f>'Stats G2'!E28</f>
        <v>0</v>
      </c>
      <c r="J27">
        <f>'Stats G2'!H28</f>
        <v>0</v>
      </c>
      <c r="K27">
        <f>'Stats G2'!K28</f>
        <v>0</v>
      </c>
      <c r="L27">
        <f>'Stats G2'!N28</f>
        <v>0</v>
      </c>
    </row>
    <row r="28" spans="6:13" x14ac:dyDescent="0.2">
      <c r="F28" t="str">
        <f>'Stats G2'!A29</f>
        <v>Kentrell</v>
      </c>
      <c r="G28" t="str">
        <f>'Stats G2'!B29</f>
        <v>Barkley</v>
      </c>
      <c r="H28">
        <f>'Stats G2'!C29</f>
        <v>12</v>
      </c>
      <c r="I28">
        <f>'Stats G2'!E29</f>
        <v>4</v>
      </c>
      <c r="J28">
        <f>'Stats G2'!H29</f>
        <v>0</v>
      </c>
      <c r="K28">
        <f>'Stats G2'!K29</f>
        <v>0</v>
      </c>
      <c r="L28">
        <f>'Stats G2'!N29</f>
        <v>2</v>
      </c>
    </row>
    <row r="29" spans="6:13" x14ac:dyDescent="0.2">
      <c r="F29" t="str">
        <f>'Stats G2'!A30</f>
        <v>Dontay</v>
      </c>
      <c r="G29" t="str">
        <f>'Stats G2'!B30</f>
        <v>Bassett</v>
      </c>
      <c r="H29">
        <f>'Stats G2'!C30</f>
        <v>13</v>
      </c>
      <c r="I29">
        <f>'Stats G2'!E30</f>
        <v>0</v>
      </c>
      <c r="J29">
        <f>'Stats G2'!H30</f>
        <v>0</v>
      </c>
      <c r="K29">
        <f>'Stats G2'!K30</f>
        <v>0</v>
      </c>
      <c r="L29">
        <f>'Stats G2'!N30</f>
        <v>0</v>
      </c>
    </row>
    <row r="30" spans="6:13" x14ac:dyDescent="0.2">
      <c r="F30" t="str">
        <f>'Stats G2'!A31</f>
        <v>Kyndahl</v>
      </c>
      <c r="G30" t="str">
        <f>'Stats G2'!B31</f>
        <v>Hill</v>
      </c>
      <c r="H30">
        <f>'Stats G2'!C31</f>
        <v>15</v>
      </c>
      <c r="I30">
        <f>'Stats G2'!E31</f>
        <v>0</v>
      </c>
      <c r="J30">
        <f>'Stats G2'!H31</f>
        <v>1</v>
      </c>
      <c r="K30">
        <f>'Stats G2'!K31</f>
        <v>2</v>
      </c>
      <c r="L30">
        <f>'Stats G2'!N31</f>
        <v>1</v>
      </c>
    </row>
    <row r="31" spans="6:13" x14ac:dyDescent="0.2">
      <c r="F31" t="str">
        <f>'Stats G2'!A32</f>
        <v>Jordan</v>
      </c>
      <c r="G31" t="str">
        <f>'Stats G2'!B32</f>
        <v>Loveridge</v>
      </c>
      <c r="H31">
        <f>'Stats G2'!C32</f>
        <v>21</v>
      </c>
      <c r="I31">
        <f>'Stats G2'!E32</f>
        <v>5</v>
      </c>
      <c r="J31">
        <f>'Stats G2'!H32</f>
        <v>0</v>
      </c>
      <c r="K31">
        <f>'Stats G2'!K32</f>
        <v>1</v>
      </c>
      <c r="L31">
        <f>'Stats G2'!N32</f>
        <v>1</v>
      </c>
    </row>
    <row r="32" spans="6:13" x14ac:dyDescent="0.2">
      <c r="F32" t="str">
        <f>'Stats G2'!A33</f>
        <v>Thomas</v>
      </c>
      <c r="G32" t="str">
        <f>'Stats G2'!B33</f>
        <v>Bullock</v>
      </c>
      <c r="H32">
        <f>'Stats G2'!C33</f>
        <v>22</v>
      </c>
      <c r="I32">
        <f>'Stats G2'!E33</f>
        <v>3</v>
      </c>
      <c r="J32">
        <f>'Stats G2'!H33</f>
        <v>4</v>
      </c>
      <c r="K32">
        <f>'Stats G2'!K33</f>
        <v>0</v>
      </c>
      <c r="L32">
        <f>'Stats G2'!N33</f>
        <v>1</v>
      </c>
    </row>
    <row r="33" spans="6:13" x14ac:dyDescent="0.2">
      <c r="F33" t="str">
        <f>'Stats G2'!A34</f>
        <v>Brendan</v>
      </c>
      <c r="G33" t="str">
        <f>'Stats G2'!B34</f>
        <v>Morris</v>
      </c>
      <c r="H33">
        <f>'Stats G2'!C34</f>
        <v>23</v>
      </c>
      <c r="I33">
        <f>'Stats G2'!E34</f>
        <v>5</v>
      </c>
      <c r="J33">
        <f>'Stats G2'!H34</f>
        <v>0</v>
      </c>
      <c r="K33">
        <f>'Stats G2'!K34</f>
        <v>0</v>
      </c>
      <c r="L33">
        <f>'Stats G2'!N34</f>
        <v>0</v>
      </c>
    </row>
    <row r="34" spans="6:13" x14ac:dyDescent="0.2">
      <c r="F34" t="str">
        <f>'Stats G2'!A35</f>
        <v>Demarcus</v>
      </c>
      <c r="G34" t="str">
        <f>'Stats G2'!B35</f>
        <v>Harrison</v>
      </c>
      <c r="H34">
        <f>'Stats G2'!C35</f>
        <v>31</v>
      </c>
      <c r="I34">
        <f>'Stats G2'!E35</f>
        <v>0</v>
      </c>
      <c r="J34">
        <f>'Stats G2'!H35</f>
        <v>1</v>
      </c>
      <c r="K34">
        <f>'Stats G2'!K35</f>
        <v>0</v>
      </c>
      <c r="L34">
        <f>'Stats G2'!N35</f>
        <v>1</v>
      </c>
    </row>
    <row r="35" spans="6:13" x14ac:dyDescent="0.2">
      <c r="F35" t="str">
        <f>'Stats G2'!A36</f>
        <v>?</v>
      </c>
      <c r="G35" t="str">
        <f>'Stats G2'!B36</f>
        <v>?</v>
      </c>
      <c r="H35">
        <f>'Stats G2'!C36</f>
        <v>0</v>
      </c>
      <c r="I35">
        <f>'Stats G2'!E36</f>
        <v>0</v>
      </c>
      <c r="J35">
        <f>'Stats G2'!H36</f>
        <v>0</v>
      </c>
      <c r="K35">
        <f>'Stats G2'!K36</f>
        <v>0</v>
      </c>
      <c r="L35">
        <f>'Stats G2'!N36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  <c r="L36">
        <f>'Stats G2'!N37</f>
        <v>0</v>
      </c>
    </row>
    <row r="37" spans="6:13" x14ac:dyDescent="0.2">
      <c r="H37" s="2" t="s">
        <v>5</v>
      </c>
      <c r="I37">
        <f>SUM(I22:I36)</f>
        <v>23</v>
      </c>
      <c r="J37">
        <f>SUM(J22:J36)</f>
        <v>10</v>
      </c>
      <c r="K37">
        <f>SUM(K22:K36)</f>
        <v>6</v>
      </c>
      <c r="L37">
        <f>SUM(L22:L36)</f>
        <v>6</v>
      </c>
      <c r="M37">
        <f>'Stats G2'!W23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Z14" sqref="Z1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16</v>
      </c>
    </row>
    <row r="4" spans="1:23" x14ac:dyDescent="0.2">
      <c r="A4" t="s">
        <v>1</v>
      </c>
      <c r="B4" t="s">
        <v>2</v>
      </c>
      <c r="C4" t="s">
        <v>0</v>
      </c>
      <c r="E4" t="s">
        <v>266</v>
      </c>
      <c r="H4" t="s">
        <v>261</v>
      </c>
      <c r="K4" t="s">
        <v>262</v>
      </c>
      <c r="N4" t="s">
        <v>271</v>
      </c>
    </row>
    <row r="5" spans="1:23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2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263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 xml:space="preserve">Brendan </v>
      </c>
      <c r="B6" s="6" t="str">
        <f>_xlfn.IFNA(VLOOKUP($B$3&amp;ROWS($B$5:B6),Rosters!$B$2:$D$162,3,0),"?")</f>
        <v>Bailey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Derrick</v>
      </c>
      <c r="B10" s="6" t="str">
        <f>_xlfn.IFNA(VLOOKUP($B$3&amp;ROWS($B$5:B10),Rosters!$B$2:$D$162,3,0),"?")</f>
        <v>Buys</v>
      </c>
      <c r="C10" s="6">
        <f>_xlfn.IFNA(VLOOKUP($B$3&amp;ROWS($C$5:C10),Rosters!$B$2:$E$162,4,0),"")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">
        <v>276</v>
      </c>
      <c r="B12" s="6" t="s">
        <v>277</v>
      </c>
      <c r="C12" s="6">
        <v>10</v>
      </c>
      <c r="E12" s="6">
        <v>1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4</v>
      </c>
      <c r="F13" s="5"/>
      <c r="G13" s="5"/>
      <c r="H13" s="5">
        <v>7</v>
      </c>
      <c r="I13" s="5"/>
      <c r="J13" s="5"/>
      <c r="K13" s="5">
        <v>0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">
        <v>148</v>
      </c>
      <c r="B16" s="6" t="s">
        <v>274</v>
      </c>
      <c r="C16" s="6">
        <f>_xlfn.IFNA(VLOOKUP($B$3&amp;ROWS($C$5:C16),Rosters!$B$2:$E$162,4,0),"")</f>
        <v>30</v>
      </c>
      <c r="E16" s="6">
        <v>2</v>
      </c>
      <c r="H16" s="6">
        <v>0</v>
      </c>
      <c r="K16" s="6">
        <v>1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">
        <v>269</v>
      </c>
      <c r="B17" s="5" t="s">
        <v>270</v>
      </c>
      <c r="C17" s="5">
        <v>13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">
        <v>272</v>
      </c>
      <c r="B18" s="6" t="s">
        <v>273</v>
      </c>
      <c r="C18" s="6">
        <v>55</v>
      </c>
      <c r="E18" s="6">
        <v>3</v>
      </c>
      <c r="H18" s="6">
        <v>4</v>
      </c>
      <c r="K18" s="6">
        <v>2</v>
      </c>
      <c r="N18" s="6">
        <v>1</v>
      </c>
      <c r="Q18" s="6">
        <v>0</v>
      </c>
      <c r="T18" s="6">
        <v>0</v>
      </c>
    </row>
    <row r="19" spans="1:22" s="6" customFormat="1" x14ac:dyDescent="0.2">
      <c r="A19" s="5" t="s">
        <v>275</v>
      </c>
      <c r="B19" s="5" t="s">
        <v>48</v>
      </c>
      <c r="C19" s="5">
        <v>32</v>
      </c>
      <c r="D19" s="5"/>
      <c r="E19" s="5">
        <v>1</v>
      </c>
      <c r="F19" s="5"/>
      <c r="G19" s="5"/>
      <c r="H19" s="5">
        <v>1</v>
      </c>
      <c r="I19" s="5"/>
      <c r="J19" s="5"/>
      <c r="K19" s="5">
        <v>1</v>
      </c>
      <c r="L19" s="5"/>
      <c r="M19" s="5"/>
      <c r="N19" s="5">
        <v>5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12</v>
      </c>
      <c r="H20">
        <f>SUM(H5:H19)</f>
        <v>14</v>
      </c>
      <c r="K20">
        <f>SUM(K5:K19)</f>
        <v>4</v>
      </c>
      <c r="N20">
        <f>SUM(N5:N19)</f>
        <v>9</v>
      </c>
      <c r="Q20">
        <f>SUM(Q5:Q19)</f>
        <v>0</v>
      </c>
      <c r="T20">
        <f>SUM(T5:T19)</f>
        <v>0</v>
      </c>
    </row>
    <row r="21" spans="1:22" x14ac:dyDescent="0.2">
      <c r="A21" s="2" t="s">
        <v>8</v>
      </c>
      <c r="B21" s="1" t="s">
        <v>21</v>
      </c>
    </row>
    <row r="22" spans="1:22" x14ac:dyDescent="0.2">
      <c r="A22" t="s">
        <v>1</v>
      </c>
      <c r="B22" t="s">
        <v>2</v>
      </c>
      <c r="C22" t="s">
        <v>0</v>
      </c>
      <c r="E22" t="s">
        <v>266</v>
      </c>
      <c r="H22" t="s">
        <v>261</v>
      </c>
      <c r="K22" t="s">
        <v>262</v>
      </c>
      <c r="N22" t="s">
        <v>271</v>
      </c>
    </row>
    <row r="23" spans="1:22" s="6" customFormat="1" x14ac:dyDescent="0.2">
      <c r="A23" s="5" t="str">
        <f>_xlfn.IFNA(VLOOKUP($B$21&amp;ROWS($A$23:A23),Rosters!$B$2:$C$162,2,0),"?")</f>
        <v>Tone</v>
      </c>
      <c r="B23" s="5" t="str">
        <f>_xlfn.IFNA(VLOOKUP($B$21&amp;ROWS($B$23:B23),Rosters!$B$2:$D$162,3,0),"?")</f>
        <v>Anderson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263</v>
      </c>
    </row>
    <row r="24" spans="1:22" s="6" customFormat="1" x14ac:dyDescent="0.2">
      <c r="A24" s="6" t="str">
        <f>_xlfn.IFNA(VLOOKUP($B$21&amp;ROWS($A$23:A24),Rosters!$B$2:$C$162,2,0),"?")</f>
        <v>Charles</v>
      </c>
      <c r="B24" s="6" t="str">
        <f>_xlfn.IFNA(VLOOKUP($B$21&amp;ROWS($B$23:B24),Rosters!$B$2:$D$162,3,0),"?")</f>
        <v>Nunn</v>
      </c>
      <c r="C24" s="6">
        <f>_xlfn.IFNA(VLOOKUP($B$21&amp;ROWS($C$23:C24),Rosters!$B$2:$E$162,4,0),"")</f>
        <v>1</v>
      </c>
      <c r="E24" s="6">
        <v>0</v>
      </c>
      <c r="H24" s="6">
        <v>1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Brandon</v>
      </c>
      <c r="B25" s="5" t="str">
        <f>_xlfn.IFNA(VLOOKUP($B$21&amp;ROWS($B$23:B25),Rosters!$B$2:$D$162,3,0),"?")</f>
        <v>Sly</v>
      </c>
      <c r="C25" s="5">
        <f>_xlfn.IFNA(VLOOKUP($B$21&amp;ROWS($C$23:C25),Rosters!$B$2:$E$162,4,0),"")</f>
        <v>2</v>
      </c>
      <c r="D25" s="5"/>
      <c r="E25" s="5">
        <v>5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Duce</v>
      </c>
      <c r="B26" s="6" t="str">
        <f>_xlfn.IFNA(VLOOKUP($B$21&amp;ROWS($B$23:B26),Rosters!$B$2:$D$162,3,0),"?")</f>
        <v>Zaid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Jaleel</v>
      </c>
      <c r="B27" s="5" t="str">
        <f>_xlfn.IFNA(VLOOKUP($B$21&amp;ROWS($B$23:B27),Rosters!$B$2:$D$162,3,0),"?")</f>
        <v>Roberts</v>
      </c>
      <c r="C27" s="5">
        <f>_xlfn.IFNA(VLOOKUP($B$21&amp;ROWS($C$23:C27),Rosters!$B$2:$E$162,4,0),"")</f>
        <v>9</v>
      </c>
      <c r="D27" s="5"/>
      <c r="E27" s="5">
        <v>1</v>
      </c>
      <c r="F27" s="5"/>
      <c r="G27" s="5"/>
      <c r="H27" s="5">
        <v>1</v>
      </c>
      <c r="I27" s="5"/>
      <c r="J27" s="5"/>
      <c r="K27" s="5">
        <v>3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Rayjon</v>
      </c>
      <c r="B28" s="6" t="str">
        <f>_xlfn.IFNA(VLOOKUP($B$21&amp;ROWS($B$23:B28),Rosters!$B$2:$D$162,3,0),"?")</f>
        <v>Tucker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Kentrell</v>
      </c>
      <c r="B29" s="5" t="str">
        <f>_xlfn.IFNA(VLOOKUP($B$21&amp;ROWS($B$23:B29),Rosters!$B$2:$D$162,3,0),"?")</f>
        <v>Barkley</v>
      </c>
      <c r="C29" s="5">
        <f>_xlfn.IFNA(VLOOKUP($B$21&amp;ROWS($C$23:C29),Rosters!$B$2:$E$162,4,0),"")</f>
        <v>12</v>
      </c>
      <c r="D29" s="5"/>
      <c r="E29" s="5">
        <v>4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2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Dontay</v>
      </c>
      <c r="B30" s="6" t="str">
        <f>_xlfn.IFNA(VLOOKUP($B$21&amp;ROWS($B$23:B30),Rosters!$B$2:$D$162,3,0),"?")</f>
        <v>Bassett</v>
      </c>
      <c r="C30" s="6">
        <f>_xlfn.IFNA(VLOOKUP($B$21&amp;ROWS($C$23:C30),Rosters!$B$2:$E$162,4,0),"")</f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Kyndahl</v>
      </c>
      <c r="B31" s="5" t="str">
        <f>_xlfn.IFNA(VLOOKUP($B$21&amp;ROWS($B$23:B31),Rosters!$B$2:$D$162,3,0),"?")</f>
        <v>Hill</v>
      </c>
      <c r="C31" s="5">
        <f>_xlfn.IFNA(VLOOKUP($B$21&amp;ROWS($C$23:C31),Rosters!$B$2:$E$162,4,0),"")</f>
        <v>15</v>
      </c>
      <c r="D31" s="5"/>
      <c r="E31" s="5">
        <v>0</v>
      </c>
      <c r="F31" s="5"/>
      <c r="G31" s="5"/>
      <c r="H31" s="5">
        <v>1</v>
      </c>
      <c r="I31" s="5"/>
      <c r="J31" s="5"/>
      <c r="K31" s="5">
        <v>2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Jordan</v>
      </c>
      <c r="B32" s="6" t="str">
        <f>_xlfn.IFNA(VLOOKUP($B$21&amp;ROWS($B$23:B32),Rosters!$B$2:$D$162,3,0),"?")</f>
        <v>Loveridge</v>
      </c>
      <c r="C32" s="6">
        <f>_xlfn.IFNA(VLOOKUP($B$21&amp;ROWS($C$23:C32),Rosters!$B$2:$E$162,4,0),"")</f>
        <v>21</v>
      </c>
      <c r="E32" s="6">
        <v>5</v>
      </c>
      <c r="H32" s="6">
        <v>0</v>
      </c>
      <c r="K32" s="6">
        <v>1</v>
      </c>
      <c r="N32" s="6">
        <v>1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Thomas</v>
      </c>
      <c r="B33" s="5" t="str">
        <f>_xlfn.IFNA(VLOOKUP($B$21&amp;ROWS($B$23:B33),Rosters!$B$2:$D$162,3,0),"?")</f>
        <v>Bullock</v>
      </c>
      <c r="C33" s="5">
        <f>_xlfn.IFNA(VLOOKUP($B$21&amp;ROWS($C$23:C33),Rosters!$B$2:$E$162,4,0),"")</f>
        <v>22</v>
      </c>
      <c r="D33" s="5"/>
      <c r="E33" s="5">
        <v>3</v>
      </c>
      <c r="F33" s="5"/>
      <c r="G33" s="5"/>
      <c r="H33" s="5">
        <v>4</v>
      </c>
      <c r="I33" s="5"/>
      <c r="J33" s="5"/>
      <c r="K33" s="5">
        <v>0</v>
      </c>
      <c r="L33" s="5"/>
      <c r="M33" s="5"/>
      <c r="N33" s="5">
        <v>1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Brendan</v>
      </c>
      <c r="B34" s="6" t="str">
        <f>_xlfn.IFNA(VLOOKUP($B$21&amp;ROWS($B$23:B34),Rosters!$B$2:$D$162,3,0),"?")</f>
        <v>Morris</v>
      </c>
      <c r="C34" s="6">
        <f>_xlfn.IFNA(VLOOKUP($B$21&amp;ROWS($C$23:C34),Rosters!$B$2:$E$162,4,0),"")</f>
        <v>23</v>
      </c>
      <c r="D34"/>
      <c r="E34" s="6">
        <v>5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Demarcus</v>
      </c>
      <c r="B35" s="5" t="str">
        <f>_xlfn.IFNA(VLOOKUP($B$21&amp;ROWS($B$23:B35),Rosters!$B$2:$D$162,3,0),"?")</f>
        <v>Harrison</v>
      </c>
      <c r="C35" s="5">
        <f>_xlfn.IFNA(VLOOKUP($B$21&amp;ROWS($C$23:C35),Rosters!$B$2:$E$162,4,0),"")</f>
        <v>31</v>
      </c>
      <c r="D35" s="5"/>
      <c r="E35" s="5">
        <v>0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1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23</v>
      </c>
      <c r="H38">
        <f>SUM(H23:H37)</f>
        <v>10</v>
      </c>
      <c r="K38">
        <f>SUM(K23:K37)</f>
        <v>6</v>
      </c>
      <c r="N38">
        <f>SUM(N23:N37)</f>
        <v>6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22" workbookViewId="0">
      <selection activeCell="B141" sqref="B141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257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59</v>
      </c>
      <c r="D14" t="s">
        <v>60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47</v>
      </c>
      <c r="D15" t="s">
        <v>48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64</v>
      </c>
      <c r="D16" t="s">
        <v>65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57</v>
      </c>
      <c r="D17" t="s">
        <v>58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63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66</v>
      </c>
      <c r="D19" t="s">
        <v>31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67</v>
      </c>
      <c r="D20" t="s">
        <v>68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45</v>
      </c>
      <c r="D21" t="s">
        <v>46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61</v>
      </c>
      <c r="D22" t="s">
        <v>62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51</v>
      </c>
      <c r="D23" t="s">
        <v>52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49</v>
      </c>
      <c r="D24" t="s">
        <v>50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55</v>
      </c>
      <c r="D25" t="s">
        <v>56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53</v>
      </c>
      <c r="D26" t="s">
        <v>54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69</v>
      </c>
      <c r="D27" t="s">
        <v>70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77</v>
      </c>
      <c r="D28" t="s">
        <v>78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86</v>
      </c>
      <c r="D29" t="s">
        <v>87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79</v>
      </c>
      <c r="D30" t="s">
        <v>80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71</v>
      </c>
      <c r="D31" t="s">
        <v>72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73</v>
      </c>
      <c r="D32" t="s">
        <v>74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83</v>
      </c>
      <c r="D33" t="s">
        <v>84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85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81</v>
      </c>
      <c r="D35" t="s">
        <v>82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88</v>
      </c>
      <c r="D36" t="s">
        <v>89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75</v>
      </c>
      <c r="D37" t="s">
        <v>76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90</v>
      </c>
      <c r="D38" t="s">
        <v>91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99</v>
      </c>
      <c r="D39" t="s">
        <v>100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97</v>
      </c>
      <c r="D40" t="s">
        <v>98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101</v>
      </c>
      <c r="D41" t="s">
        <v>102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107</v>
      </c>
      <c r="D42" t="s">
        <v>108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95</v>
      </c>
      <c r="D43" t="s">
        <v>96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92</v>
      </c>
      <c r="D45" t="s">
        <v>93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103</v>
      </c>
      <c r="D46" t="s">
        <v>104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94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105</v>
      </c>
      <c r="D49" t="s">
        <v>106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120</v>
      </c>
      <c r="D50" t="s">
        <v>121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124</v>
      </c>
      <c r="D51" t="s">
        <v>125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51</v>
      </c>
      <c r="D52" t="s">
        <v>126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116</v>
      </c>
      <c r="D53" t="s">
        <v>117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132</v>
      </c>
      <c r="D54" t="s">
        <v>133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118</v>
      </c>
      <c r="D55" t="s">
        <v>119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85</v>
      </c>
      <c r="D56" t="s">
        <v>129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134</v>
      </c>
      <c r="D57" t="s">
        <v>135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122</v>
      </c>
      <c r="D58" t="s">
        <v>123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136</v>
      </c>
      <c r="D59" t="s">
        <v>137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113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114</v>
      </c>
      <c r="D61" t="s">
        <v>115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127</v>
      </c>
      <c r="D62" t="s">
        <v>128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130</v>
      </c>
      <c r="D63" t="s">
        <v>131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142</v>
      </c>
      <c r="D64" t="s">
        <v>143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157</v>
      </c>
      <c r="D65" t="s">
        <v>158</v>
      </c>
      <c r="E65" s="7" t="s">
        <v>260</v>
      </c>
    </row>
    <row r="66" spans="1:5" x14ac:dyDescent="0.2">
      <c r="A66" t="s">
        <v>14</v>
      </c>
      <c r="B66" t="str">
        <f>A66&amp;COUNTIF($A$2:$A66,A66)</f>
        <v>Covington3</v>
      </c>
      <c r="C66" t="s">
        <v>159</v>
      </c>
      <c r="D66" t="s">
        <v>160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139</v>
      </c>
      <c r="D67" t="s">
        <v>140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149</v>
      </c>
      <c r="D68" t="s">
        <v>150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146</v>
      </c>
      <c r="D69" t="s">
        <v>147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138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144</v>
      </c>
      <c r="D71" t="s">
        <v>145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153</v>
      </c>
      <c r="D72" t="s">
        <v>154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148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151</v>
      </c>
      <c r="D74" t="s">
        <v>152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155</v>
      </c>
      <c r="D75" t="s">
        <v>156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51</v>
      </c>
      <c r="D76" t="s">
        <v>141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166</v>
      </c>
      <c r="D77" t="s">
        <v>167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175</v>
      </c>
      <c r="D78" t="s">
        <v>176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164</v>
      </c>
      <c r="D79" t="s">
        <v>165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163</v>
      </c>
      <c r="D80" t="s">
        <v>148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169</v>
      </c>
      <c r="D81" t="s">
        <v>170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177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168</v>
      </c>
      <c r="D83" t="s">
        <v>74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178</v>
      </c>
      <c r="D84" t="s">
        <v>179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161</v>
      </c>
      <c r="D85" t="s">
        <v>162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171</v>
      </c>
      <c r="D86" t="s">
        <v>172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173</v>
      </c>
      <c r="D87" t="s">
        <v>174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190</v>
      </c>
      <c r="D88" t="s">
        <v>191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64</v>
      </c>
      <c r="D89" t="s">
        <v>181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182</v>
      </c>
      <c r="D90" t="s">
        <v>183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95</v>
      </c>
      <c r="D91" t="s">
        <v>186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169</v>
      </c>
      <c r="D92" t="s">
        <v>60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267</v>
      </c>
      <c r="D93" t="s">
        <v>194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192</v>
      </c>
      <c r="D94" t="s">
        <v>193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85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189</v>
      </c>
      <c r="D96" t="s">
        <v>167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187</v>
      </c>
      <c r="D97" t="s">
        <v>188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64</v>
      </c>
      <c r="D98" t="s">
        <v>180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184</v>
      </c>
      <c r="D99" t="s">
        <v>185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198</v>
      </c>
      <c r="D100" t="s">
        <v>78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195</v>
      </c>
      <c r="D101" t="s">
        <v>196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69</v>
      </c>
      <c r="D102" t="s">
        <v>176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197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201</v>
      </c>
      <c r="D104" t="s">
        <v>202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203</v>
      </c>
      <c r="D105" t="s">
        <v>204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194</v>
      </c>
      <c r="D106" t="s">
        <v>200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205</v>
      </c>
      <c r="D107" t="s">
        <v>206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207</v>
      </c>
      <c r="D108" t="s">
        <v>202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199</v>
      </c>
      <c r="D109" t="s">
        <v>98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208</v>
      </c>
      <c r="D110" t="s">
        <v>51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209</v>
      </c>
      <c r="D111" t="s">
        <v>210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175</v>
      </c>
      <c r="D112" t="s">
        <v>211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175</v>
      </c>
      <c r="D113" t="s">
        <v>220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214</v>
      </c>
      <c r="D114" t="s">
        <v>215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216</v>
      </c>
      <c r="D115" t="s">
        <v>217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212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221</v>
      </c>
      <c r="D117" t="s">
        <v>222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213</v>
      </c>
      <c r="D119" t="s">
        <v>148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218</v>
      </c>
      <c r="D120" t="s">
        <v>219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228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153</v>
      </c>
      <c r="D122" t="s">
        <v>223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234</v>
      </c>
      <c r="D123" t="s">
        <v>235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224</v>
      </c>
      <c r="D124" t="s">
        <v>225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228</v>
      </c>
      <c r="D125" t="s">
        <v>233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231</v>
      </c>
      <c r="D126" t="s">
        <v>232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236</v>
      </c>
      <c r="D127" t="s">
        <v>237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229</v>
      </c>
      <c r="D128" t="s">
        <v>230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226</v>
      </c>
      <c r="D129" t="s">
        <v>227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244</v>
      </c>
      <c r="D130" t="s">
        <v>245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194</v>
      </c>
      <c r="D131" t="s">
        <v>240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241</v>
      </c>
      <c r="D132" t="s">
        <v>242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249</v>
      </c>
      <c r="D133" t="s">
        <v>250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246</v>
      </c>
      <c r="D134" t="s">
        <v>247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145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238</v>
      </c>
      <c r="D136" t="s">
        <v>239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243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251</v>
      </c>
      <c r="D138" t="s">
        <v>230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248</v>
      </c>
      <c r="D139" t="s">
        <v>100</v>
      </c>
      <c r="E139">
        <v>30</v>
      </c>
    </row>
    <row r="140" spans="1:5" x14ac:dyDescent="0.2">
      <c r="A140" t="s">
        <v>268</v>
      </c>
      <c r="B140" t="str">
        <f>A140&amp;COUNTIF($A$2:$A140,A140)</f>
        <v>Guest1</v>
      </c>
      <c r="C140" t="s">
        <v>252</v>
      </c>
      <c r="D140" t="s">
        <v>253</v>
      </c>
      <c r="E140">
        <v>2</v>
      </c>
    </row>
    <row r="141" spans="1:5" x14ac:dyDescent="0.2">
      <c r="A141" t="s">
        <v>268</v>
      </c>
      <c r="B141" t="str">
        <f>A141&amp;COUNTIF($A$2:$A141,A141)</f>
        <v>Guest2</v>
      </c>
      <c r="C141" t="s">
        <v>79</v>
      </c>
      <c r="D141" t="s">
        <v>254</v>
      </c>
      <c r="E141">
        <v>10</v>
      </c>
    </row>
    <row r="142" spans="1:5" x14ac:dyDescent="0.2">
      <c r="A142" t="s">
        <v>268</v>
      </c>
      <c r="B142" t="str">
        <f>A142&amp;COUNTIF($A$2:$A142,A142)</f>
        <v>Guest3</v>
      </c>
      <c r="C142" t="s">
        <v>255</v>
      </c>
      <c r="D142" t="s">
        <v>256</v>
      </c>
      <c r="E142">
        <v>19</v>
      </c>
    </row>
    <row r="143" spans="1:5" x14ac:dyDescent="0.2">
      <c r="A143" t="s">
        <v>268</v>
      </c>
      <c r="B143" t="str">
        <f>A143&amp;COUNTIF($A$2:$A143,A143)</f>
        <v>Guest4</v>
      </c>
      <c r="C143" t="s">
        <v>258</v>
      </c>
      <c r="D143" t="s">
        <v>259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2021-07-21T15:40:19Z</dcterms:modified>
</cp:coreProperties>
</file>