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D12ACE7A-117C-40DB-BBB8-F77EE8B172BB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G11" i="2"/>
  <c r="C35" i="1"/>
  <c r="H34" i="2" s="1"/>
  <c r="B5" i="1"/>
  <c r="C32" i="1"/>
  <c r="H31" i="2" s="1"/>
  <c r="A5" i="1"/>
  <c r="A12" i="1"/>
  <c r="F10" i="2" s="1"/>
  <c r="B19" i="1"/>
  <c r="G9" i="2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F11" i="2"/>
  <c r="C11" i="1"/>
  <c r="H9" i="2" s="1"/>
  <c r="B27" i="1"/>
  <c r="G26" i="2" s="1"/>
  <c r="F9" i="2"/>
  <c r="C17" i="1"/>
  <c r="H15" i="2" s="1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G17" i="2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<sst xmlns="http://schemas.openxmlformats.org/spreadsheetml/2006/main" count="489" uniqueCount="277">
  <si>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</si>
  <si>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</si>
  <si>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</si>
  <si>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</si>
  <si>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</si>
  <si>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</si>
  <si>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</si>
  <si>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</si>
  <si>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</si>
  <si>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</si>
  <si>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</si>
  <si>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</si>
  <si>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</si>
  <si>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</si>
  <si>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</si>
  <si>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</si>
  <si>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</si>
  <si>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</si>
  <si>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</si>
  <si>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</si>
  <si>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</si>
  <si>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</si>
  <si>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</si>
  <si>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</si>
  <si>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</si>
  <si>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</si>
  <si>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</si>
  <si>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</si>
  <si>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</si>
  <si>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</si>
  <si>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</si>
  <si>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</si>
  <si>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</si>
  <si>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</si>
  <si>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</si>
  <si>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</si>
  <si>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</si>
  <si>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</si>
  <si>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</si>
  <si>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</si>
  <si>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</si>
  <si>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</si>
  <si>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</si>
  <si>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</si>
  <si>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</si>
  <si>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</si>
  <si>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</si>
  <si>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</si>
  <si>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</si>
  <si>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</si>
  <si>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</si>
  <si>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</si>
  <si>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</si>
  <si>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</si>
  <si>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</si>
  <si>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</si>
  <si>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</si>
  <si>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</si>
  <si>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</si>
  <si>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</si>
  <si>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</si>
  <si>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</si>
  <si>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</si>
  <si>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</si>
  <si>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</si>
  <si>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</si>
  <si>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</si>
  <si>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</si>
  <si>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</si>
  <si>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</si>
  <si>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</si>
  <si>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</si>
  <si>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</si>
  <si>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</si>
  <si>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</si>
  <si>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</si>
  <si>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</si>
  <si>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</si>
  <si>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</si>
  <si>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</si>
  <si>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</si>
  <si>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</si>
  <si>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</si>
  <si>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</si>
  <si>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</si>
  <si>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</si>
  <si>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</si>
  <si>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</si>
  <si>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</si>
  <si>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</si>
  <si>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</si>
  <si>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</si>
  <si>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</si>
  <si>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</si>
  <si>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</si>
  <si>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</si>
  <si>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</si>
  <si>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</si>
  <si>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</si>
  <si>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</si>
  <si>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</si>
  <si>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</si>
  <si>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</si>
  <si>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</si>
  <si>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</si>
  <si>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</si>
  <si>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</si>
  <si>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</si>
  <si>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</si>
  <si>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</si>
  <si>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</si>
  <si>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</si>
  <si>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</si>
  <si>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</si>
  <si>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</si>
  <si>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</si>
  <si>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</si>
  <si>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</si>
  <si>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</si>
  <si>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</si>
  <si>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</si>
  <si>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</si>
  <si>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</si>
  <si>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</si>
  <si>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</si>
  <si>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</si>
  <si>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</si>
  <si>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</si>
  <si>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</si>
  <si>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</si>
  <si>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</si>
  <si>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</si>
  <si>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</si>
  <si>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</si>
  <si>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</si>
  <si>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</si>
  <si>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</si>
  <si>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</si>
  <si>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</si>
  <si>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</si>
  <si>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</si>
  <si>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</si>
  <si>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</si>
  <si>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</si>
  <si>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</si>
  <si>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</si>
  <si>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</si>
  <si>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</si>
  <si>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</si>
  <si>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</si>
  <si>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</si>
  <si>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</si>
  <si>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</si>
  <si>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</si>
  <si>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</si>
  <si>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</si>
  <si>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</si>
  <si>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</si>
  <si>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</si>
  <si>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</si>
  <si>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</si>
  <si>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</si>
  <si>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</si>
  <si>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</si>
  <si>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</si>
  <si>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</si>
  <si>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</si>
  <si>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</si>
  <si>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</si>
  <si>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</si>
  <si>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</si>
  <si>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</si>
  <si>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</si>
  <si>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</si>
  <si>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</si>
  <si>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</si>
  <si>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</si>
  <si>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</si>
  <si>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</si>
  <si>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</si>
  <si>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</si>
  <si>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</si>
  <si>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</si>
  <si>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</si>
  <si>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</si>
  <si>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</si>
  <si>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</si>
  <si>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</si>
  <si>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</si>
  <si>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</si>
  <si>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</si>
  <si>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</si>
  <si>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</si>
  <si>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</si>
  <si>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</si>
  <si>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</si>
  <si>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</si>
  <si>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</si>
  <si>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</si>
  <si>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</si>
  <si>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</si>
  <si>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</si>
  <si>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</si>
  <si>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</si>
  <si>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</si>
  <si>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</si>
  <si>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</si>
  <si>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</si>
  <si>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</si>
  <si>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</si>
  <si>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</si>
  <si>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</si>
  <si>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</si>
  <si>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</si>
  <si>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</si>
  <si>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</si>
  <si>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</si>
  <si>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</si>
  <si>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</si>
  <si>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</si>
  <si>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</si>
  <si>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</si>
  <si>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</si>
  <si>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</si>
  <si>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</si>
  <si>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</si>
  <si>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</si>
  <si>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</si>
  <si>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</si>
  <si>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</si>
  <si>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</si>
  <si>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</si>
  <si>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</si>
  <si>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</si>
  <si>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</si>
  <si>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</si>
  <si>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</si>
  <si>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</si>
  <si>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</si>
  <si>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</si>
  <si>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</si>
  <si>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</si>
  <si>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</si>
  <si>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</si>
  <si>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</si>
  <si>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</si>
  <si>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</si>
  <si>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</si>
  <si>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</si>
  <si>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</si>
  <si>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</si>
  <si>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</si>
  <si>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</si>
  <si>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</si>
  <si>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</si>
  <si>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</si>
  <si>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</si>
  <si>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</si>
  <si>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</si>
  <si>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</si>
  <si>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</si>
  <si>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</si>
  <si>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</si>
  <si>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</si>
  <si>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</si>
  <si>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</si>
  <si>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</si>
  <si>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</si>
  <si>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</si>
  <si>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</si>
  <si>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</si>
  <si>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</si>
  <si>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</si>
  <si>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</si>
  <si>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Nelson</t>
  </si>
  <si>
    <t>Peter</t>
  </si>
  <si>
    <t>Game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</si>
</sst>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7" workbookViewId="0">
      <selection activeCell="B1" sqref="B1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276</v>
      </c>
      <c r="F1" t="s">
        <v>9</v>
      </c>
      <c r="G1" t="str">
        <f>'Stats G2'!B3</f>
        <v>Berger</v>
      </c>
    </row>
    <row r="2" spans="2:12" x14ac:dyDescent="0.25">
      <c r="B2" t="str">
        <f>G1</f>
        <v>Berger</v>
      </c>
      <c r="D2" t="str">
        <f>G20</f>
        <v>Egan</v>
      </c>
      <c r="F2" t="s">
        <v>1</v>
      </c>
      <c r="G2" t="s">
        <v>2</v>
      </c>
      <c r="H2" t="s">
        <v>0</v>
      </c>
      <c r="I2" t="s">
        <v>273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117</v>
      </c>
      <c r="C3" s="3" t="s">
        <v>15</v>
      </c>
      <c r="D3" s="4">
        <f>I37</f>
        <v>98</v>
      </c>
      <c r="F3" t="str">
        <f>'Stats G2'!A5</f>
        <v>Sam</v>
      </c>
      <c r="G3" t="str">
        <f>'Stats G2'!B5</f>
        <v>Orchard</v>
      </c>
      <c r="H3">
        <f>'Stats G2'!C5</f>
        <v>3</v>
      </c>
      <c r="I3">
        <f>'Stats G2'!H5*2+'Stats G2'!N5*3+'Stats G2'!T5</f>
        <v>14</v>
      </c>
      <c r="J3" t="str">
        <f>SUM('Stats G2'!N5+'Stats G2'!H5)&amp;"-"&amp;SUM('Stats G2'!E5+'Stats G2'!K5)</f>
        <v>6-13</v>
      </c>
      <c r="K3" t="str">
        <f>SUM('Stats G2'!N5)&amp;"-"&amp;SUM('Stats G2'!K5)</f>
        <v>2-6</v>
      </c>
      <c r="L3" t="str">
        <f>SUM('Stats G2'!T5)&amp;"-"&amp;SUM('Stats G2'!Q5)</f>
        <v>0-0</v>
      </c>
    </row>
    <row r="4" spans="2:12" x14ac:dyDescent="0.25">
      <c r="F4" t="str">
        <f>'Stats G2'!A6</f>
        <v>Sam</v>
      </c>
      <c r="G4" t="str">
        <f>'Stats G2'!B6</f>
        <v>Merril</v>
      </c>
      <c r="H4">
        <f>'Stats G2'!C6</f>
        <v>5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5">
      <c r="F5" t="str">
        <f>'Stats G2'!A7</f>
        <v>Parker</v>
      </c>
      <c r="G5" t="str">
        <f>'Stats G2'!B7</f>
        <v>Van Dyke</v>
      </c>
      <c r="H5">
        <f>'Stats G2'!C7</f>
        <v>7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5">
      <c r="F6" t="str">
        <f>'Stats G2'!A8</f>
        <v>Riley</v>
      </c>
      <c r="G6" t="str">
        <f>'Stats G2'!B8</f>
        <v>Battin</v>
      </c>
      <c r="H6">
        <f>'Stats G2'!C8</f>
        <v>11</v>
      </c>
      <c r="I6">
        <f>'Stats G2'!H8*2+'Stats G2'!N8*3+'Stats G2'!T8</f>
        <v>25</v>
      </c>
      <c r="J6" t="str">
        <f>SUM('Stats G2'!N8+'Stats G2'!H8)&amp;"-"&amp;SUM('Stats G2'!E8+'Stats G2'!K8)</f>
        <v>11-24</v>
      </c>
      <c r="K6" t="str">
        <f>SUM('Stats G2'!N8)&amp;"-"&amp;SUM('Stats G2'!K8)</f>
        <v>2-8</v>
      </c>
      <c r="L6" t="str">
        <f>SUM('Stats G2'!T8)&amp;"-"&amp;SUM('Stats G2'!Q8)</f>
        <v>1-2</v>
      </c>
    </row>
    <row r="7" spans="2:12" x14ac:dyDescent="0.25">
      <c r="F7" t="str">
        <f>'Stats G2'!A9</f>
        <v>Danny</v>
      </c>
      <c r="G7" t="str">
        <f>'Stats G2'!B9</f>
        <v>Berger</v>
      </c>
      <c r="H7">
        <f>'Stats G2'!C9</f>
        <v>12</v>
      </c>
      <c r="I7">
        <f>'Stats G2'!H9*2+'Stats G2'!N9*3+'Stats G2'!T9</f>
        <v>36</v>
      </c>
      <c r="J7" t="str">
        <f>SUM('Stats G2'!N9+'Stats G2'!H9)&amp;"-"&amp;SUM('Stats G2'!E9+'Stats G2'!K9)</f>
        <v>13-19</v>
      </c>
      <c r="K7" t="str">
        <f>SUM('Stats G2'!N9)&amp;"-"&amp;SUM('Stats G2'!K9)</f>
        <v>6-9</v>
      </c>
      <c r="L7" t="str">
        <f>SUM('Stats G2'!T9)&amp;"-"&amp;SUM('Stats G2'!Q9)</f>
        <v>4-4</v>
      </c>
    </row>
    <row r="8" spans="2:12" x14ac:dyDescent="0.25">
      <c r="F8" t="str">
        <f>'Stats G2'!A10</f>
        <v>Jalen</v>
      </c>
      <c r="G8" t="str">
        <f>'Stats G2'!B10</f>
        <v>Moore</v>
      </c>
      <c r="H8">
        <f>'Stats G2'!C10</f>
        <v>21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5">
      <c r="F9" t="str">
        <f>'Stats G2'!A11</f>
        <v>Peter</v>
      </c>
      <c r="G9" t="str">
        <f>'Stats G2'!B11</f>
        <v>Brown</v>
      </c>
      <c r="H9">
        <f>'Stats G2'!C11</f>
        <v>21</v>
      </c>
      <c r="I9">
        <f>'Stats G2'!H11*2+'Stats G2'!N11*3+'Stats G2'!T11</f>
        <v>0</v>
      </c>
      <c r="J9" t="str">
        <f>SUM('Stats G2'!N11+'Stats G2'!H11)&amp;"-"&amp;SUM('Stats G2'!E11+'Stats G2'!K11)</f>
        <v>0-2</v>
      </c>
      <c r="K9" t="str">
        <f>SUM('Stats G2'!N11)&amp;"-"&amp;SUM('Stats G2'!K11)</f>
        <v>0-1</v>
      </c>
      <c r="L9" t="str">
        <f>SUM('Stats G2'!T11)&amp;"-"&amp;SUM('Stats G2'!Q11)</f>
        <v>0-0</v>
      </c>
    </row>
    <row r="10" spans="2:12" x14ac:dyDescent="0.25">
      <c r="F10" t="str">
        <f>'Stats G2'!A12</f>
        <v>Zavon</v>
      </c>
      <c r="G10" t="str">
        <f>'Stats G2'!B12</f>
        <v>Jackson</v>
      </c>
      <c r="H10">
        <f>'Stats G2'!C12</f>
        <v>24</v>
      </c>
      <c r="I10">
        <f>'Stats G2'!H12*2+'Stats G2'!N12*3+'Stats G2'!T12</f>
        <v>35</v>
      </c>
      <c r="J10" t="str">
        <f>SUM('Stats G2'!N12+'Stats G2'!H12)&amp;"-"&amp;SUM('Stats G2'!E12+'Stats G2'!K12)</f>
        <v>14-23</v>
      </c>
      <c r="K10" t="str">
        <f>SUM('Stats G2'!N12)&amp;"-"&amp;SUM('Stats G2'!K12)</f>
        <v>3-8</v>
      </c>
      <c r="L10" t="str">
        <f>SUM('Stats G2'!T12)&amp;"-"&amp;SUM('Stats G2'!Q12)</f>
        <v>4-4</v>
      </c>
    </row>
    <row r="11" spans="2:12" x14ac:dyDescent="0.25">
      <c r="F11" t="str">
        <f>'Stats G2'!A13</f>
        <v>Zach</v>
      </c>
      <c r="G11" t="str">
        <f>'Stats G2'!B13</f>
        <v>Nelson</v>
      </c>
      <c r="H11">
        <f>'Stats G2'!C13</f>
        <v>30</v>
      </c>
      <c r="I11">
        <f>'Stats G2'!H13*2+'Stats G2'!N13*3+'Stats G2'!T13</f>
        <v>7</v>
      </c>
      <c r="J11" t="str">
        <f>SUM('Stats G2'!N13+'Stats G2'!H13)&amp;"-"&amp;SUM('Stats G2'!E13+'Stats G2'!K13)</f>
        <v>3-7</v>
      </c>
      <c r="K11" t="str">
        <f>SUM('Stats G2'!N13)&amp;"-"&amp;SUM('Stats G2'!K13)</f>
        <v>1-4</v>
      </c>
      <c r="L11" t="str">
        <f>SUM('Stats G2'!T13)&amp;"-"&amp;SUM('Stats G2'!Q13)</f>
        <v>0-0</v>
      </c>
    </row>
    <row r="12" spans="2:12" x14ac:dyDescent="0.25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5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5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5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5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117</v>
      </c>
      <c r="J18" t="str">
        <f>SUM('Stats G2'!N20+'Stats G2'!H20)&amp;"-"&amp;SUM('Stats G2'!E20+'Stats G2'!K20)</f>
        <v>47-88</v>
      </c>
      <c r="K18" t="str">
        <f>SUM('Stats G2'!N20)&amp;"-"&amp;SUM('Stats G2'!K20)</f>
        <v>14-36</v>
      </c>
      <c r="L18" t="str">
        <f>SUM('Stats G2'!T20)&amp;"-"&amp;SUM('Stats G2'!Q20)</f>
        <v>9-10</v>
      </c>
    </row>
    <row r="20" spans="6:12" x14ac:dyDescent="0.25">
      <c r="F20" t="s">
        <v>13</v>
      </c>
      <c r="G20" t="str">
        <f>'Stats G2'!B21</f>
        <v>Egan</v>
      </c>
    </row>
    <row r="21" spans="6:12" x14ac:dyDescent="0.25">
      <c r="F21" t="s">
        <v>1</v>
      </c>
      <c r="G21" t="s">
        <v>2</v>
      </c>
      <c r="H21" t="s">
        <v>0</v>
      </c>
      <c r="I21" t="s">
        <v>273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Steve</v>
      </c>
      <c r="G22" t="str">
        <f>'Stats G2'!B23</f>
        <v>Panos</v>
      </c>
      <c r="H22">
        <f>'Stats G2'!C23</f>
        <v>0</v>
      </c>
      <c r="I22">
        <f>'Stats G2'!H23*2+'Stats G2'!N23*3+'Stats G2'!T23</f>
        <v>12</v>
      </c>
      <c r="J22" t="str">
        <f>SUM('Stats G2'!N23+'Stats G2'!H23)&amp;"-"&amp;SUM('Stats G2'!E23+'Stats G2'!K23)</f>
        <v>4-11</v>
      </c>
      <c r="K22" t="str">
        <f>SUM('Stats G2'!N23)&amp;"-"&amp;SUM('Stats G2'!K23)</f>
        <v>0-0</v>
      </c>
      <c r="L22" t="str">
        <f>SUM('Stats G2'!T23)&amp;"-"&amp;SUM('Stats G2'!Q23)</f>
        <v>4-5</v>
      </c>
    </row>
    <row r="23" spans="6:12" x14ac:dyDescent="0.25">
      <c r="F23" t="str">
        <f>'Stats G2'!A24</f>
        <v>James</v>
      </c>
      <c r="G23" t="str">
        <f>'Stats G2'!B24</f>
        <v>Walljasper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5">
      <c r="F24" t="str">
        <f>'Stats G2'!A25</f>
        <v>Drew</v>
      </c>
      <c r="G24" t="str">
        <f>'Stats G2'!B25</f>
        <v>Lokeni</v>
      </c>
      <c r="H24">
        <f>'Stats G2'!C25</f>
        <v>7</v>
      </c>
      <c r="I24">
        <f>'Stats G2'!H25*2+'Stats G2'!N25*3+'Stats G2'!T25</f>
        <v>6</v>
      </c>
      <c r="J24" t="str">
        <f>SUM('Stats G2'!N25+'Stats G2'!H25)&amp;"-"&amp;SUM('Stats G2'!E25+'Stats G2'!K25)</f>
        <v>2-4</v>
      </c>
      <c r="K24" t="str">
        <f>SUM('Stats G2'!N25)&amp;"-"&amp;SUM('Stats G2'!K25)</f>
        <v>2-3</v>
      </c>
      <c r="L24" t="str">
        <f>SUM('Stats G2'!T25)&amp;"-"&amp;SUM('Stats G2'!Q25)</f>
        <v>0-0</v>
      </c>
    </row>
    <row r="25" spans="6:12" x14ac:dyDescent="0.25">
      <c r="F25" t="str">
        <f>'Stats G2'!A26</f>
        <v>Jeremy</v>
      </c>
      <c r="G25" t="str">
        <f>'Stats G2'!B26</f>
        <v>Dowdell</v>
      </c>
      <c r="H25">
        <f>'Stats G2'!C26</f>
        <v>8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5">
      <c r="F26" t="str">
        <f>'Stats G2'!A27</f>
        <v>Caleb</v>
      </c>
      <c r="G26" t="str">
        <f>'Stats G2'!B27</f>
        <v>Leonhardt</v>
      </c>
      <c r="H26">
        <f>'Stats G2'!C27</f>
        <v>12</v>
      </c>
      <c r="I26">
        <f>'Stats G2'!H27*2+'Stats G2'!N27*3+'Stats G2'!T27</f>
        <v>3</v>
      </c>
      <c r="J26" t="str">
        <f>SUM('Stats G2'!N27+'Stats G2'!H27)&amp;"-"&amp;SUM('Stats G2'!E27+'Stats G2'!K27)</f>
        <v>1-3</v>
      </c>
      <c r="K26" t="str">
        <f>SUM('Stats G2'!N27)&amp;"-"&amp;SUM('Stats G2'!K27)</f>
        <v>1-3</v>
      </c>
      <c r="L26" t="str">
        <f>SUM('Stats G2'!T27)&amp;"-"&amp;SUM('Stats G2'!Q27)</f>
        <v>0-2</v>
      </c>
    </row>
    <row r="27" spans="6:12" x14ac:dyDescent="0.25">
      <c r="F27" t="str">
        <f>'Stats G2'!A28</f>
        <v>Adam</v>
      </c>
      <c r="G27" t="str">
        <f>'Stats G2'!B28</f>
        <v>Egan</v>
      </c>
      <c r="H27">
        <f>'Stats G2'!C28</f>
        <v>13</v>
      </c>
      <c r="I27">
        <f>'Stats G2'!H28*2+'Stats G2'!N28*3+'Stats G2'!T28</f>
        <v>19</v>
      </c>
      <c r="J27" t="str">
        <f>SUM('Stats G2'!N28+'Stats G2'!H28)&amp;"-"&amp;SUM('Stats G2'!E28+'Stats G2'!K28)</f>
        <v>9-16</v>
      </c>
      <c r="K27" t="str">
        <f>SUM('Stats G2'!N28)&amp;"-"&amp;SUM('Stats G2'!K28)</f>
        <v>1-3</v>
      </c>
      <c r="L27" t="str">
        <f>SUM('Stats G2'!T28)&amp;"-"&amp;SUM('Stats G2'!Q28)</f>
        <v>0-0</v>
      </c>
    </row>
    <row r="28" spans="6:12" x14ac:dyDescent="0.25">
      <c r="F28" t="str">
        <f>'Stats G2'!A29</f>
        <v>Wil</v>
      </c>
      <c r="G28" t="str">
        <f>'Stats G2'!B29</f>
        <v>Carter</v>
      </c>
      <c r="H28">
        <f>'Stats G2'!C29</f>
        <v>15</v>
      </c>
      <c r="I28">
        <f>'Stats G2'!H29*2+'Stats G2'!N29*3+'Stats G2'!T29</f>
        <v>24</v>
      </c>
      <c r="J28" t="str">
        <f>SUM('Stats G2'!N29+'Stats G2'!H29)&amp;"-"&amp;SUM('Stats G2'!E29+'Stats G2'!K29)</f>
        <v>10-18</v>
      </c>
      <c r="K28" t="str">
        <f>SUM('Stats G2'!N29)&amp;"-"&amp;SUM('Stats G2'!K29)</f>
        <v>4-5</v>
      </c>
      <c r="L28" t="str">
        <f>SUM('Stats G2'!T29)&amp;"-"&amp;SUM('Stats G2'!Q29)</f>
        <v>0-0</v>
      </c>
    </row>
    <row r="29" spans="6:12" x14ac:dyDescent="0.25">
      <c r="F29" t="str">
        <f>'Stats G2'!A30</f>
        <v>Tony</v>
      </c>
      <c r="G29" t="str">
        <f>'Stats G2'!B30</f>
        <v>Roberts</v>
      </c>
      <c r="H29">
        <f>'Stats G2'!C30</f>
        <v>21</v>
      </c>
      <c r="I29">
        <f>'Stats G2'!H30*2+'Stats G2'!N30*3+'Stats G2'!T30</f>
        <v>28</v>
      </c>
      <c r="J29" t="str">
        <f>SUM('Stats G2'!N30+'Stats G2'!H30)&amp;"-"&amp;SUM('Stats G2'!E30+'Stats G2'!K30)</f>
        <v>11-25</v>
      </c>
      <c r="K29" t="str">
        <f>SUM('Stats G2'!N30)&amp;"-"&amp;SUM('Stats G2'!K30)</f>
        <v>1-4</v>
      </c>
      <c r="L29" t="str">
        <f>SUM('Stats G2'!T30)&amp;"-"&amp;SUM('Stats G2'!Q30)</f>
        <v>5-5</v>
      </c>
    </row>
    <row r="30" spans="6:12" x14ac:dyDescent="0.25">
      <c r="F30" t="str">
        <f>'Stats G2'!A31</f>
        <v>Quan</v>
      </c>
      <c r="G30" t="str">
        <f>'Stats G2'!B31</f>
        <v>Thompson</v>
      </c>
      <c r="H30">
        <f>'Stats G2'!C31</f>
        <v>24</v>
      </c>
      <c r="I30">
        <f>'Stats G2'!H31*2+'Stats G2'!N31*3+'Stats G2'!T31</f>
        <v>6</v>
      </c>
      <c r="J30" t="str">
        <f>SUM('Stats G2'!N31+'Stats G2'!H31)&amp;"-"&amp;SUM('Stats G2'!E31+'Stats G2'!K31)</f>
        <v>2-7</v>
      </c>
      <c r="K30" t="str">
        <f>SUM('Stats G2'!N31)&amp;"-"&amp;SUM('Stats G2'!K31)</f>
        <v>2-5</v>
      </c>
      <c r="L30" t="str">
        <f>SUM('Stats G2'!T31)&amp;"-"&amp;SUM('Stats G2'!Q31)</f>
        <v>0-0</v>
      </c>
    </row>
    <row r="31" spans="6:12" x14ac:dyDescent="0.25">
      <c r="F31" t="str">
        <f>'Stats G2'!A32</f>
        <v>Rylan</v>
      </c>
      <c r="G31" t="str">
        <f>'Stats G2'!B32</f>
        <v>Jones</v>
      </c>
      <c r="H31">
        <f>'Stats G2'!C32</f>
        <v>30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5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98</v>
      </c>
      <c r="J37" t="str">
        <f>SUM('Stats G2'!N38+'Stats G2'!H38)&amp;"-"&amp;SUM('Stats G2'!E38+'Stats G2'!K38)</f>
        <v>39-84</v>
      </c>
      <c r="K37" t="str">
        <f>SUM('Stats G2'!N38)&amp;"-"&amp;SUM('Stats G2'!K38)</f>
        <v>11-23</v>
      </c>
      <c r="L37" t="str">
        <f>SUM('Stats G2'!T38)&amp;"-"&amp;SUM('Stats G2'!Q38)</f>
        <v>9-12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1" workbookViewId="0">
      <selection activeCell="F23" sqref="F23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19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7</v>
      </c>
      <c r="F5" s="5"/>
      <c r="G5" s="5"/>
      <c r="H5" s="5">
        <v>4</v>
      </c>
      <c r="I5" s="5"/>
      <c r="J5" s="5"/>
      <c r="K5" s="5">
        <v>6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16</v>
      </c>
      <c r="H8" s="6">
        <v>9</v>
      </c>
      <c r="K8" s="6">
        <v>8</v>
      </c>
      <c r="N8" s="6">
        <v>2</v>
      </c>
      <c r="Q8" s="6">
        <v>2</v>
      </c>
      <c r="T8" s="6">
        <v>1</v>
      </c>
    </row>
    <row r="9" spans="1:21" s="6" customFormat="1" x14ac:dyDescent="0.25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10</v>
      </c>
      <c r="F9" s="5"/>
      <c r="G9" s="5"/>
      <c r="H9" s="5">
        <v>7</v>
      </c>
      <c r="I9" s="5"/>
      <c r="J9" s="5"/>
      <c r="K9" s="5">
        <v>9</v>
      </c>
      <c r="L9" s="5"/>
      <c r="M9" s="5"/>
      <c r="N9" s="5">
        <v>6</v>
      </c>
      <c r="O9" s="5"/>
      <c r="P9" s="5"/>
      <c r="Q9" s="5">
        <v>4</v>
      </c>
      <c r="R9" s="5"/>
      <c r="S9" s="5"/>
      <c r="T9" s="5">
        <v>4</v>
      </c>
      <c r="U9" s="5"/>
    </row>
    <row r="10" spans="1:21" s="6" customFormat="1" x14ac:dyDescent="0.25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">
        <v>275</v>
      </c>
      <c r="B11" s="5" t="s">
        <v>44</v>
      </c>
      <c r="C11" s="5">
        <f>_xlfn.IFNA(VLOOKUP($B$3&amp;ROWS($C$5:C11),Rosters!$B$2:$E$162,4,0),"")</f>
        <v>21</v>
      </c>
      <c r="D11" s="5"/>
      <c r="E11" s="5">
        <v>1</v>
      </c>
      <c r="F11" s="5"/>
      <c r="G11" s="5"/>
      <c r="H11" s="5">
        <v>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15</v>
      </c>
      <c r="H12" s="6">
        <v>11</v>
      </c>
      <c r="K12" s="6">
        <v>8</v>
      </c>
      <c r="N12" s="6">
        <v>3</v>
      </c>
      <c r="Q12" s="6">
        <v>4</v>
      </c>
      <c r="T12" s="6">
        <v>4</v>
      </c>
    </row>
    <row r="13" spans="1:21" s="6" customFormat="1" x14ac:dyDescent="0.25">
      <c r="A13" s="5" t="s">
        <v>105</v>
      </c>
      <c r="B13" s="5" t="s">
        <v>274</v>
      </c>
      <c r="C13" s="5">
        <f>_xlfn.IFNA(VLOOKUP($B$3&amp;ROWS($C$5:C13),Rosters!$B$2:$E$162,4,0),"")</f>
        <v>30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4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52</v>
      </c>
      <c r="H20">
        <f>SUM(H5:H19)</f>
        <v>33</v>
      </c>
      <c r="K20">
        <f>SUM(K5:K19)</f>
        <v>36</v>
      </c>
      <c r="N20">
        <f>SUM(N5:N19)</f>
        <v>14</v>
      </c>
      <c r="Q20">
        <f>SUM(Q5:Q19)</f>
        <v>10</v>
      </c>
      <c r="T20">
        <f>SUM(T5:T19)</f>
        <v>9</v>
      </c>
    </row>
    <row r="21" spans="1:21" x14ac:dyDescent="0.25">
      <c r="A21" s="2" t="s">
        <v>17</v>
      </c>
      <c r="B21" s="1" t="s">
        <v>27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Steve</v>
      </c>
      <c r="B23" s="5" t="str">
        <f>_xlfn.IFNA(VLOOKUP($B$21&amp;ROWS($B$23:B23),Rosters!$B$2:$D$162,3,0),"?")</f>
        <v>Panos</v>
      </c>
      <c r="C23" s="5">
        <f>_xlfn.IFNA(VLOOKUP($B$21&amp;ROWS($C$23:C23),Rosters!$B$2:$E$162,4,0),"")</f>
        <v>0</v>
      </c>
      <c r="D23" s="5"/>
      <c r="E23" s="5">
        <v>11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5</v>
      </c>
      <c r="R23" s="5"/>
      <c r="S23" s="5"/>
      <c r="T23" s="5">
        <v>4</v>
      </c>
      <c r="U23" s="5"/>
    </row>
    <row r="24" spans="1:21" s="6" customFormat="1" x14ac:dyDescent="0.25">
      <c r="A24" s="6" t="str">
        <f>_xlfn.IFNA(VLOOKUP($B$21&amp;ROWS($A$23:A24),Rosters!$B$2:$C$162,2,0),"?")</f>
        <v>James</v>
      </c>
      <c r="B24" s="6" t="str">
        <f>_xlfn.IFNA(VLOOKUP($B$21&amp;ROWS($B$23:B24),Rosters!$B$2:$D$162,3,0),"?")</f>
        <v>Walljasper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Drew</v>
      </c>
      <c r="B25" s="5" t="str">
        <f>_xlfn.IFNA(VLOOKUP($B$21&amp;ROWS($B$23:B25),Rosters!$B$2:$D$162,3,0),"?")</f>
        <v>Lokeni</v>
      </c>
      <c r="C25" s="5">
        <f>_xlfn.IFNA(VLOOKUP($B$21&amp;ROWS($C$23:C25),Rosters!$B$2:$E$162,4,0),"")</f>
        <v>7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Jeremy</v>
      </c>
      <c r="B26" s="6" t="str">
        <f>_xlfn.IFNA(VLOOKUP($B$21&amp;ROWS($B$23:B26),Rosters!$B$2:$D$162,3,0),"?")</f>
        <v>Dowdell</v>
      </c>
      <c r="C26" s="6">
        <f>_xlfn.IFNA(VLOOKUP($B$21&amp;ROWS($C$23:C26),Rosters!$B$2:$E$162,4,0),"")</f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5">
      <c r="A27" s="5" t="str">
        <f>_xlfn.IFNA(VLOOKUP($B$21&amp;ROWS($A$23:A27),Rosters!$B$2:$C$162,2,0),"?")</f>
        <v>Caleb</v>
      </c>
      <c r="B27" s="5" t="str">
        <f>_xlfn.IFNA(VLOOKUP($B$21&amp;ROWS($B$23:B27),Rosters!$B$2:$D$162,3,0),"?")</f>
        <v>Leonhardt</v>
      </c>
      <c r="C27" s="5">
        <f>_xlfn.IFNA(VLOOKUP($B$21&amp;ROWS($C$23:C27),Rosters!$B$2:$E$162,4,0),"")</f>
        <v>12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2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Adam</v>
      </c>
      <c r="B28" s="6" t="str">
        <f>_xlfn.IFNA(VLOOKUP($B$21&amp;ROWS($B$23:B28),Rosters!$B$2:$D$162,3,0),"?")</f>
        <v>Egan</v>
      </c>
      <c r="C28" s="6">
        <f>_xlfn.IFNA(VLOOKUP($B$21&amp;ROWS($C$23:C28),Rosters!$B$2:$E$162,4,0),"")</f>
        <v>13</v>
      </c>
      <c r="E28" s="6">
        <v>13</v>
      </c>
      <c r="H28" s="6">
        <v>8</v>
      </c>
      <c r="K28" s="6">
        <v>3</v>
      </c>
      <c r="N28" s="6">
        <v>1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Wil</v>
      </c>
      <c r="B29" s="5" t="str">
        <f>_xlfn.IFNA(VLOOKUP($B$21&amp;ROWS($B$23:B29),Rosters!$B$2:$D$162,3,0),"?")</f>
        <v>Carter</v>
      </c>
      <c r="C29" s="5">
        <f>_xlfn.IFNA(VLOOKUP($B$21&amp;ROWS($C$23:C29),Rosters!$B$2:$E$162,4,0),"")</f>
        <v>15</v>
      </c>
      <c r="D29" s="5"/>
      <c r="E29" s="5">
        <v>13</v>
      </c>
      <c r="F29" s="5"/>
      <c r="G29" s="5"/>
      <c r="H29" s="5">
        <v>6</v>
      </c>
      <c r="I29" s="5"/>
      <c r="J29" s="5"/>
      <c r="K29" s="5">
        <v>5</v>
      </c>
      <c r="L29" s="5"/>
      <c r="M29" s="5"/>
      <c r="N29" s="5">
        <v>4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Tony</v>
      </c>
      <c r="B30" s="6" t="str">
        <f>_xlfn.IFNA(VLOOKUP($B$21&amp;ROWS($B$23:B30),Rosters!$B$2:$D$162,3,0),"?")</f>
        <v>Roberts</v>
      </c>
      <c r="C30" s="6">
        <f>_xlfn.IFNA(VLOOKUP($B$21&amp;ROWS($C$23:C30),Rosters!$B$2:$E$162,4,0),"")</f>
        <v>21</v>
      </c>
      <c r="E30" s="6">
        <v>21</v>
      </c>
      <c r="H30" s="6">
        <v>10</v>
      </c>
      <c r="K30" s="6">
        <v>4</v>
      </c>
      <c r="N30" s="6">
        <v>1</v>
      </c>
      <c r="Q30" s="6">
        <v>5</v>
      </c>
      <c r="T30" s="6">
        <v>5</v>
      </c>
    </row>
    <row r="31" spans="1:21" s="6" customFormat="1" x14ac:dyDescent="0.25">
      <c r="A31" s="5" t="str">
        <f>_xlfn.IFNA(VLOOKUP($B$21&amp;ROWS($A$23:A31),Rosters!$B$2:$C$162,2,0),"?")</f>
        <v>Quan</v>
      </c>
      <c r="B31" s="5" t="str">
        <f>_xlfn.IFNA(VLOOKUP($B$21&amp;ROWS($B$23:B31),Rosters!$B$2:$D$162,3,0),"?")</f>
        <v>Thompson</v>
      </c>
      <c r="C31" s="5">
        <f>_xlfn.IFNA(VLOOKUP($B$21&amp;ROWS($C$23:C31),Rosters!$B$2:$E$162,4,0),"")</f>
        <v>24</v>
      </c>
      <c r="D31" s="5"/>
      <c r="E31" s="5">
        <v>2</v>
      </c>
      <c r="F31" s="5"/>
      <c r="G31" s="5"/>
      <c r="H31" s="5">
        <v>0</v>
      </c>
      <c r="I31" s="5"/>
      <c r="J31" s="5"/>
      <c r="K31" s="5">
        <v>5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Rylan</v>
      </c>
      <c r="B32" s="6" t="str">
        <f>_xlfn.IFNA(VLOOKUP($B$21&amp;ROWS($B$23:B32),Rosters!$B$2:$D$162,3,0),"?")</f>
        <v>Jones</v>
      </c>
      <c r="C32" s="6">
        <f>_xlfn.IFNA(VLOOKUP($B$21&amp;ROWS($C$23:C32),Rosters!$B$2:$E$162,4,0),"")</f>
        <v>30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61</v>
      </c>
      <c r="H38">
        <f>SUM(H23:H37)</f>
        <v>28</v>
      </c>
      <c r="K38">
        <f>SUM(K23:K37)</f>
        <v>23</v>
      </c>
      <c r="N38">
        <f>SUM(N23:N37)</f>
        <v>11</v>
      </c>
      <c r="Q38">
        <f>SUM(Q23:Q37)</f>
        <v>12</v>
      </c>
      <c r="T38">
        <f>SUM(T23:T37)</f>
        <v>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271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272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2021-07-21T02:21:44Z</dcterms:modified>
</cp:coreProperties>
</file>