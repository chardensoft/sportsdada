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4T164158Z-001/"/>
    </mc:Choice>
  </mc:AlternateContent>
  <xr:revisionPtr revIDLastSave="0" documentId="13_ncr:1_{AFA1D78A-95FD-554C-A757-B1AEEB255C85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<sst xmlns="http://schemas.openxmlformats.org/spreadsheetml/2006/main" count="487" uniqueCount="272">
  <si>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</si>
  <si>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</si>
  <si>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</si>
  <si>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</si>
  <si>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</si>
  <si>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</si>
  <si>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</si>
  <si>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</si>
  <si>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</si>
  <si>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</si>
  <si>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</si>
  <si>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</si>
  <si>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</si>
  <si>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</si>
  <si>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</si>
  <si>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</si>
  <si>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</si>
  <si>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</si>
  <si>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</si>
  <si>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</si>
  <si>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</si>
  <si>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</si>
  <si>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</si>
  <si>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</si>
  <si>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</si>
  <si>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</si>
  <si>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</si>
  <si>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</si>
  <si>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</si>
  <si>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</si>
  <si>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</si>
  <si>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</si>
  <si>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</si>
  <si>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</si>
  <si>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</si>
  <si>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</si>
  <si>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</si>
  <si>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</si>
  <si>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</si>
  <si>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</si>
  <si>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</si>
  <si>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</si>
  <si>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</si>
  <si>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</si>
  <si>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</si>
  <si>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</si>
  <si>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</si>
  <si>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</si>
  <si>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</si>
  <si>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</si>
  <si>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</si>
  <si>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</si>
  <si>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</si>
  <si>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</si>
  <si>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</si>
  <si>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</si>
  <si>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</si>
  <si>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</si>
  <si>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</si>
  <si>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</si>
  <si>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</si>
  <si>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</si>
  <si>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</si>
  <si>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</si>
  <si>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</si>
  <si>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</si>
  <si>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</si>
  <si>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</si>
  <si>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</si>
  <si>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</si>
  <si>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</si>
  <si>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</si>
  <si>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</si>
  <si>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</si>
  <si>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</si>
  <si>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</si>
  <si>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</si>
  <si>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</si>
  <si>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</si>
  <si>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</si>
  <si>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</si>
  <si>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</si>
  <si>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</si>
  <si>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</si>
  <si>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</si>
  <si>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</si>
  <si>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</si>
  <si>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</si>
  <si>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</si>
  <si>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</si>
  <si>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</si>
  <si>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</si>
  <si>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</si>
  <si>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</si>
  <si>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</si>
  <si>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</si>
  <si>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</si>
  <si>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</si>
  <si>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</si>
  <si>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</si>
  <si>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</si>
  <si>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</si>
  <si>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</si>
  <si>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</si>
  <si>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</si>
  <si>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</si>
  <si>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</si>
  <si>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</si>
  <si>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</si>
  <si>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</si>
  <si>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</si>
  <si>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</si>
  <si>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</si>
  <si>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</si>
  <si>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</si>
  <si>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</si>
  <si>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</si>
  <si>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</si>
  <si>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</si>
  <si>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</si>
  <si>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</si>
  <si>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</si>
  <si>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</si>
  <si>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</si>
  <si>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</si>
  <si>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</si>
  <si>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</si>
  <si>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</si>
  <si>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</si>
  <si>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</si>
  <si>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</si>
  <si>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</si>
  <si>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</si>
  <si>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</si>
  <si>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</si>
  <si>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</si>
  <si>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</si>
  <si>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</si>
  <si>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</si>
  <si>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</si>
  <si>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</si>
  <si>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</si>
  <si>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</si>
  <si>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</si>
  <si>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</si>
  <si>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</si>
  <si>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</si>
  <si>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</si>
  <si>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</si>
  <si>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</si>
  <si>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</si>
  <si>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</si>
  <si>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</si>
  <si>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</si>
  <si>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</si>
  <si>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</si>
  <si>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</si>
  <si>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</si>
  <si>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</si>
  <si>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</si>
  <si>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</si>
  <si>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</si>
  <si>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</si>
  <si>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</si>
  <si>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</si>
  <si>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</si>
  <si>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</si>
  <si>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</si>
  <si>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</si>
  <si>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</si>
  <si>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</si>
  <si>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</si>
  <si>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</si>
  <si>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</si>
  <si>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</si>
  <si>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</si>
  <si>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</si>
  <si>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</si>
  <si>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</si>
  <si>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</si>
  <si>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</si>
  <si>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</si>
  <si>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</si>
  <si>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</si>
  <si>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</si>
  <si>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</si>
  <si>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</si>
  <si>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</si>
  <si>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</si>
  <si>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</si>
  <si>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</si>
  <si>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</si>
  <si>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</si>
  <si>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</si>
  <si>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</si>
  <si>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</si>
  <si>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</si>
  <si>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</si>
  <si>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</si>
  <si>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</si>
  <si>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</si>
  <si>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</si>
  <si>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</si>
  <si>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</si>
  <si>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</si>
  <si>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</si>
  <si>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</si>
  <si>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</si>
  <si>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</si>
  <si>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</si>
  <si>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</si>
  <si>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</si>
  <si>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</si>
  <si>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</si>
  <si>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</si>
  <si>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</si>
  <si>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</si>
  <si>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</si>
  <si>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</si>
  <si>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</si>
  <si>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</si>
  <si>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</si>
  <si>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</si>
  <si>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</si>
  <si>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</si>
  <si>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</si>
  <si>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</si>
  <si>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</si>
  <si>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</si>
  <si>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</si>
  <si>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</si>
  <si>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</si>
  <si>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</si>
  <si>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</si>
  <si>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</si>
  <si>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</si>
  <si>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</si>
  <si>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</si>
  <si>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</si>
  <si>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</si>
  <si>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</si>
  <si>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</si>
  <si>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</si>
  <si>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</si>
  <si>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</si>
  <si>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</si>
  <si>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</si>
  <si>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</si>
  <si>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</si>
  <si>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</si>
  <si>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</si>
  <si>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</si>
  <si>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</si>
  <si>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</si>
  <si>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</si>
  <si>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</si>
  <si>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</si>
  <si>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</si>
  <si>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</si>
  <si>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</si>
  <si>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</si>
  <si>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</si>
  <si>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</si>
  <si>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</si>
  <si>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</si>
  <si>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</si>
  <si>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</si>
  <si>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</si>
  <si>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</si>
  <si>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STLS</t>
  </si>
  <si>
    <t>Demps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</si>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</sst>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L19" sqref="L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Covington</v>
      </c>
    </row>
    <row r="2" spans="2:13" x14ac:dyDescent="0.2">
      <c r="B2" t="str">
        <f>G1</f>
        <v>Covington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271</v>
      </c>
      <c r="M2" t="s">
        <v>265</v>
      </c>
    </row>
    <row r="3" spans="2:13" x14ac:dyDescent="0.2">
      <c r="B3">
        <f>I18</f>
        <v>23</v>
      </c>
      <c r="C3" s="3" t="s">
        <v>6</v>
      </c>
      <c r="D3" s="4">
        <f>J37</f>
        <v>23</v>
      </c>
      <c r="F3" t="str">
        <f>'Stats G1'!A5</f>
        <v>Marion</v>
      </c>
      <c r="G3" t="str">
        <f>'Stats G1'!B5</f>
        <v>Humphrey</v>
      </c>
      <c r="H3">
        <f>'Stats G1'!C5</f>
        <v>0</v>
      </c>
      <c r="I3">
        <f>'Stats G1'!E5</f>
        <v>0</v>
      </c>
      <c r="J3">
        <f>'Stats G1'!H5</f>
        <v>0</v>
      </c>
      <c r="K3">
        <f>'Stats G1'!K5</f>
        <v>0</v>
      </c>
      <c r="L3">
        <f>'Stats G1'!N5</f>
        <v>0</v>
      </c>
    </row>
    <row r="4" spans="2:13" x14ac:dyDescent="0.2">
      <c r="F4" t="str">
        <f>'Stats G1'!A6</f>
        <v>Festus</v>
      </c>
      <c r="G4" t="str">
        <f>'Stats G1'!B6</f>
        <v>Ndumanya</v>
      </c>
      <c r="H4" t="str">
        <f>'Stats G1'!C6</f>
        <v>00</v>
      </c>
      <c r="I4">
        <f>'Stats G1'!E6</f>
        <v>3</v>
      </c>
      <c r="J4">
        <f>'Stats G1'!H6</f>
        <v>2</v>
      </c>
      <c r="K4">
        <f>'Stats G1'!K6</f>
        <v>0</v>
      </c>
      <c r="L4">
        <f>'Stats G1'!N6</f>
        <v>2</v>
      </c>
    </row>
    <row r="5" spans="2:13" x14ac:dyDescent="0.2">
      <c r="F5" t="str">
        <f>'Stats G1'!A7</f>
        <v>Christian</v>
      </c>
      <c r="G5" t="str">
        <f>'Stats G1'!B7</f>
        <v>Haffner</v>
      </c>
      <c r="H5">
        <f>'Stats G1'!C7</f>
        <v>2</v>
      </c>
      <c r="I5">
        <f>'Stats G1'!E7</f>
        <v>0</v>
      </c>
      <c r="J5">
        <f>'Stats G1'!H7</f>
        <v>0</v>
      </c>
      <c r="K5">
        <f>'Stats G1'!K7</f>
        <v>0</v>
      </c>
      <c r="L5">
        <f>'Stats G1'!N7</f>
        <v>1</v>
      </c>
    </row>
    <row r="6" spans="2:13" x14ac:dyDescent="0.2">
      <c r="F6" t="str">
        <f>'Stats G1'!A8</f>
        <v>Oscar</v>
      </c>
      <c r="G6" t="str">
        <f>'Stats G1'!B8</f>
        <v>Lopez</v>
      </c>
      <c r="H6">
        <f>'Stats G1'!C8</f>
        <v>3</v>
      </c>
      <c r="I6">
        <f>'Stats G1'!E8</f>
        <v>0</v>
      </c>
      <c r="J6">
        <f>'Stats G1'!H8</f>
        <v>0</v>
      </c>
      <c r="K6">
        <f>'Stats G1'!K8</f>
        <v>0</v>
      </c>
      <c r="L6">
        <f>'Stats G1'!N8</f>
        <v>0</v>
      </c>
    </row>
    <row r="7" spans="2:13" x14ac:dyDescent="0.2">
      <c r="F7" t="str">
        <f>'Stats G1'!A9</f>
        <v>Max</v>
      </c>
      <c r="G7" t="str">
        <f>'Stats G1'!B9</f>
        <v>Watson</v>
      </c>
      <c r="H7">
        <f>'Stats G1'!C9</f>
        <v>4</v>
      </c>
      <c r="I7">
        <f>'Stats G1'!E9</f>
        <v>0</v>
      </c>
      <c r="J7">
        <f>'Stats G1'!H9</f>
        <v>0</v>
      </c>
      <c r="K7">
        <f>'Stats G1'!K9</f>
        <v>0</v>
      </c>
      <c r="L7">
        <f>'Stats G1'!N9</f>
        <v>0</v>
      </c>
    </row>
    <row r="8" spans="2:13" x14ac:dyDescent="0.2">
      <c r="F8" t="str">
        <f>'Stats G1'!A10</f>
        <v>Quincy</v>
      </c>
      <c r="G8" t="str">
        <f>'Stats G1'!B10</f>
        <v>McGriff</v>
      </c>
      <c r="H8">
        <f>'Stats G1'!C10</f>
        <v>5</v>
      </c>
      <c r="I8">
        <f>'Stats G1'!E10</f>
        <v>5</v>
      </c>
      <c r="J8">
        <f>'Stats G1'!H10</f>
        <v>2</v>
      </c>
      <c r="K8">
        <f>'Stats G1'!K10</f>
        <v>1</v>
      </c>
      <c r="L8">
        <f>'Stats G1'!N10</f>
        <v>2</v>
      </c>
    </row>
    <row r="9" spans="2:13" x14ac:dyDescent="0.2">
      <c r="F9" t="str">
        <f>'Stats G1'!A11</f>
        <v>Nick</v>
      </c>
      <c r="G9" t="str">
        <f>'Stats G1'!B11</f>
        <v>Covington</v>
      </c>
      <c r="H9">
        <f>'Stats G1'!C11</f>
        <v>7</v>
      </c>
      <c r="I9">
        <f>'Stats G1'!E11</f>
        <v>3</v>
      </c>
      <c r="J9">
        <f>'Stats G1'!H11</f>
        <v>4</v>
      </c>
      <c r="K9">
        <f>'Stats G1'!K11</f>
        <v>1</v>
      </c>
      <c r="L9">
        <f>'Stats G1'!N11</f>
        <v>2</v>
      </c>
    </row>
    <row r="10" spans="2:13" x14ac:dyDescent="0.2">
      <c r="F10" t="str">
        <f>'Stats G1'!A12</f>
        <v>Chase</v>
      </c>
      <c r="G10" t="str">
        <f>'Stats G1'!B12</f>
        <v>Adam</v>
      </c>
      <c r="H10">
        <f>'Stats G1'!C12</f>
        <v>10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</f>
        <v>0</v>
      </c>
    </row>
    <row r="11" spans="2:13" x14ac:dyDescent="0.2">
      <c r="F11" t="str">
        <f>'Stats G1'!A13</f>
        <v>Tanner</v>
      </c>
      <c r="G11" t="str">
        <f>'Stats G1'!B13</f>
        <v>Cuff</v>
      </c>
      <c r="H11">
        <f>'Stats G1'!C13</f>
        <v>11</v>
      </c>
      <c r="I11">
        <f>'Stats G1'!E13</f>
        <v>6</v>
      </c>
      <c r="J11">
        <f>'Stats G1'!H13</f>
        <v>3</v>
      </c>
      <c r="K11">
        <f>'Stats G1'!K13</f>
        <v>0</v>
      </c>
      <c r="L11">
        <f>'Stats G1'!N13</f>
        <v>5</v>
      </c>
    </row>
    <row r="12" spans="2:13" x14ac:dyDescent="0.2">
      <c r="F12" t="str">
        <f>'Stats G1'!A14</f>
        <v>Jackson</v>
      </c>
      <c r="G12" t="str">
        <f>'Stats G1'!B14</f>
        <v>Last</v>
      </c>
      <c r="H12">
        <f>'Stats G1'!C14</f>
        <v>13</v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</f>
        <v>0</v>
      </c>
    </row>
    <row r="13" spans="2:13" x14ac:dyDescent="0.2">
      <c r="F13" t="str">
        <f>'Stats G1'!A15</f>
        <v xml:space="preserve">Jaxon </v>
      </c>
      <c r="G13" t="str">
        <f>'Stats G1'!B15</f>
        <v>Pollard</v>
      </c>
      <c r="H13">
        <f>'Stats G1'!C15</f>
        <v>15</v>
      </c>
      <c r="I13">
        <f>'Stats G1'!E15</f>
        <v>6</v>
      </c>
      <c r="J13">
        <f>'Stats G1'!H15</f>
        <v>3</v>
      </c>
      <c r="K13">
        <f>'Stats G1'!K15</f>
        <v>1</v>
      </c>
      <c r="L13">
        <f>'Stats G1'!N15</f>
        <v>1</v>
      </c>
    </row>
    <row r="14" spans="2:13" x14ac:dyDescent="0.2">
      <c r="F14" t="str">
        <f>'Stats G1'!A16</f>
        <v>Tyson</v>
      </c>
      <c r="G14" t="str">
        <f>'Stats G1'!B16</f>
        <v>Garff</v>
      </c>
      <c r="H14">
        <f>'Stats G1'!C16</f>
        <v>22</v>
      </c>
      <c r="I14">
        <f>'Stats G1'!E16</f>
        <v>0</v>
      </c>
      <c r="J14">
        <f>'Stats G1'!H16</f>
        <v>0</v>
      </c>
      <c r="K14">
        <f>'Stats G1'!K16</f>
        <v>0</v>
      </c>
      <c r="L14">
        <f>'Stats G1'!N16</f>
        <v>0</v>
      </c>
    </row>
    <row r="15" spans="2:13" x14ac:dyDescent="0.2">
      <c r="F15" t="str">
        <f>'Stats G1'!A17</f>
        <v>Jordan</v>
      </c>
      <c r="G15" t="str">
        <f>'Stats G1'!B17</f>
        <v>Brinson</v>
      </c>
      <c r="H15">
        <f>'Stats G1'!C17</f>
        <v>23</v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</row>
    <row r="18" spans="6:13" x14ac:dyDescent="0.2">
      <c r="H18" s="2" t="s">
        <v>5</v>
      </c>
      <c r="I18">
        <f>SUM(I3:I17)</f>
        <v>23</v>
      </c>
      <c r="J18">
        <f>SUM(J3:J17)</f>
        <v>14</v>
      </c>
      <c r="K18">
        <f>SUM(K3:K17)</f>
        <v>3</v>
      </c>
      <c r="L18">
        <f>SUM(L3:L17)</f>
        <v>13</v>
      </c>
      <c r="M18">
        <f>'Stats G1'!W5</f>
        <v>0</v>
      </c>
    </row>
    <row r="20" spans="6:13" x14ac:dyDescent="0.2">
      <c r="F20" t="s">
        <v>4</v>
      </c>
      <c r="G20" t="str">
        <f>'Stats G1'!B21</f>
        <v>Clarke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271</v>
      </c>
      <c r="M21" t="s">
        <v>265</v>
      </c>
    </row>
    <row r="22" spans="6:13" x14ac:dyDescent="0.2">
      <c r="F22" t="str">
        <f>'Stats G1'!A23</f>
        <v>Marquis</v>
      </c>
      <c r="G22" t="str">
        <f>'Stats G1'!B23</f>
        <v>O’Shea</v>
      </c>
      <c r="H22">
        <f>'Stats G1'!C23</f>
        <v>0</v>
      </c>
      <c r="I22">
        <f>'Stats G1'!E23</f>
        <v>2</v>
      </c>
      <c r="J22">
        <f>'Stats G1'!H23</f>
        <v>2</v>
      </c>
      <c r="K22">
        <f>'Stats G1'!K23</f>
        <v>0</v>
      </c>
      <c r="L22">
        <f>'Stats G1'!N23</f>
        <v>0</v>
      </c>
    </row>
    <row r="23" spans="6:13" x14ac:dyDescent="0.2">
      <c r="F23" t="str">
        <f>'Stats G1'!A24</f>
        <v>Jaren</v>
      </c>
      <c r="G23" t="str">
        <f>'Stats G1'!B24</f>
        <v>McKnight</v>
      </c>
      <c r="H23">
        <f>'Stats G1'!C24</f>
        <v>1</v>
      </c>
      <c r="I23">
        <f>'Stats G1'!E24</f>
        <v>3</v>
      </c>
      <c r="J23">
        <f>'Stats G1'!H24</f>
        <v>1</v>
      </c>
      <c r="K23">
        <f>'Stats G1'!K24</f>
        <v>1</v>
      </c>
      <c r="L23">
        <f>'Stats G1'!N24</f>
        <v>3</v>
      </c>
    </row>
    <row r="24" spans="6:13" x14ac:dyDescent="0.2">
      <c r="F24" t="str">
        <f>'Stats G1'!A25</f>
        <v>Elijah</v>
      </c>
      <c r="G24" t="str">
        <f>'Stats G1'!B25</f>
        <v>Davy</v>
      </c>
      <c r="H24">
        <f>'Stats G1'!C25</f>
        <v>4</v>
      </c>
      <c r="I24">
        <f>'Stats G1'!E25</f>
        <v>0</v>
      </c>
      <c r="J24">
        <f>'Stats G1'!H25</f>
        <v>0</v>
      </c>
      <c r="K24">
        <f>'Stats G1'!K25</f>
        <v>0</v>
      </c>
      <c r="L24">
        <f>'Stats G1'!N25</f>
        <v>0</v>
      </c>
    </row>
    <row r="25" spans="6:13" x14ac:dyDescent="0.2">
      <c r="F25" t="str">
        <f>'Stats G1'!A26</f>
        <v>Jaxon</v>
      </c>
      <c r="G25" t="str">
        <f>'Stats G1'!B26</f>
        <v>Brenchley</v>
      </c>
      <c r="H25">
        <f>'Stats G1'!C26</f>
        <v>5</v>
      </c>
      <c r="I25">
        <f>'Stats G1'!E26</f>
        <v>5</v>
      </c>
      <c r="J25">
        <f>'Stats G1'!H26</f>
        <v>4</v>
      </c>
      <c r="K25">
        <f>'Stats G1'!K26</f>
        <v>1</v>
      </c>
      <c r="L25">
        <f>'Stats G1'!N26</f>
        <v>1</v>
      </c>
    </row>
    <row r="26" spans="6:13" x14ac:dyDescent="0.2">
      <c r="F26" t="str">
        <f>'Stats G1'!A27</f>
        <v xml:space="preserve">Jay </v>
      </c>
      <c r="G26" t="str">
        <f>'Stats G1'!B27</f>
        <v>Payne</v>
      </c>
      <c r="H26">
        <f>'Stats G1'!C27</f>
        <v>10</v>
      </c>
      <c r="I26">
        <f>'Stats G1'!E27</f>
        <v>0</v>
      </c>
      <c r="J26">
        <f>'Stats G1'!H27</f>
        <v>0</v>
      </c>
      <c r="K26">
        <f>'Stats G1'!K27</f>
        <v>0</v>
      </c>
      <c r="L26">
        <f>'Stats G1'!N27</f>
        <v>0</v>
      </c>
    </row>
    <row r="27" spans="6:13" x14ac:dyDescent="0.2">
      <c r="F27" t="str">
        <f>'Stats G1'!A28</f>
        <v>Jaden</v>
      </c>
      <c r="G27" t="str">
        <f>'Stats G1'!B28</f>
        <v>Vaughn</v>
      </c>
      <c r="H27">
        <f>'Stats G1'!C28</f>
        <v>11</v>
      </c>
      <c r="I27">
        <f>'Stats G1'!E28</f>
        <v>2</v>
      </c>
      <c r="J27">
        <f>'Stats G1'!H28</f>
        <v>9</v>
      </c>
      <c r="K27">
        <f>'Stats G1'!K28</f>
        <v>0</v>
      </c>
      <c r="L27">
        <f>'Stats G1'!N28</f>
        <v>0</v>
      </c>
    </row>
    <row r="28" spans="6:13" x14ac:dyDescent="0.2">
      <c r="F28" t="str">
        <f>'Stats G1'!A29</f>
        <v>Dason</v>
      </c>
      <c r="G28" t="str">
        <f>'Stats G1'!B29</f>
        <v>Youngblood</v>
      </c>
      <c r="H28">
        <f>'Stats G1'!C29</f>
        <v>14</v>
      </c>
      <c r="I28">
        <f>'Stats G1'!E29</f>
        <v>0</v>
      </c>
      <c r="J28">
        <f>'Stats G1'!H29</f>
        <v>0</v>
      </c>
      <c r="K28">
        <f>'Stats G1'!K29</f>
        <v>0</v>
      </c>
      <c r="L28">
        <f>'Stats G1'!N29</f>
        <v>0</v>
      </c>
    </row>
    <row r="29" spans="6:13" x14ac:dyDescent="0.2">
      <c r="F29" t="str">
        <f>'Stats G1'!A30</f>
        <v>Hunter</v>
      </c>
      <c r="G29" t="str">
        <f>'Stats G1'!B30</f>
        <v>Clarke</v>
      </c>
      <c r="H29">
        <f>'Stats G1'!C30</f>
        <v>15</v>
      </c>
      <c r="I29">
        <f>'Stats G1'!E30</f>
        <v>1</v>
      </c>
      <c r="J29">
        <f>'Stats G1'!H30</f>
        <v>5</v>
      </c>
      <c r="K29">
        <f>'Stats G1'!K30</f>
        <v>1</v>
      </c>
      <c r="L29">
        <f>'Stats G1'!N30</f>
        <v>1</v>
      </c>
    </row>
    <row r="30" spans="6:13" x14ac:dyDescent="0.2">
      <c r="F30" t="str">
        <f>'Stats G1'!A31</f>
        <v>Trevin</v>
      </c>
      <c r="G30" t="str">
        <f>'Stats G1'!B31</f>
        <v>Knell</v>
      </c>
      <c r="H30">
        <f>'Stats G1'!C31</f>
        <v>21</v>
      </c>
      <c r="I30">
        <f>'Stats G1'!E31</f>
        <v>0</v>
      </c>
      <c r="J30">
        <f>'Stats G1'!H31</f>
        <v>0</v>
      </c>
      <c r="K30">
        <f>'Stats G1'!K31</f>
        <v>0</v>
      </c>
      <c r="L30">
        <f>'Stats G1'!N31</f>
        <v>0</v>
      </c>
    </row>
    <row r="31" spans="6:13" x14ac:dyDescent="0.2">
      <c r="F31" t="str">
        <f>'Stats G1'!A32</f>
        <v>Hank</v>
      </c>
      <c r="G31" t="str">
        <f>'Stats G1'!B32</f>
        <v>Bushell</v>
      </c>
      <c r="H31">
        <f>'Stats G1'!C32</f>
        <v>23</v>
      </c>
      <c r="I31">
        <f>'Stats G1'!E32</f>
        <v>1</v>
      </c>
      <c r="J31">
        <f>'Stats G1'!H32</f>
        <v>0</v>
      </c>
      <c r="K31">
        <f>'Stats G1'!K32</f>
        <v>1</v>
      </c>
      <c r="L31">
        <f>'Stats G1'!N32</f>
        <v>0</v>
      </c>
    </row>
    <row r="32" spans="6:13" x14ac:dyDescent="0.2">
      <c r="F32" t="str">
        <f>'Stats G1'!A33</f>
        <v>Keon</v>
      </c>
      <c r="G32" t="str">
        <f>'Stats G1'!B33</f>
        <v>Burgout</v>
      </c>
      <c r="H32">
        <f>'Stats G1'!C33</f>
        <v>24</v>
      </c>
      <c r="I32">
        <f>'Stats G1'!E33</f>
        <v>3</v>
      </c>
      <c r="J32">
        <f>'Stats G1'!H33</f>
        <v>0</v>
      </c>
      <c r="K32">
        <f>'Stats G1'!K33</f>
        <v>0</v>
      </c>
      <c r="L32">
        <f>'Stats G1'!N33</f>
        <v>2</v>
      </c>
    </row>
    <row r="33" spans="6:13" x14ac:dyDescent="0.2">
      <c r="F33" t="str">
        <f>'Stats G1'!A34</f>
        <v>Kaleb</v>
      </c>
      <c r="G33" t="str">
        <f>'Stats G1'!B34</f>
        <v>Wilborn</v>
      </c>
      <c r="H33">
        <f>'Stats G1'!C34</f>
        <v>25</v>
      </c>
      <c r="I33">
        <f>'Stats G1'!E34</f>
        <v>0</v>
      </c>
      <c r="J33">
        <f>'Stats G1'!H34</f>
        <v>0</v>
      </c>
      <c r="K33">
        <f>'Stats G1'!K34</f>
        <v>1</v>
      </c>
      <c r="L33">
        <f>'Stats G1'!N34</f>
        <v>0</v>
      </c>
    </row>
    <row r="34" spans="6:13" x14ac:dyDescent="0.2">
      <c r="F34" t="str">
        <f>'Stats G1'!A35</f>
        <v>Riley</v>
      </c>
      <c r="G34" t="str">
        <f>'Stats G1'!B35</f>
        <v>Demps</v>
      </c>
      <c r="H34">
        <f>'Stats G1'!C35</f>
        <v>30</v>
      </c>
      <c r="I34">
        <f>'Stats G1'!E35</f>
        <v>1</v>
      </c>
      <c r="J34">
        <f>'Stats G1'!H35</f>
        <v>2</v>
      </c>
      <c r="K34">
        <f>'Stats G1'!K35</f>
        <v>0</v>
      </c>
      <c r="L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  <c r="L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</f>
        <v>0</v>
      </c>
    </row>
    <row r="37" spans="6:13" x14ac:dyDescent="0.2">
      <c r="H37" s="2" t="s">
        <v>5</v>
      </c>
      <c r="I37">
        <f>SUM(I22:I36)</f>
        <v>18</v>
      </c>
      <c r="J37">
        <f>SUM(J22:J36)</f>
        <v>23</v>
      </c>
      <c r="K37">
        <f>SUM(K22:K36)</f>
        <v>5</v>
      </c>
      <c r="L37">
        <f>SUM(L22:L36)</f>
        <v>7</v>
      </c>
      <c r="M37">
        <f>'Stats G1'!W23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99" workbookViewId="0">
      <selection activeCell="X23" sqref="X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2" hidden="1" x14ac:dyDescent="0.2"/>
    <row r="3" spans="1:22" x14ac:dyDescent="0.2">
      <c r="A3" s="2" t="s">
        <v>8</v>
      </c>
      <c r="B3" s="1" t="s">
        <v>15</v>
      </c>
    </row>
    <row r="4" spans="1:22" x14ac:dyDescent="0.2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  <c r="N4" t="s">
        <v>269</v>
      </c>
    </row>
    <row r="5" spans="1:22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</row>
    <row r="6" spans="1:22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3</v>
      </c>
      <c r="H6" s="6">
        <v>2</v>
      </c>
      <c r="K6" s="6">
        <v>0</v>
      </c>
      <c r="N6" s="6">
        <v>2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5</v>
      </c>
      <c r="H10" s="6">
        <v>2</v>
      </c>
      <c r="K10" s="6">
        <v>1</v>
      </c>
      <c r="N10" s="6">
        <v>2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3</v>
      </c>
      <c r="F11" s="5"/>
      <c r="G11" s="5"/>
      <c r="H11" s="5">
        <v>4</v>
      </c>
      <c r="I11" s="5"/>
      <c r="J11" s="5"/>
      <c r="K11" s="5">
        <v>1</v>
      </c>
      <c r="L11" s="5"/>
      <c r="M11" s="5"/>
      <c r="N11" s="5">
        <v>2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6</v>
      </c>
      <c r="F13" s="5"/>
      <c r="G13" s="5"/>
      <c r="H13" s="5">
        <v>3</v>
      </c>
      <c r="I13" s="5"/>
      <c r="J13" s="5"/>
      <c r="K13" s="5">
        <v>0</v>
      </c>
      <c r="L13" s="5"/>
      <c r="M13" s="5"/>
      <c r="N13" s="5">
        <v>5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6</v>
      </c>
      <c r="F15" s="5"/>
      <c r="G15" s="5"/>
      <c r="H15" s="5">
        <v>3</v>
      </c>
      <c r="I15" s="5"/>
      <c r="J15" s="5"/>
      <c r="K15" s="5">
        <v>1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23</v>
      </c>
      <c r="H20">
        <f>SUM(H5:H19)</f>
        <v>14</v>
      </c>
      <c r="K20">
        <f>SUM(K5:K19)</f>
        <v>3</v>
      </c>
      <c r="N20">
        <f>SUM(N5:N19)</f>
        <v>13</v>
      </c>
      <c r="Q20">
        <f>SUM(Q5:Q19)</f>
        <v>0</v>
      </c>
      <c r="T20">
        <f>SUM(T5:T19)</f>
        <v>0</v>
      </c>
    </row>
    <row r="21" spans="1:23" x14ac:dyDescent="0.2">
      <c r="A21" s="2" t="s">
        <v>9</v>
      </c>
      <c r="B21" s="1" t="s">
        <v>14</v>
      </c>
    </row>
    <row r="22" spans="1:23" x14ac:dyDescent="0.2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  <c r="N22" t="s">
        <v>269</v>
      </c>
    </row>
    <row r="23" spans="1:23" s="6" customFormat="1" x14ac:dyDescent="0.2">
      <c r="A23" s="5" t="str">
        <f>_xlfn.IFNA(VLOOKUP($B$21&amp;ROWS($A$23:A23),Rosters!$B$2:$C$162,2,0),"?")</f>
        <v>Marquis</v>
      </c>
      <c r="B23" s="5" t="str">
        <f>_xlfn.IFNA(VLOOKUP($B$21&amp;ROWS($B$23:B23),Rosters!$B$2:$D$162,3,0),"?")</f>
        <v>O’Shea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Jaren</v>
      </c>
      <c r="B24" s="6" t="str">
        <f>_xlfn.IFNA(VLOOKUP($B$21&amp;ROWS($B$23:B24),Rosters!$B$2:$D$162,3,0),"?")</f>
        <v>McKnight</v>
      </c>
      <c r="C24" s="6">
        <f>_xlfn.IFNA(VLOOKUP($B$21&amp;ROWS($C$23:C24),Rosters!$B$2:$E$162,4,0),"")</f>
        <v>1</v>
      </c>
      <c r="E24" s="6">
        <v>3</v>
      </c>
      <c r="H24" s="6">
        <v>1</v>
      </c>
      <c r="K24" s="6">
        <v>1</v>
      </c>
      <c r="N24" s="6">
        <v>3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Elijah</v>
      </c>
      <c r="B25" s="5" t="str">
        <f>_xlfn.IFNA(VLOOKUP($B$21&amp;ROWS($B$23:B25),Rosters!$B$2:$D$162,3,0),"?")</f>
        <v>Davy</v>
      </c>
      <c r="C25" s="5">
        <f>_xlfn.IFNA(VLOOKUP($B$21&amp;ROWS($C$23:C25),Rosters!$B$2:$E$162,4,0),"")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Jaxon</v>
      </c>
      <c r="B26" s="6" t="str">
        <f>_xlfn.IFNA(VLOOKUP($B$21&amp;ROWS($B$23:B26),Rosters!$B$2:$D$162,3,0),"?")</f>
        <v>Brenchley</v>
      </c>
      <c r="C26" s="6">
        <f>_xlfn.IFNA(VLOOKUP($B$21&amp;ROWS($C$23:C26),Rosters!$B$2:$E$162,4,0),"")</f>
        <v>5</v>
      </c>
      <c r="E26" s="6">
        <v>5</v>
      </c>
      <c r="H26" s="6">
        <v>4</v>
      </c>
      <c r="K26" s="6">
        <v>1</v>
      </c>
      <c r="N26" s="6">
        <v>1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 xml:space="preserve">Jay </v>
      </c>
      <c r="B27" s="5" t="str">
        <f>_xlfn.IFNA(VLOOKUP($B$21&amp;ROWS($B$23:B27),Rosters!$B$2:$D$162,3,0),"?")</f>
        <v>Payne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Jaden</v>
      </c>
      <c r="B28" s="6" t="str">
        <f>_xlfn.IFNA(VLOOKUP($B$21&amp;ROWS($B$23:B28),Rosters!$B$2:$D$162,3,0),"?")</f>
        <v>Vaughn</v>
      </c>
      <c r="C28" s="6">
        <f>_xlfn.IFNA(VLOOKUP($B$21&amp;ROWS($C$23:C28),Rosters!$B$2:$E$162,4,0),"")</f>
        <v>11</v>
      </c>
      <c r="E28" s="6">
        <v>2</v>
      </c>
      <c r="H28" s="6">
        <v>9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Dason</v>
      </c>
      <c r="B29" s="5" t="str">
        <f>_xlfn.IFNA(VLOOKUP($B$21&amp;ROWS($B$23:B29),Rosters!$B$2:$D$162,3,0),"?")</f>
        <v>Youngblood</v>
      </c>
      <c r="C29" s="5">
        <f>_xlfn.IFNA(VLOOKUP($B$21&amp;ROWS($C$23:C29),Rosters!$B$2:$E$162,4,0),"")</f>
        <v>14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Clarke</v>
      </c>
      <c r="C30" s="6">
        <f>_xlfn.IFNA(VLOOKUP($B$21&amp;ROWS($C$23:C30),Rosters!$B$2:$E$162,4,0),"")</f>
        <v>15</v>
      </c>
      <c r="E30" s="6">
        <v>1</v>
      </c>
      <c r="H30" s="6">
        <v>5</v>
      </c>
      <c r="K30" s="6">
        <v>1</v>
      </c>
      <c r="N30" s="6">
        <v>1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Trevin</v>
      </c>
      <c r="B31" s="5" t="str">
        <f>_xlfn.IFNA(VLOOKUP($B$21&amp;ROWS($B$23:B31),Rosters!$B$2:$D$162,3,0),"?")</f>
        <v>Knell</v>
      </c>
      <c r="C31" s="5">
        <f>_xlfn.IFNA(VLOOKUP($B$21&amp;ROWS($C$23:C31),Rosters!$B$2:$E$162,4,0),"")</f>
        <v>21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Hank</v>
      </c>
      <c r="B32" s="6" t="str">
        <f>_xlfn.IFNA(VLOOKUP($B$21&amp;ROWS($B$23:B32),Rosters!$B$2:$D$162,3,0),"?")</f>
        <v>Bushell</v>
      </c>
      <c r="C32" s="6">
        <f>_xlfn.IFNA(VLOOKUP($B$21&amp;ROWS($C$23:C32),Rosters!$B$2:$E$162,4,0),"")</f>
        <v>23</v>
      </c>
      <c r="E32" s="6">
        <v>1</v>
      </c>
      <c r="H32" s="6">
        <v>0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Keon</v>
      </c>
      <c r="B33" s="5" t="str">
        <f>_xlfn.IFNA(VLOOKUP($B$21&amp;ROWS($B$23:B33),Rosters!$B$2:$D$162,3,0),"?")</f>
        <v>Burgout</v>
      </c>
      <c r="C33" s="5">
        <f>_xlfn.IFNA(VLOOKUP($B$21&amp;ROWS($C$23:C33),Rosters!$B$2:$E$162,4,0),"")</f>
        <v>24</v>
      </c>
      <c r="D33" s="5"/>
      <c r="E33" s="5">
        <v>3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Kaleb</v>
      </c>
      <c r="B34" s="6" t="str">
        <f>_xlfn.IFNA(VLOOKUP($B$21&amp;ROWS($B$23:B34),Rosters!$B$2:$D$162,3,0),"?")</f>
        <v>Wilborn</v>
      </c>
      <c r="C34" s="6">
        <f>_xlfn.IFNA(VLOOKUP($B$21&amp;ROWS($C$23:C34),Rosters!$B$2:$E$162,4,0),"")</f>
        <v>25</v>
      </c>
      <c r="D34"/>
      <c r="E34" s="6">
        <v>0</v>
      </c>
      <c r="F34"/>
      <c r="G34"/>
      <c r="H34" s="6">
        <v>0</v>
      </c>
      <c r="I34"/>
      <c r="J34"/>
      <c r="K34" s="6">
        <v>1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217</v>
      </c>
      <c r="B35" s="5" t="s">
        <v>270</v>
      </c>
      <c r="C35" s="5">
        <v>30</v>
      </c>
      <c r="D35" s="5"/>
      <c r="E35" s="5">
        <v>1</v>
      </c>
      <c r="F35" s="5"/>
      <c r="G35" s="5"/>
      <c r="H35" s="5">
        <v>2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18</v>
      </c>
      <c r="H38">
        <f>SUM(H23:H37)</f>
        <v>23</v>
      </c>
      <c r="K38">
        <f>SUM(K23:K37)</f>
        <v>5</v>
      </c>
      <c r="N38">
        <f>SUM(N23:N37)</f>
        <v>7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B141" sqref="B14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2021-07-24T16:44:26Z</dcterms:modified>
</cp:coreProperties>
</file>