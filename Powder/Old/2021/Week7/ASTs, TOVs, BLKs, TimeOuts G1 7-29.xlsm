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30T140255Z-001/"/>
    </mc:Choice>
  </mc:AlternateContent>
  <xr:revisionPtr revIDLastSave="0" documentId="13_ncr:1_{5D650342-F15B-B44F-ACD5-13C88FC3A247}" xr6:coauthVersionLast="47" xr6:coauthVersionMax="47" xr10:uidLastSave="{00000000-0000-0000-0000-000000000000}"/>
  <bookViews>
    <workbookView xWindow="11060" yWindow="540" windowWidth="15920" windowHeight="129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37" i="2" l="1"/>
  <c r="L18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I37" i="2" l="1"/>
  <c r="M37" i="2"/>
  <c r="M18" i="2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F4" i="2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G17" i="2"/>
  <c r="C10" i="1"/>
  <c r="H8" i="2" s="1"/>
  <c r="A35" i="1"/>
  <c r="F34" i="2" s="1"/>
  <c r="G16" i="2"/>
  <c r="C9" i="1"/>
  <c r="H7" i="2" s="1"/>
  <c r="B29" i="1"/>
  <c r="G28" i="2" s="1"/>
  <c r="F16" i="2"/>
  <c r="B9" i="1"/>
  <c r="G7" i="2" s="1"/>
  <c r="H14" i="2"/>
  <c r="C8" i="1"/>
  <c r="A23" i="1"/>
  <c r="F22" i="2" s="1"/>
  <c r="A37" i="1"/>
  <c r="F36" i="2" s="1"/>
  <c r="B34" i="1"/>
  <c r="G33" i="2" s="1"/>
  <c r="C31" i="1"/>
  <c r="H30" i="2" s="1"/>
  <c r="A29" i="1"/>
  <c r="F28" i="2" s="1"/>
  <c r="G25" i="2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B17" i="1"/>
  <c r="A17" i="1"/>
  <c r="A9" i="1"/>
  <c r="F7" i="2" s="1"/>
  <c r="B16" i="1"/>
  <c r="B8" i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F25" i="2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A8" i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<sst xmlns="http://schemas.openxmlformats.org/spreadsheetml/2006/main" count="500" uniqueCount="279">
  <si>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</si>
  <si>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</si>
  <si>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</si>
  <si>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</si>
  <si>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</si>
  <si>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</si>
  <si>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</si>
  <si>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</si>
  <si>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</si>
  <si>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</si>
  <si>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</si>
  <si>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</si>
  <si>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</si>
  <si>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</si>
  <si>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</si>
  <si>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</si>
  <si>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</si>
  <si>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</si>
  <si>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</si>
  <si>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</si>
  <si>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</si>
  <si>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</si>
  <si>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</si>
  <si>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</si>
  <si>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</si>
  <si>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</si>
  <si>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</si>
  <si>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</si>
  <si>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</si>
  <si>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</si>
  <si>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</si>
  <si>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</si>
  <si>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</si>
  <si>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</si>
  <si>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</si>
  <si>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</si>
  <si>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</si>
  <si>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</si>
  <si>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</si>
  <si>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</si>
  <si>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</si>
  <si>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</si>
  <si>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</si>
  <si>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</si>
  <si>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</si>
  <si>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</si>
  <si>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</si>
  <si>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</si>
  <si>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</si>
  <si>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</si>
  <si>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</si>
  <si>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</si>
  <si>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</si>
  <si>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</si>
  <si>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</si>
  <si>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</si>
  <si>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</si>
  <si>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</si>
  <si>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</si>
  <si>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</si>
  <si>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</si>
  <si>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</si>
  <si>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</si>
  <si>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</si>
  <si>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</si>
  <si>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</si>
  <si>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</si>
  <si>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</si>
  <si>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</si>
  <si>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</si>
  <si>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</si>
  <si>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</si>
  <si>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</si>
  <si>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</si>
  <si>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</si>
  <si>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</si>
  <si>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</si>
  <si>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</si>
  <si>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</si>
  <si>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</si>
  <si>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</si>
  <si>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</si>
  <si>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</si>
  <si>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</si>
  <si>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</si>
  <si>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</si>
  <si>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</si>
  <si>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</si>
  <si>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</si>
  <si>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</si>
  <si>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</si>
  <si>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</si>
  <si>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</si>
  <si>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</si>
  <si>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</si>
  <si>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</si>
  <si>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</si>
  <si>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</si>
  <si>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</si>
  <si>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</si>
  <si>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</si>
  <si>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</si>
  <si>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</si>
  <si>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</si>
  <si>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</si>
  <si>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</si>
  <si>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</si>
  <si>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</si>
  <si>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</si>
  <si>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</si>
  <si>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</si>
  <si>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</si>
  <si>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</si>
  <si>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</si>
  <si>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</si>
  <si>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</si>
  <si>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</si>
  <si>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</si>
  <si>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</si>
  <si>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</si>
  <si>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</si>
  <si>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</si>
  <si>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</si>
  <si>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</si>
  <si>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</si>
  <si>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</si>
  <si>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</si>
  <si>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</si>
  <si>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</si>
  <si>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</si>
  <si>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</si>
  <si>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</si>
  <si>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</si>
  <si>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</si>
  <si>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</si>
  <si>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</si>
  <si>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</si>
  <si>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</si>
  <si>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</si>
  <si>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</si>
  <si>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</si>
  <si>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</si>
  <si>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</si>
  <si>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</si>
  <si>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</si>
  <si>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</si>
  <si>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</si>
  <si>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</si>
  <si>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</si>
  <si>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</si>
  <si>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</si>
  <si>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</si>
  <si>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</si>
  <si>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</si>
  <si>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</si>
  <si>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</si>
  <si>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</si>
  <si>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</si>
  <si>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</si>
  <si>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</si>
  <si>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</si>
  <si>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</si>
  <si>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</si>
  <si>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</si>
  <si>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</si>
  <si>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</si>
  <si>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</si>
  <si>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</si>
  <si>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</si>
  <si>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</si>
  <si>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</si>
  <si>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</si>
  <si>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</si>
  <si>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</si>
  <si>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</si>
  <si>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</si>
  <si>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</si>
  <si>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</si>
  <si>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</si>
  <si>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</si>
  <si>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</si>
  <si>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</si>
  <si>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</si>
  <si>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</si>
  <si>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</si>
  <si>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</si>
  <si>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</si>
  <si>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</si>
  <si>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</si>
  <si>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</si>
  <si>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</si>
  <si>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</si>
  <si>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</si>
  <si>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</si>
  <si>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</si>
  <si>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</si>
  <si>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</si>
  <si>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</si>
  <si>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</si>
  <si>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</si>
  <si>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</si>
  <si>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</si>
  <si>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</si>
  <si>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</si>
  <si>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</si>
  <si>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</si>
  <si>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</si>
  <si>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</si>
  <si>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</si>
  <si>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</si>
  <si>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</si>
  <si>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</si>
  <si>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</si>
  <si>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</si>
  <si>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</si>
  <si>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</si>
  <si>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</si>
  <si>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</si>
  <si>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</si>
  <si>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</si>
  <si>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</si>
  <si>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</si>
  <si>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</si>
  <si>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</si>
  <si>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</si>
  <si>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</si>
  <si>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</si>
  <si>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</si>
  <si>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</si>
  <si>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</si>
  <si>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</si>
  <si>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</si>
  <si>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</si>
  <si>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</si>
  <si>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</si>
  <si>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</si>
  <si>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</si>
  <si>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</si>
  <si>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</si>
  <si>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</si>
  <si>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</si>
  <si>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</si>
  <si>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</si>
  <si>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</si>
  <si>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</si>
  <si>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</si>
  <si>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</si>
  <si>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</si>
  <si>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</si>
  <si>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</si>
  <si>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</si>
  <si>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</si>
  <si>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</si>
  <si>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</si>
  <si>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</si>
  <si>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</si>
  <si>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</si>
  <si>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</si>
  <si>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</si>
  <si>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</si>
  <si>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</si>
  <si>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</si>
  <si>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</si>
  <si>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</si>
  <si>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</si>
  <si>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</si>
  <si>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</si>
  <si>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</si>
  <si>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</si>
  <si>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Keegan</t>
  </si>
  <si>
    <t>Doctor</t>
  </si>
  <si>
    <t>Bradley</t>
  </si>
  <si>
    <t>sec</t>
  </si>
  <si>
    <t>MP</t>
  </si>
  <si>
    <t>0-0</t>
  </si>
  <si>
    <t>Both</t>
  </si>
  <si>
    <t>Gach</t>
  </si>
  <si>
    <t>Jermaine</t>
  </si>
  <si>
    <t>Rembacz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</si>
</sst>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G15" sqref="G15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Arok</v>
      </c>
    </row>
    <row r="2" spans="2:13" x14ac:dyDescent="0.2">
      <c r="B2" t="str">
        <f>G1</f>
        <v>Arok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266</v>
      </c>
      <c r="J2" t="s">
        <v>262</v>
      </c>
      <c r="K2" t="s">
        <v>263</v>
      </c>
      <c r="L2" t="s">
        <v>273</v>
      </c>
      <c r="M2" t="s">
        <v>265</v>
      </c>
    </row>
    <row r="3" spans="2:13" x14ac:dyDescent="0.2">
      <c r="B3">
        <f>I18</f>
        <v>21</v>
      </c>
      <c r="C3" s="3" t="s">
        <v>6</v>
      </c>
      <c r="D3" s="4">
        <f>J37</f>
        <v>12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G1'!E5</f>
        <v>0</v>
      </c>
      <c r="J3">
        <f>'Stats G1'!H5</f>
        <v>0</v>
      </c>
      <c r="K3">
        <f>'Stats G1'!K5</f>
        <v>0</v>
      </c>
      <c r="L3">
        <f>'Stats G1'!N5/60</f>
        <v>0</v>
      </c>
    </row>
    <row r="4" spans="2:13" x14ac:dyDescent="0.2">
      <c r="F4" t="str">
        <f>'Stats G1'!A6</f>
        <v>Keegan</v>
      </c>
      <c r="G4" t="s">
        <v>278</v>
      </c>
      <c r="H4">
        <f>'Stats G1'!C6</f>
        <v>3</v>
      </c>
      <c r="I4">
        <f>'Stats G1'!E6</f>
        <v>3</v>
      </c>
      <c r="J4">
        <f>'Stats G1'!H6</f>
        <v>1</v>
      </c>
      <c r="K4">
        <f>'Stats G1'!K6</f>
        <v>0</v>
      </c>
      <c r="L4">
        <f>'Stats G1'!N6/60</f>
        <v>15.05</v>
      </c>
    </row>
    <row r="5" spans="2:13" x14ac:dyDescent="0.2">
      <c r="F5" t="str">
        <f>'Stats G1'!A7</f>
        <v>Cole</v>
      </c>
      <c r="G5" t="str">
        <f>'Stats G1'!B7</f>
        <v>Kadoguchi</v>
      </c>
      <c r="H5">
        <f>'Stats G1'!C7</f>
        <v>4</v>
      </c>
      <c r="I5">
        <f>'Stats G1'!E7</f>
        <v>3</v>
      </c>
      <c r="J5">
        <f>'Stats G1'!H7</f>
        <v>2</v>
      </c>
      <c r="K5">
        <f>'Stats G1'!K7</f>
        <v>0</v>
      </c>
      <c r="L5">
        <f>'Stats G1'!N7/60</f>
        <v>27.966666666666665</v>
      </c>
    </row>
    <row r="6" spans="2:13" x14ac:dyDescent="0.2">
      <c r="F6" t="s">
        <v>275</v>
      </c>
      <c r="G6" t="s">
        <v>276</v>
      </c>
      <c r="H6">
        <v>11</v>
      </c>
      <c r="I6">
        <f>'Stats G1'!E8</f>
        <v>0</v>
      </c>
      <c r="J6">
        <f>'Stats G1'!H8</f>
        <v>0</v>
      </c>
      <c r="K6">
        <f>'Stats G1'!K8</f>
        <v>0</v>
      </c>
      <c r="L6">
        <f>'Stats G1'!N8/60</f>
        <v>0</v>
      </c>
    </row>
    <row r="7" spans="2:13" x14ac:dyDescent="0.2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G1'!E9</f>
        <v>4</v>
      </c>
      <c r="J7">
        <f>'Stats G1'!H9</f>
        <v>5</v>
      </c>
      <c r="K7">
        <f>'Stats G1'!K9</f>
        <v>0</v>
      </c>
      <c r="L7">
        <f>'Stats G1'!N9/60</f>
        <v>35.733333333333334</v>
      </c>
    </row>
    <row r="8" spans="2:13" x14ac:dyDescent="0.2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G1'!E10</f>
        <v>4</v>
      </c>
      <c r="J8">
        <f>'Stats G1'!H10</f>
        <v>1</v>
      </c>
      <c r="K8">
        <f>'Stats G1'!K10</f>
        <v>0</v>
      </c>
      <c r="L8">
        <f>'Stats G1'!N10/60</f>
        <v>28.65</v>
      </c>
    </row>
    <row r="9" spans="2:13" x14ac:dyDescent="0.2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G1'!E11</f>
        <v>0</v>
      </c>
      <c r="J9">
        <f>'Stats G1'!H11</f>
        <v>0</v>
      </c>
      <c r="K9">
        <f>'Stats G1'!K11</f>
        <v>0</v>
      </c>
      <c r="L9">
        <f>'Stats G1'!N11/60</f>
        <v>0</v>
      </c>
    </row>
    <row r="10" spans="2:13" x14ac:dyDescent="0.2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G1'!E12</f>
        <v>0</v>
      </c>
      <c r="J10">
        <f>'Stats G1'!H12</f>
        <v>0</v>
      </c>
      <c r="K10">
        <f>'Stats G1'!K12</f>
        <v>0</v>
      </c>
      <c r="L10">
        <f>'Stats G1'!N12/60</f>
        <v>0</v>
      </c>
    </row>
    <row r="11" spans="2:13" x14ac:dyDescent="0.2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G1'!E13</f>
        <v>5</v>
      </c>
      <c r="J11">
        <f>'Stats G1'!H13</f>
        <v>0</v>
      </c>
      <c r="K11">
        <f>'Stats G1'!K13</f>
        <v>0</v>
      </c>
      <c r="L11">
        <f>'Stats G1'!N13/60</f>
        <v>35.733333333333334</v>
      </c>
    </row>
    <row r="12" spans="2:13" x14ac:dyDescent="0.2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G1'!E14</f>
        <v>0</v>
      </c>
      <c r="J12">
        <f>'Stats G1'!H14</f>
        <v>0</v>
      </c>
      <c r="K12">
        <f>'Stats G1'!K14</f>
        <v>0</v>
      </c>
      <c r="L12">
        <f>'Stats G1'!N14/60</f>
        <v>0</v>
      </c>
    </row>
    <row r="13" spans="2:13" x14ac:dyDescent="0.2">
      <c r="F13" t="str">
        <f>'Stats G1'!A15</f>
        <v>Steven</v>
      </c>
      <c r="G13" t="str">
        <f>'Stats G1'!B15</f>
        <v>Adeyemi</v>
      </c>
      <c r="H13">
        <f>'Stats G1'!C15</f>
        <v>24</v>
      </c>
      <c r="I13">
        <f>'Stats G1'!E15</f>
        <v>0</v>
      </c>
      <c r="J13">
        <f>'Stats G1'!H15</f>
        <v>0</v>
      </c>
      <c r="K13">
        <f>'Stats G1'!K15</f>
        <v>0</v>
      </c>
      <c r="L13">
        <f>'Stats G1'!N15/60</f>
        <v>0</v>
      </c>
    </row>
    <row r="14" spans="2:13" x14ac:dyDescent="0.2">
      <c r="F14" t="s">
        <v>237</v>
      </c>
      <c r="G14" t="s">
        <v>238</v>
      </c>
      <c r="H14">
        <f>'Stats G1'!C16</f>
        <v>32</v>
      </c>
      <c r="I14">
        <f>'Stats G1'!E16</f>
        <v>1</v>
      </c>
      <c r="J14">
        <f>'Stats G1'!H16</f>
        <v>1</v>
      </c>
      <c r="K14">
        <f>'Stats G1'!K16</f>
        <v>0</v>
      </c>
      <c r="L14">
        <f>'Stats G1'!N16/60</f>
        <v>17.933333333333334</v>
      </c>
    </row>
    <row r="15" spans="2:13" x14ac:dyDescent="0.2">
      <c r="F15" t="s">
        <v>277</v>
      </c>
      <c r="G15">
        <v>0</v>
      </c>
      <c r="H15">
        <f>'Stats G1'!C17</f>
        <v>5</v>
      </c>
      <c r="I15">
        <f>'Stats G1'!E17</f>
        <v>0</v>
      </c>
      <c r="J15">
        <f>'Stats G1'!H17</f>
        <v>0</v>
      </c>
      <c r="K15">
        <f>'Stats G1'!K17</f>
        <v>0</v>
      </c>
      <c r="L15">
        <f>'Stats G1'!N17/60</f>
        <v>6.25</v>
      </c>
    </row>
    <row r="16" spans="2:13" x14ac:dyDescent="0.2">
      <c r="F16" t="str">
        <f>'Stats G1'!A18</f>
        <v>Christian</v>
      </c>
      <c r="G16" t="str">
        <f>'Stats G1'!B18</f>
        <v>Haffner</v>
      </c>
      <c r="H16">
        <f>'Stats G1'!C18</f>
        <v>2</v>
      </c>
      <c r="I16">
        <f>'Stats G1'!E18</f>
        <v>1</v>
      </c>
      <c r="J16">
        <f>'Stats G1'!H18</f>
        <v>1</v>
      </c>
      <c r="K16">
        <f>'Stats G1'!K18</f>
        <v>0</v>
      </c>
      <c r="L16">
        <f>'Stats G1'!N18/60</f>
        <v>30.183333333333334</v>
      </c>
    </row>
    <row r="17" spans="6:13" x14ac:dyDescent="0.2">
      <c r="F17" t="str">
        <f>'Stats G1'!A19</f>
        <v>Festus</v>
      </c>
      <c r="G17" t="str">
        <f>'Stats G1'!B19</f>
        <v>Ndumanya</v>
      </c>
      <c r="H17" t="str">
        <f>'Stats G1'!C19</f>
        <v>0-0</v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G1'!N19/60</f>
        <v>2.5</v>
      </c>
    </row>
    <row r="18" spans="6:13" x14ac:dyDescent="0.2">
      <c r="H18" s="2" t="s">
        <v>5</v>
      </c>
      <c r="I18">
        <f>SUM(I3:I17)</f>
        <v>21</v>
      </c>
      <c r="J18">
        <f>SUM(J3:J17)</f>
        <v>11</v>
      </c>
      <c r="K18">
        <f>SUM(K3:K17)</f>
        <v>0</v>
      </c>
      <c r="L18">
        <f>SUM(L3:L17)</f>
        <v>200</v>
      </c>
      <c r="M18">
        <f>'Stats G1'!W5</f>
        <v>0</v>
      </c>
    </row>
    <row r="20" spans="6:13" x14ac:dyDescent="0.2">
      <c r="F20" t="s">
        <v>4</v>
      </c>
      <c r="G20" t="str">
        <f>'Stats G1'!B21</f>
        <v>Covington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262</v>
      </c>
      <c r="K21" t="s">
        <v>263</v>
      </c>
      <c r="L21" t="s">
        <v>273</v>
      </c>
      <c r="M21" t="s">
        <v>265</v>
      </c>
    </row>
    <row r="22" spans="6:13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G1'!E23</f>
        <v>0</v>
      </c>
      <c r="J22">
        <f>'Stats G1'!H23</f>
        <v>0</v>
      </c>
      <c r="K22">
        <f>'Stats G1'!K23</f>
        <v>0</v>
      </c>
      <c r="L22">
        <f>'Stats G1'!N23/60</f>
        <v>0</v>
      </c>
    </row>
    <row r="23" spans="6:13" x14ac:dyDescent="0.2">
      <c r="F23" t="str">
        <f>'Stats G1'!A24</f>
        <v>Festus</v>
      </c>
      <c r="G23" t="str">
        <f>'Stats G1'!B24</f>
        <v>Ndumanya</v>
      </c>
      <c r="H23" t="str">
        <f>'Stats G1'!C24</f>
        <v>00</v>
      </c>
      <c r="I23">
        <f>'Stats G1'!E24</f>
        <v>1</v>
      </c>
      <c r="J23">
        <f>'Stats G1'!H24</f>
        <v>1</v>
      </c>
      <c r="K23">
        <f>'Stats G1'!K24</f>
        <v>3</v>
      </c>
      <c r="L23">
        <f>'Stats G1'!N24/60</f>
        <v>36.416666666666664</v>
      </c>
    </row>
    <row r="24" spans="6:13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G1'!E25</f>
        <v>0</v>
      </c>
      <c r="J24">
        <f>'Stats G1'!H25</f>
        <v>0</v>
      </c>
      <c r="K24">
        <f>'Stats G1'!K25</f>
        <v>0</v>
      </c>
      <c r="L24">
        <f>'Stats G1'!N25/60</f>
        <v>0</v>
      </c>
    </row>
    <row r="25" spans="6:13" x14ac:dyDescent="0.2">
      <c r="F25" t="str">
        <f>'Stats G1'!A26</f>
        <v>Doctor</v>
      </c>
      <c r="G25" t="str">
        <f>'Stats G1'!B26</f>
        <v>Bradley</v>
      </c>
      <c r="H25">
        <f>'Stats G1'!C26</f>
        <v>3</v>
      </c>
      <c r="I25">
        <f>'Stats G1'!E26</f>
        <v>6</v>
      </c>
      <c r="J25">
        <f>'Stats G1'!H26</f>
        <v>3</v>
      </c>
      <c r="K25">
        <f>'Stats G1'!K26</f>
        <v>0</v>
      </c>
      <c r="L25">
        <f>'Stats G1'!N26/60</f>
        <v>34.283333333333331</v>
      </c>
    </row>
    <row r="26" spans="6:13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G1'!E27</f>
        <v>6</v>
      </c>
      <c r="J26">
        <f>'Stats G1'!H27</f>
        <v>4</v>
      </c>
      <c r="K26">
        <f>'Stats G1'!K27</f>
        <v>0</v>
      </c>
      <c r="L26">
        <f>'Stats G1'!N27/60</f>
        <v>35.383333333333333</v>
      </c>
    </row>
    <row r="27" spans="6:13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G1'!E28</f>
        <v>0</v>
      </c>
      <c r="J27">
        <f>'Stats G1'!H28</f>
        <v>0</v>
      </c>
      <c r="K27">
        <f>'Stats G1'!K28</f>
        <v>0</v>
      </c>
      <c r="L27">
        <f>'Stats G1'!N28/60</f>
        <v>0</v>
      </c>
    </row>
    <row r="28" spans="6:13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G1'!E29</f>
        <v>0</v>
      </c>
      <c r="J28">
        <f>'Stats G1'!H29</f>
        <v>0</v>
      </c>
      <c r="K28">
        <f>'Stats G1'!K29</f>
        <v>0</v>
      </c>
      <c r="L28">
        <f>'Stats G1'!N29/60</f>
        <v>0</v>
      </c>
    </row>
    <row r="29" spans="6:13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G1'!E30</f>
        <v>0</v>
      </c>
      <c r="J29">
        <f>'Stats G1'!H30</f>
        <v>0</v>
      </c>
      <c r="K29">
        <f>'Stats G1'!K30</f>
        <v>0</v>
      </c>
      <c r="L29">
        <f>'Stats G1'!N30/60</f>
        <v>0</v>
      </c>
    </row>
    <row r="30" spans="6:13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G1'!E31</f>
        <v>14</v>
      </c>
      <c r="J30">
        <f>'Stats G1'!H31</f>
        <v>2</v>
      </c>
      <c r="K30">
        <f>'Stats G1'!K31</f>
        <v>1</v>
      </c>
      <c r="L30">
        <f>'Stats G1'!N31/60</f>
        <v>35.733333333333334</v>
      </c>
    </row>
    <row r="31" spans="6:13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G1'!E32</f>
        <v>0</v>
      </c>
      <c r="J31">
        <f>'Stats G1'!H32</f>
        <v>0</v>
      </c>
      <c r="K31">
        <f>'Stats G1'!K32</f>
        <v>0</v>
      </c>
      <c r="L31">
        <f>'Stats G1'!N32/60</f>
        <v>0</v>
      </c>
    </row>
    <row r="32" spans="6:13" x14ac:dyDescent="0.2">
      <c r="F32" t="str">
        <f>'Stats G1'!A33</f>
        <v xml:space="preserve">Jaxon </v>
      </c>
      <c r="G32" t="str">
        <f>'Stats G1'!B33</f>
        <v>Pollard</v>
      </c>
      <c r="H32">
        <f>'Stats G1'!C33</f>
        <v>15</v>
      </c>
      <c r="I32">
        <f>'Stats G1'!E33</f>
        <v>4</v>
      </c>
      <c r="J32">
        <f>'Stats G1'!H33</f>
        <v>1</v>
      </c>
      <c r="K32">
        <f>'Stats G1'!K33</f>
        <v>1</v>
      </c>
      <c r="L32">
        <f>'Stats G1'!N33/60</f>
        <v>29.366666666666667</v>
      </c>
    </row>
    <row r="33" spans="6:13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G1'!E34</f>
        <v>1</v>
      </c>
      <c r="J33">
        <f>'Stats G1'!H34</f>
        <v>1</v>
      </c>
      <c r="K33">
        <f>'Stats G1'!K34</f>
        <v>0</v>
      </c>
      <c r="L33">
        <f>'Stats G1'!N34/60</f>
        <v>28.816666666666666</v>
      </c>
    </row>
    <row r="34" spans="6:13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G1'!E35</f>
        <v>0</v>
      </c>
      <c r="J34">
        <f>'Stats G1'!H35</f>
        <v>0</v>
      </c>
      <c r="K34">
        <f>'Stats G1'!K35</f>
        <v>0</v>
      </c>
      <c r="L34">
        <f>'Stats G1'!N35/60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  <c r="L35">
        <f>'Stats G1'!N36/60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L36">
        <f>'Stats G1'!N37/60</f>
        <v>0</v>
      </c>
    </row>
    <row r="37" spans="6:13" x14ac:dyDescent="0.2">
      <c r="H37" s="2" t="s">
        <v>5</v>
      </c>
      <c r="I37">
        <f>SUM(I22:I36)</f>
        <v>32</v>
      </c>
      <c r="J37">
        <f>SUM(J22:J36)</f>
        <v>12</v>
      </c>
      <c r="K37">
        <f>SUM(K22:K36)</f>
        <v>5</v>
      </c>
      <c r="L37">
        <f>SUM(L22:L36)</f>
        <v>200</v>
      </c>
      <c r="M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16" workbookViewId="0">
      <selection activeCell="C26" sqref="C26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2" hidden="1" x14ac:dyDescent="0.2"/>
    <row r="3" spans="1:22" x14ac:dyDescent="0.2">
      <c r="A3" s="2" t="s">
        <v>8</v>
      </c>
      <c r="B3" s="1" t="s">
        <v>13</v>
      </c>
    </row>
    <row r="4" spans="1:22" x14ac:dyDescent="0.2">
      <c r="A4" t="s">
        <v>1</v>
      </c>
      <c r="B4" t="s">
        <v>2</v>
      </c>
      <c r="C4" t="s">
        <v>0</v>
      </c>
      <c r="E4" t="s">
        <v>266</v>
      </c>
      <c r="H4" t="s">
        <v>262</v>
      </c>
      <c r="K4" t="s">
        <v>263</v>
      </c>
      <c r="N4" t="s">
        <v>272</v>
      </c>
    </row>
    <row r="5" spans="1:22" s="6" customFormat="1" x14ac:dyDescent="0.2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264</v>
      </c>
    </row>
    <row r="6" spans="1:22" s="6" customFormat="1" x14ac:dyDescent="0.2">
      <c r="A6" s="6" t="s">
        <v>269</v>
      </c>
      <c r="B6" s="6" t="s">
        <v>36</v>
      </c>
      <c r="C6" s="6">
        <f>_xlfn.IFNA(VLOOKUP($B$3&amp;ROWS($C$5:C6),Rosters!$B$2:$E$162,4,0),"")</f>
        <v>3</v>
      </c>
      <c r="E6" s="6">
        <v>3</v>
      </c>
      <c r="H6" s="6">
        <v>1</v>
      </c>
      <c r="K6" s="6">
        <v>0</v>
      </c>
      <c r="N6" s="6">
        <v>903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Cole</v>
      </c>
      <c r="B7" s="5" t="str">
        <f>_xlfn.IFNA(VLOOKUP($B$3&amp;ROWS($B$5:B7),Rosters!$B$2:$D$162,3,0),"?")</f>
        <v>Kadoguchi</v>
      </c>
      <c r="C7" s="5">
        <f>_xlfn.IFNA(VLOOKUP($B$3&amp;ROWS($C$5:C7),Rosters!$B$2:$E$162,4,0),"")</f>
        <v>4</v>
      </c>
      <c r="D7" s="5"/>
      <c r="E7" s="5">
        <v>3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1678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 xml:space="preserve">Deng 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4</v>
      </c>
      <c r="F9" s="5"/>
      <c r="G9" s="5"/>
      <c r="H9" s="5">
        <v>5</v>
      </c>
      <c r="I9" s="5"/>
      <c r="J9" s="5"/>
      <c r="K9" s="5">
        <v>0</v>
      </c>
      <c r="L9" s="5"/>
      <c r="M9" s="5"/>
      <c r="N9" s="5">
        <v>2144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4</v>
      </c>
      <c r="H10" s="6">
        <v>1</v>
      </c>
      <c r="K10" s="6">
        <v>0</v>
      </c>
      <c r="N10" s="6">
        <v>1719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5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2144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Steven</v>
      </c>
      <c r="B15" s="5" t="str">
        <f>_xlfn.IFNA(VLOOKUP($B$3&amp;ROWS($B$5:B15),Rosters!$B$2:$D$162,3,0),"?")</f>
        <v>Adeyemi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>
        <v>32</v>
      </c>
      <c r="E16" s="6">
        <v>1</v>
      </c>
      <c r="H16" s="6">
        <v>1</v>
      </c>
      <c r="K16" s="6">
        <v>0</v>
      </c>
      <c r="N16" s="6">
        <v>1076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5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375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5" t="s">
        <v>160</v>
      </c>
      <c r="B18" s="5" t="s">
        <v>161</v>
      </c>
      <c r="C18" s="6">
        <v>2</v>
      </c>
      <c r="E18" s="6">
        <v>1</v>
      </c>
      <c r="H18" s="6">
        <v>1</v>
      </c>
      <c r="K18" s="6">
        <v>0</v>
      </c>
      <c r="N18" s="6">
        <v>1811</v>
      </c>
      <c r="Q18" s="6">
        <v>0</v>
      </c>
      <c r="T18" s="6">
        <v>0</v>
      </c>
    </row>
    <row r="19" spans="1:22" s="6" customFormat="1" x14ac:dyDescent="0.2">
      <c r="A19" s="5" t="s">
        <v>158</v>
      </c>
      <c r="B19" s="5" t="s">
        <v>159</v>
      </c>
      <c r="C19" s="5" t="s">
        <v>274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150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21</v>
      </c>
      <c r="H20">
        <f>SUM(H5:H19)</f>
        <v>11</v>
      </c>
      <c r="K20">
        <f>SUM(K5:K19)</f>
        <v>0</v>
      </c>
      <c r="N20">
        <f>SUM(N5:N19)</f>
        <v>12000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15</v>
      </c>
    </row>
    <row r="22" spans="1:22" x14ac:dyDescent="0.2">
      <c r="A22" t="s">
        <v>1</v>
      </c>
      <c r="B22" t="s">
        <v>2</v>
      </c>
      <c r="C22" t="s">
        <v>0</v>
      </c>
      <c r="E22" t="s">
        <v>266</v>
      </c>
      <c r="H22" t="s">
        <v>262</v>
      </c>
      <c r="K22" t="s">
        <v>263</v>
      </c>
      <c r="N22" t="s">
        <v>272</v>
      </c>
    </row>
    <row r="23" spans="1:22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264</v>
      </c>
    </row>
    <row r="24" spans="1:22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1</v>
      </c>
      <c r="H24" s="6">
        <v>1</v>
      </c>
      <c r="K24" s="6">
        <v>3</v>
      </c>
      <c r="N24" s="6">
        <v>2185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">
        <v>270</v>
      </c>
      <c r="B26" s="6" t="s">
        <v>271</v>
      </c>
      <c r="C26" s="6">
        <f>_xlfn.IFNA(VLOOKUP($B$21&amp;ROWS($C$23:C26),Rosters!$B$2:$E$162,4,0),"")</f>
        <v>3</v>
      </c>
      <c r="E26" s="6">
        <v>6</v>
      </c>
      <c r="H26" s="6">
        <v>3</v>
      </c>
      <c r="K26" s="6">
        <v>0</v>
      </c>
      <c r="N26" s="6">
        <v>2057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6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2123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14</v>
      </c>
      <c r="F31" s="5"/>
      <c r="G31" s="5"/>
      <c r="H31" s="5">
        <v>2</v>
      </c>
      <c r="I31" s="5"/>
      <c r="J31" s="5"/>
      <c r="K31" s="5">
        <v>1</v>
      </c>
      <c r="L31" s="5"/>
      <c r="M31" s="5"/>
      <c r="N31" s="5">
        <v>2144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 xml:space="preserve">Jaxon 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4</v>
      </c>
      <c r="F33" s="5"/>
      <c r="G33" s="5"/>
      <c r="H33" s="5">
        <v>1</v>
      </c>
      <c r="I33" s="5"/>
      <c r="J33" s="5"/>
      <c r="K33" s="5">
        <v>1</v>
      </c>
      <c r="L33" s="5"/>
      <c r="M33" s="5"/>
      <c r="N33" s="5">
        <v>1762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1</v>
      </c>
      <c r="F34"/>
      <c r="G34"/>
      <c r="H34" s="6">
        <v>1</v>
      </c>
      <c r="I34"/>
      <c r="J34"/>
      <c r="K34" s="6">
        <v>0</v>
      </c>
      <c r="L34"/>
      <c r="M34"/>
      <c r="N34" s="6">
        <v>1729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32</v>
      </c>
      <c r="H38">
        <f>SUM(H23:H37)</f>
        <v>12</v>
      </c>
      <c r="K38">
        <f>SUM(K23:K37)</f>
        <v>5</v>
      </c>
      <c r="N38">
        <f>SUM(N23:N37)</f>
        <v>12000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2" workbookViewId="0">
      <selection activeCell="B141" sqref="B141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258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261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253</v>
      </c>
      <c r="D140" t="s">
        <v>254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80</v>
      </c>
      <c r="D141" t="s">
        <v>255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256</v>
      </c>
      <c r="D142" t="s">
        <v>257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2021-07-30T14:15:50Z</dcterms:modified>
</cp:coreProperties>
</file>