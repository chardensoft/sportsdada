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30T140255Z-001/"/>
    </mc:Choice>
  </mc:AlternateContent>
  <xr:revisionPtr revIDLastSave="0" documentId="13_ncr:1_{A523BCC8-D7A3-0E48-9577-ECDF19604F20}" xr6:coauthVersionLast="47" xr6:coauthVersionMax="47" xr10:uidLastSave="{00000000-0000-0000-0000-000000000000}"/>
  <bookViews>
    <workbookView xWindow="0" yWindow="500" windowWidth="23260" windowHeight="1258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L23" i="2"/>
  <c r="M23" i="2"/>
  <c r="I24" i="2"/>
  <c r="J24" i="2"/>
  <c r="K24" i="2"/>
  <c r="L24" i="2"/>
  <c r="M24" i="2"/>
  <c r="I25" i="2"/>
  <c r="J25" i="2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 s="1"/>
  <c r="L29" i="2"/>
  <c r="M29" i="2"/>
  <c r="I30" i="2"/>
  <c r="J30" i="2"/>
  <c r="K30" i="2" s="1"/>
  <c r="L30" i="2"/>
  <c r="M30" i="2"/>
  <c r="I31" i="2"/>
  <c r="J31" i="2"/>
  <c r="K31" i="2"/>
  <c r="L31" i="2"/>
  <c r="M31" i="2"/>
  <c r="I32" i="2"/>
  <c r="J32" i="2"/>
  <c r="L32" i="2"/>
  <c r="M32" i="2"/>
  <c r="I33" i="2"/>
  <c r="J33" i="2"/>
  <c r="K33" i="2" s="1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9" i="2"/>
  <c r="K10" i="2"/>
  <c r="K12" i="2"/>
  <c r="K13" i="2"/>
  <c r="K14" i="2"/>
  <c r="K17" i="2"/>
  <c r="K3" i="2"/>
  <c r="I4" i="2"/>
  <c r="J4" i="2"/>
  <c r="L4" i="2"/>
  <c r="I5" i="2"/>
  <c r="J5" i="2"/>
  <c r="K5" i="2" s="1"/>
  <c r="L5" i="2"/>
  <c r="I6" i="2"/>
  <c r="J6" i="2"/>
  <c r="L6" i="2"/>
  <c r="I7" i="2"/>
  <c r="J7" i="2"/>
  <c r="K7" i="2" s="1"/>
  <c r="L7" i="2"/>
  <c r="I8" i="2"/>
  <c r="J8" i="2"/>
  <c r="L8" i="2"/>
  <c r="I9" i="2"/>
  <c r="J9" i="2"/>
  <c r="L9" i="2"/>
  <c r="I10" i="2"/>
  <c r="J10" i="2"/>
  <c r="L10" i="2"/>
  <c r="I11" i="2"/>
  <c r="J11" i="2"/>
  <c r="K11" i="2" s="1"/>
  <c r="L11" i="2"/>
  <c r="I12" i="2"/>
  <c r="J12" i="2"/>
  <c r="L12" i="2"/>
  <c r="I13" i="2"/>
  <c r="J13" i="2"/>
  <c r="L13" i="2"/>
  <c r="I14" i="2"/>
  <c r="J14" i="2"/>
  <c r="L14" i="2"/>
  <c r="I15" i="2"/>
  <c r="J15" i="2"/>
  <c r="K15" i="2" s="1"/>
  <c r="L15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8" i="2" l="1"/>
  <c r="K25" i="2"/>
  <c r="K16" i="2"/>
  <c r="K18" i="2" s="1"/>
  <c r="M37" i="2"/>
  <c r="K23" i="2"/>
  <c r="K26" i="2"/>
  <c r="M18" i="2"/>
  <c r="L37" i="2"/>
  <c r="K32" i="2"/>
  <c r="I37" i="2"/>
  <c r="D3" i="2" s="1"/>
  <c r="C32" i="1"/>
  <c r="H31" i="2" s="1"/>
  <c r="B33" i="1"/>
  <c r="G32" i="2" s="1"/>
  <c r="C29" i="1"/>
  <c r="H28" i="2" s="1"/>
  <c r="C25" i="1"/>
  <c r="H24" i="2" s="1"/>
  <c r="B6" i="1"/>
  <c r="I18" i="2"/>
  <c r="B3" i="2" s="1"/>
  <c r="J18" i="2"/>
  <c r="C13" i="1"/>
  <c r="H11" i="2" s="1"/>
  <c r="B25" i="1"/>
  <c r="G24" i="2" s="1"/>
  <c r="A14" i="1"/>
  <c r="F12" i="2" s="1"/>
  <c r="A6" i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A30" i="1"/>
  <c r="F29" i="2" s="1"/>
  <c r="B19" i="1"/>
  <c r="C10" i="1"/>
  <c r="H8" i="2" s="1"/>
  <c r="A35" i="1"/>
  <c r="F34" i="2" s="1"/>
  <c r="G16" i="2"/>
  <c r="C9" i="1"/>
  <c r="H7" i="2" s="1"/>
  <c r="B29" i="1"/>
  <c r="G28" i="2" s="1"/>
  <c r="F16" i="2"/>
  <c r="B9" i="1"/>
  <c r="G7" i="2" s="1"/>
  <c r="C16" i="1"/>
  <c r="H14" i="2" s="1"/>
  <c r="C8" i="1"/>
  <c r="A23" i="1"/>
  <c r="F22" i="2" s="1"/>
  <c r="A37" i="1"/>
  <c r="F36" i="2" s="1"/>
  <c r="B34" i="1"/>
  <c r="G33" i="2" s="1"/>
  <c r="C31" i="1"/>
  <c r="H30" i="2" s="1"/>
  <c r="A29" i="1"/>
  <c r="F28" i="2" s="1"/>
  <c r="G25" i="2"/>
  <c r="B14" i="1"/>
  <c r="G12" i="2" s="1"/>
  <c r="A24" i="1"/>
  <c r="F23" i="2" s="1"/>
  <c r="A28" i="1"/>
  <c r="F27" i="2" s="1"/>
  <c r="B5" i="1"/>
  <c r="G3" i="2" s="1"/>
  <c r="C19" i="1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F25" i="2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37" i="2" l="1"/>
</calcChain>
</file>

<file path=xl/sharedStrings.xml><?xml version="1.0" encoding="utf-8"?>
<sst xmlns="http://schemas.openxmlformats.org/spreadsheetml/2006/main" count="504" uniqueCount="278">
  <si>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</si>
  <si>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</si>
  <si>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</si>
  <si>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</si>
  <si>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</si>
  <si>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</si>
  <si>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</si>
  <si>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</si>
  <si>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</si>
  <si>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</si>
  <si>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</si>
  <si>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</si>
  <si>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</si>
  <si>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</si>
  <si>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</si>
  <si>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</si>
  <si>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</si>
  <si>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</si>
  <si>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</si>
  <si>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</si>
  <si>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</si>
  <si>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</si>
  <si>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</si>
  <si>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</si>
  <si>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</si>
  <si>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</si>
  <si>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</si>
  <si>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</si>
  <si>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</si>
  <si>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</si>
  <si>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</si>
  <si>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</si>
  <si>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</si>
  <si>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</si>
  <si>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</si>
  <si>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</si>
  <si>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</si>
  <si>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</si>
  <si>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</si>
  <si>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</si>
  <si>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</si>
  <si>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</si>
  <si>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</si>
  <si>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</si>
  <si>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</si>
  <si>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</si>
  <si>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</si>
  <si>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</si>
  <si>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</si>
  <si>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</si>
  <si>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</si>
  <si>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</si>
  <si>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</si>
  <si>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</si>
  <si>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</si>
  <si>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</si>
  <si>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</si>
  <si>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</si>
  <si>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</si>
  <si>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</si>
  <si>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</si>
  <si>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</si>
  <si>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</si>
  <si>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</si>
  <si>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</si>
  <si>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</si>
  <si>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</si>
  <si>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</si>
  <si>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</si>
  <si>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</si>
  <si>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</si>
  <si>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</si>
  <si>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</si>
  <si>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</si>
  <si>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</si>
  <si>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</si>
  <si>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</si>
  <si>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</si>
  <si>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</si>
  <si>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</si>
  <si>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</si>
  <si>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</si>
  <si>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</si>
  <si>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</si>
  <si>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</si>
  <si>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</si>
  <si>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</si>
  <si>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</si>
  <si>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</si>
  <si>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</si>
  <si>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</si>
  <si>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</si>
  <si>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</si>
  <si>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</si>
  <si>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</si>
  <si>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</si>
  <si>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</si>
  <si>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</si>
  <si>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</si>
  <si>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</si>
  <si>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</si>
  <si>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</si>
  <si>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</si>
  <si>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</si>
  <si>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</si>
  <si>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</si>
  <si>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</si>
  <si>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</si>
  <si>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</si>
  <si>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</si>
  <si>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</si>
  <si>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</si>
  <si>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</si>
  <si>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</si>
  <si>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</si>
  <si>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</si>
  <si>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</si>
  <si>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</si>
  <si>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</si>
  <si>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</si>
  <si>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</si>
  <si>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</si>
  <si>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</si>
  <si>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</si>
  <si>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</si>
  <si>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</si>
  <si>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</si>
  <si>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</si>
  <si>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</si>
  <si>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</si>
  <si>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</si>
  <si>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</si>
  <si>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</si>
  <si>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</si>
  <si>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</si>
  <si>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</si>
  <si>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</si>
  <si>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</si>
  <si>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</si>
  <si>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</si>
  <si>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</si>
  <si>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</si>
  <si>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</si>
  <si>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</si>
  <si>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</si>
  <si>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</si>
  <si>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</si>
  <si>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</si>
  <si>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</si>
  <si>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</si>
  <si>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</si>
  <si>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</si>
  <si>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</si>
  <si>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</si>
  <si>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</si>
  <si>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</si>
  <si>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</si>
  <si>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</si>
  <si>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</si>
  <si>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</si>
  <si>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</si>
  <si>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</si>
  <si>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</si>
  <si>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</si>
  <si>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</si>
  <si>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</si>
  <si>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</si>
  <si>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</si>
  <si>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</si>
  <si>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</si>
  <si>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</si>
  <si>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</si>
  <si>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</si>
  <si>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</si>
  <si>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</si>
  <si>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</si>
  <si>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</si>
  <si>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</si>
  <si>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</si>
  <si>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</si>
  <si>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</si>
  <si>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</si>
  <si>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</si>
  <si>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</si>
  <si>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</si>
  <si>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</si>
  <si>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</si>
  <si>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</si>
  <si>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</si>
  <si>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</si>
  <si>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</si>
  <si>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</si>
  <si>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</si>
  <si>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</si>
  <si>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</si>
  <si>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</si>
  <si>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</si>
  <si>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</si>
  <si>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</si>
  <si>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</si>
  <si>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</si>
  <si>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</si>
  <si>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</si>
  <si>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</si>
  <si>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</si>
  <si>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</si>
  <si>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</si>
  <si>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</si>
  <si>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</si>
  <si>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</si>
  <si>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</si>
  <si>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</si>
  <si>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</si>
  <si>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</si>
  <si>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</si>
  <si>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</si>
  <si>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</si>
  <si>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</si>
  <si>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</si>
  <si>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</si>
  <si>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</si>
  <si>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</si>
  <si>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</si>
  <si>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</si>
  <si>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</si>
  <si>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</si>
  <si>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</si>
  <si>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</si>
  <si>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</si>
  <si>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</si>
  <si>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</si>
  <si>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</si>
  <si>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</si>
  <si>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</si>
  <si>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</si>
  <si>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</si>
  <si>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</si>
  <si>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</si>
  <si>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</si>
  <si>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</si>
  <si>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</si>
  <si>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</si>
  <si>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</si>
  <si>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</si>
  <si>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</si>
  <si>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</si>
  <si>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</si>
  <si>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</si>
  <si>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</si>
  <si>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</si>
  <si>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</si>
  <si>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</si>
  <si>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</si>
  <si>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</si>
  <si>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</si>
  <si>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</si>
  <si>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</si>
  <si>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</si>
  <si>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</si>
  <si>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</si>
  <si>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</si>
  <si>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</si>
  <si>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</si>
  <si>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</si>
  <si>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</si>
  <si>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</si>
  <si>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</si>
  <si>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</si>
  <si>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</si>
  <si>
    <t>Time Outs</t>
  </si>
  <si>
    <t>Black:</t>
  </si>
  <si>
    <t>Gray:</t>
  </si>
  <si>
    <t>Doctor</t>
  </si>
  <si>
    <t>Bradley</t>
  </si>
  <si>
    <t>Keegan</t>
  </si>
  <si>
    <t>Rembacz</t>
  </si>
  <si>
    <t>Jermaine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</si>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</sst>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B15" workbookViewId="0">
      <selection activeCell="I9" sqref="I9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Arok</v>
      </c>
    </row>
    <row r="2" spans="2:13" x14ac:dyDescent="0.2">
      <c r="B2" t="str">
        <f>G1</f>
        <v>Arok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246</v>
      </c>
      <c r="J2" t="s">
        <v>247</v>
      </c>
      <c r="K2" t="s">
        <v>248</v>
      </c>
      <c r="L2" t="s">
        <v>244</v>
      </c>
      <c r="M2" t="s">
        <v>245</v>
      </c>
    </row>
    <row r="3" spans="2:13" x14ac:dyDescent="0.2">
      <c r="B3">
        <f>I18</f>
        <v>4</v>
      </c>
      <c r="C3" s="3" t="s">
        <v>6</v>
      </c>
      <c r="D3" s="4">
        <f>I37</f>
        <v>15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0</v>
      </c>
    </row>
    <row r="4" spans="2:13" x14ac:dyDescent="0.2">
      <c r="F4" t="s">
        <v>274</v>
      </c>
      <c r="G4" t="s">
        <v>275</v>
      </c>
      <c r="H4">
        <f>'Stats G1'!C6</f>
        <v>3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</row>
    <row r="5" spans="2:13" x14ac:dyDescent="0.2">
      <c r="F5" t="str">
        <f>'Stats G1'!A7</f>
        <v>Cole</v>
      </c>
      <c r="G5" t="str">
        <f>'Stats G1'!B7</f>
        <v>Kadoguchi</v>
      </c>
      <c r="H5">
        <f>'Stats G1'!C7</f>
        <v>4</v>
      </c>
      <c r="I5">
        <f>'Stats G1'!E7</f>
        <v>0</v>
      </c>
      <c r="J5">
        <f>'Stats G1'!H7</f>
        <v>5</v>
      </c>
      <c r="K5">
        <f t="shared" si="0"/>
        <v>5</v>
      </c>
      <c r="L5">
        <f>'Stats G1'!K7</f>
        <v>2</v>
      </c>
      <c r="M5">
        <f>'Stats G1'!N7</f>
        <v>0</v>
      </c>
    </row>
    <row r="6" spans="2:13" x14ac:dyDescent="0.2">
      <c r="F6" t="s">
        <v>276</v>
      </c>
      <c r="G6">
        <v>0</v>
      </c>
      <c r="H6">
        <f>'Stats G1'!C8</f>
        <v>5</v>
      </c>
      <c r="I6">
        <f>'Stats G1'!E8</f>
        <v>1</v>
      </c>
      <c r="J6">
        <f>'Stats G1'!H8</f>
        <v>0</v>
      </c>
      <c r="K6">
        <f t="shared" si="0"/>
        <v>1</v>
      </c>
      <c r="L6">
        <f>'Stats G1'!K8</f>
        <v>0</v>
      </c>
      <c r="M6">
        <f>'Stats G1'!N8</f>
        <v>0</v>
      </c>
    </row>
    <row r="7" spans="2:13" x14ac:dyDescent="0.2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G1'!E9</f>
        <v>0</v>
      </c>
      <c r="J7">
        <f>'Stats G1'!H9</f>
        <v>6</v>
      </c>
      <c r="K7">
        <f t="shared" si="0"/>
        <v>6</v>
      </c>
      <c r="L7">
        <f>'Stats G1'!K9</f>
        <v>1</v>
      </c>
      <c r="M7">
        <f>'Stats G1'!N9</f>
        <v>1</v>
      </c>
    </row>
    <row r="8" spans="2:13" x14ac:dyDescent="0.2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G1'!E10</f>
        <v>2</v>
      </c>
      <c r="J8">
        <f>'Stats G1'!H10</f>
        <v>3</v>
      </c>
      <c r="K8">
        <f t="shared" si="0"/>
        <v>5</v>
      </c>
      <c r="L8">
        <f>'Stats G1'!K10</f>
        <v>2</v>
      </c>
      <c r="M8">
        <f>'Stats G1'!N10</f>
        <v>1</v>
      </c>
    </row>
    <row r="9" spans="2:13" x14ac:dyDescent="0.2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</row>
    <row r="10" spans="2:13" x14ac:dyDescent="0.2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</row>
    <row r="11" spans="2:13" x14ac:dyDescent="0.2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G1'!E13</f>
        <v>0</v>
      </c>
      <c r="J11">
        <f>'Stats G1'!H13</f>
        <v>2</v>
      </c>
      <c r="K11">
        <f t="shared" si="0"/>
        <v>2</v>
      </c>
      <c r="L11">
        <f>'Stats G1'!K13</f>
        <v>1</v>
      </c>
      <c r="M11">
        <f>'Stats G1'!N13</f>
        <v>0</v>
      </c>
    </row>
    <row r="12" spans="2:13" x14ac:dyDescent="0.2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</row>
    <row r="13" spans="2:13" x14ac:dyDescent="0.2">
      <c r="F13" t="str">
        <f>'Stats G1'!A15</f>
        <v>Steven</v>
      </c>
      <c r="G13" t="str">
        <f>'Stats G1'!B15</f>
        <v>Adeyemi</v>
      </c>
      <c r="H13">
        <f>'Stats G1'!C15</f>
        <v>24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</row>
    <row r="14" spans="2:13" x14ac:dyDescent="0.2">
      <c r="F14" t="str">
        <f>'Stats G1'!A16</f>
        <v>Both</v>
      </c>
      <c r="G14" t="str">
        <f>'Stats G1'!B16</f>
        <v>Gach</v>
      </c>
      <c r="H14">
        <f>'Stats G1'!C16</f>
        <v>11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</row>
    <row r="15" spans="2:13" x14ac:dyDescent="0.2">
      <c r="F15" t="str">
        <f>'Stats G1'!A17</f>
        <v>Ibe</v>
      </c>
      <c r="G15" t="str">
        <f>'Stats G1'!B17</f>
        <v>Gerlach</v>
      </c>
      <c r="H15">
        <f>'Stats G1'!C17</f>
        <v>32</v>
      </c>
      <c r="I15">
        <f>'Stats G1'!E17</f>
        <v>0</v>
      </c>
      <c r="J15">
        <f>'Stats G1'!H17</f>
        <v>1</v>
      </c>
      <c r="K15">
        <f t="shared" si="0"/>
        <v>1</v>
      </c>
      <c r="L15">
        <f>'Stats G1'!K17</f>
        <v>1</v>
      </c>
      <c r="M15">
        <f>'Stats G1'!N17</f>
        <v>1</v>
      </c>
    </row>
    <row r="16" spans="2:13" x14ac:dyDescent="0.2">
      <c r="F16" t="str">
        <f>'Stats G1'!A18</f>
        <v>Christian</v>
      </c>
      <c r="G16" t="str">
        <f>'Stats G1'!B18</f>
        <v>Haffner</v>
      </c>
      <c r="H16">
        <f>'Stats G1'!C18</f>
        <v>2</v>
      </c>
      <c r="I16">
        <f>'Stats G1'!E18</f>
        <v>1</v>
      </c>
      <c r="J16">
        <f>'Stats G1'!H18</f>
        <v>2</v>
      </c>
      <c r="K16">
        <f t="shared" si="0"/>
        <v>3</v>
      </c>
      <c r="L16">
        <f>'Stats G1'!K18</f>
        <v>1</v>
      </c>
      <c r="M16">
        <f>'Stats G1'!N18</f>
        <v>1</v>
      </c>
    </row>
    <row r="17" spans="6:13" x14ac:dyDescent="0.2">
      <c r="F17" t="s">
        <v>146</v>
      </c>
      <c r="G17" t="s">
        <v>147</v>
      </c>
      <c r="H17" t="s">
        <v>277</v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</row>
    <row r="18" spans="6:13" x14ac:dyDescent="0.2">
      <c r="H18" s="2" t="s">
        <v>5</v>
      </c>
      <c r="I18">
        <f>SUM(I3:I17)</f>
        <v>4</v>
      </c>
      <c r="J18">
        <f>SUM(J3:J17)</f>
        <v>19</v>
      </c>
      <c r="K18">
        <f>SUM(K3:K17)</f>
        <v>23</v>
      </c>
      <c r="L18">
        <f>SUM(L3:L17)</f>
        <v>8</v>
      </c>
      <c r="M18">
        <f>SUM(M3:M17)</f>
        <v>4</v>
      </c>
    </row>
    <row r="20" spans="6:13" x14ac:dyDescent="0.2">
      <c r="F20" t="s">
        <v>4</v>
      </c>
      <c r="G20" t="str">
        <f>'Stats G1'!B21</f>
        <v>Covington</v>
      </c>
    </row>
    <row r="21" spans="6:13" x14ac:dyDescent="0.2">
      <c r="F21" t="s">
        <v>1</v>
      </c>
      <c r="G21" t="s">
        <v>2</v>
      </c>
      <c r="H21" t="s">
        <v>0</v>
      </c>
      <c r="I21" t="s">
        <v>246</v>
      </c>
      <c r="J21" t="s">
        <v>247</v>
      </c>
      <c r="K21" t="s">
        <v>248</v>
      </c>
      <c r="L21" t="s">
        <v>244</v>
      </c>
      <c r="M21" t="s">
        <v>245</v>
      </c>
    </row>
    <row r="22" spans="6:13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G1'!E23</f>
        <v>0</v>
      </c>
      <c r="J22">
        <f>'Stats G1'!H23</f>
        <v>0</v>
      </c>
      <c r="K22">
        <f>J22+I22</f>
        <v>0</v>
      </c>
      <c r="L22">
        <f>'Stats G1'!K23</f>
        <v>0</v>
      </c>
      <c r="M22">
        <f>'Stats G1'!N23</f>
        <v>0</v>
      </c>
    </row>
    <row r="23" spans="6:13" x14ac:dyDescent="0.2">
      <c r="F23" t="str">
        <f>'Stats G1'!A24</f>
        <v>Festus</v>
      </c>
      <c r="G23" t="str">
        <f>'Stats G1'!B24</f>
        <v>Ndumanya</v>
      </c>
      <c r="H23" t="s">
        <v>277</v>
      </c>
      <c r="I23">
        <f>'Stats G1'!E24</f>
        <v>6</v>
      </c>
      <c r="J23">
        <f>'Stats G1'!H24</f>
        <v>10</v>
      </c>
      <c r="K23">
        <f t="shared" ref="K23:K36" si="1">J23+I23</f>
        <v>16</v>
      </c>
      <c r="L23">
        <f>'Stats G1'!K24</f>
        <v>0</v>
      </c>
      <c r="M23">
        <f>'Stats G1'!N24</f>
        <v>0</v>
      </c>
    </row>
    <row r="24" spans="6:13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G1'!E25</f>
        <v>0</v>
      </c>
      <c r="J24">
        <f>'Stats G1'!H25</f>
        <v>0</v>
      </c>
      <c r="K24">
        <f t="shared" si="1"/>
        <v>0</v>
      </c>
      <c r="L24">
        <f>'Stats G1'!K25</f>
        <v>0</v>
      </c>
      <c r="M24">
        <f>'Stats G1'!N25</f>
        <v>0</v>
      </c>
    </row>
    <row r="25" spans="6:13" x14ac:dyDescent="0.2">
      <c r="F25" t="str">
        <f>'Stats G1'!A26</f>
        <v>Doctor</v>
      </c>
      <c r="G25" t="str">
        <f>'Stats G1'!B26</f>
        <v>Bradley</v>
      </c>
      <c r="H25">
        <f>'Stats G1'!C26</f>
        <v>3</v>
      </c>
      <c r="I25">
        <f>'Stats G1'!E26</f>
        <v>1</v>
      </c>
      <c r="J25">
        <f>'Stats G1'!H26</f>
        <v>2</v>
      </c>
      <c r="K25">
        <f t="shared" si="1"/>
        <v>3</v>
      </c>
      <c r="L25">
        <f>'Stats G1'!K26</f>
        <v>3</v>
      </c>
      <c r="M25">
        <f>'Stats G1'!N26</f>
        <v>0</v>
      </c>
    </row>
    <row r="26" spans="6:13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G1'!E27</f>
        <v>1</v>
      </c>
      <c r="J26">
        <f>'Stats G1'!H27</f>
        <v>7</v>
      </c>
      <c r="K26">
        <f t="shared" si="1"/>
        <v>8</v>
      </c>
      <c r="L26">
        <f>'Stats G1'!K27</f>
        <v>2</v>
      </c>
      <c r="M26">
        <f>'Stats G1'!N27</f>
        <v>0</v>
      </c>
    </row>
    <row r="27" spans="6:13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</row>
    <row r="28" spans="6:13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G1'!K29</f>
        <v>0</v>
      </c>
      <c r="M28">
        <f>'Stats G1'!N29</f>
        <v>0</v>
      </c>
    </row>
    <row r="29" spans="6:13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G1'!K30</f>
        <v>0</v>
      </c>
      <c r="M29">
        <f>'Stats G1'!N30</f>
        <v>0</v>
      </c>
    </row>
    <row r="30" spans="6:13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G1'!E31</f>
        <v>2</v>
      </c>
      <c r="J30">
        <f>'Stats G1'!H31</f>
        <v>7</v>
      </c>
      <c r="K30">
        <f t="shared" si="1"/>
        <v>9</v>
      </c>
      <c r="L30">
        <f>'Stats G1'!K31</f>
        <v>1</v>
      </c>
      <c r="M30">
        <f>'Stats G1'!N31</f>
        <v>2</v>
      </c>
    </row>
    <row r="31" spans="6:13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G1'!K32</f>
        <v>0</v>
      </c>
      <c r="M31">
        <f>'Stats G1'!N32</f>
        <v>0</v>
      </c>
    </row>
    <row r="32" spans="6:13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G1'!E33</f>
        <v>4</v>
      </c>
      <c r="J32">
        <f>'Stats G1'!H33</f>
        <v>7</v>
      </c>
      <c r="K32">
        <f t="shared" si="1"/>
        <v>11</v>
      </c>
      <c r="L32">
        <f>'Stats G1'!K33</f>
        <v>0</v>
      </c>
      <c r="M32">
        <f>'Stats G1'!N33</f>
        <v>1</v>
      </c>
    </row>
    <row r="33" spans="6:13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G1'!E34</f>
        <v>1</v>
      </c>
      <c r="J33">
        <f>'Stats G1'!H34</f>
        <v>6</v>
      </c>
      <c r="K33">
        <f t="shared" si="1"/>
        <v>7</v>
      </c>
      <c r="L33">
        <f>'Stats G1'!K34</f>
        <v>1</v>
      </c>
      <c r="M33">
        <f>'Stats G1'!N34</f>
        <v>2</v>
      </c>
    </row>
    <row r="34" spans="6:13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G1'!K35</f>
        <v>0</v>
      </c>
      <c r="M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</row>
    <row r="37" spans="6:13" x14ac:dyDescent="0.2">
      <c r="H37" s="2" t="s">
        <v>5</v>
      </c>
      <c r="I37">
        <f>SUM(I22:I36)</f>
        <v>15</v>
      </c>
      <c r="J37">
        <f>SUM(J22:J36)</f>
        <v>39</v>
      </c>
      <c r="K37">
        <f>SUM(K22:K36)</f>
        <v>54</v>
      </c>
      <c r="L37">
        <f>SUM(L22:L36)</f>
        <v>7</v>
      </c>
      <c r="M37">
        <f>SUM(M22:M36)</f>
        <v>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80" zoomScaleNormal="80" workbookViewId="0">
      <selection activeCell="X9" sqref="X9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5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5" hidden="1" x14ac:dyDescent="0.2"/>
    <row r="3" spans="1:25" x14ac:dyDescent="0.2">
      <c r="A3" s="2" t="s">
        <v>8</v>
      </c>
      <c r="B3" s="1" t="s">
        <v>13</v>
      </c>
    </row>
    <row r="4" spans="1:25" x14ac:dyDescent="0.2">
      <c r="A4" t="s">
        <v>1</v>
      </c>
      <c r="B4" t="s">
        <v>2</v>
      </c>
      <c r="C4" t="s">
        <v>0</v>
      </c>
      <c r="E4" t="s">
        <v>246</v>
      </c>
      <c r="H4" t="s">
        <v>247</v>
      </c>
      <c r="K4" t="s">
        <v>244</v>
      </c>
      <c r="N4" t="s">
        <v>245</v>
      </c>
    </row>
    <row r="5" spans="1:25" s="6" customFormat="1" x14ac:dyDescent="0.2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W5" s="6" t="s">
        <v>269</v>
      </c>
    </row>
    <row r="6" spans="1:25" s="6" customFormat="1" x14ac:dyDescent="0.2">
      <c r="A6" s="6" t="str">
        <f>_xlfn.IFNA(VLOOKUP($B$3&amp;ROWS($A$5:A6),Rosters!$B$2:$C$162,2,0),"?")</f>
        <v>Mark</v>
      </c>
      <c r="B6" s="6" t="str">
        <f>_xlfn.IFNA(VLOOKUP($B$3&amp;ROWS($B$5:B6),Rosters!$B$2:$D$162,3,0),"?")</f>
        <v>Burton</v>
      </c>
      <c r="C6" s="6">
        <f>_xlfn.IFNA(VLOOKUP($B$3&amp;ROWS($C$5:C6),Rosters!$B$2:$E$162,4,0),"")</f>
        <v>3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 t="s">
        <v>271</v>
      </c>
      <c r="X6" s="6">
        <v>1</v>
      </c>
      <c r="Y6" s="6">
        <v>2</v>
      </c>
    </row>
    <row r="7" spans="1:25" s="6" customFormat="1" x14ac:dyDescent="0.2">
      <c r="A7" s="5" t="str">
        <f>_xlfn.IFNA(VLOOKUP($B$3&amp;ROWS($A$5:A7),Rosters!$B$2:$C$162,2,0),"?")</f>
        <v>Cole</v>
      </c>
      <c r="B7" s="5" t="str">
        <f>_xlfn.IFNA(VLOOKUP($B$3&amp;ROWS($B$5:B7),Rosters!$B$2:$D$162,3,0),"?")</f>
        <v>Kadoguchi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5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W7" s="6" t="s">
        <v>270</v>
      </c>
      <c r="X7" s="6">
        <v>1</v>
      </c>
      <c r="Y7" s="6">
        <v>2</v>
      </c>
    </row>
    <row r="8" spans="1:25" s="6" customFormat="1" x14ac:dyDescent="0.2">
      <c r="A8" s="6" t="str">
        <f>_xlfn.IFNA(VLOOKUP($B$3&amp;ROWS($A$5:A8),Rosters!$B$2:$C$162,2,0),"?")</f>
        <v>Deng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1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5" s="6" customFormat="1" x14ac:dyDescent="0.2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0</v>
      </c>
      <c r="F9" s="5"/>
      <c r="G9" s="5"/>
      <c r="H9" s="5">
        <v>6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5" s="6" customFormat="1" x14ac:dyDescent="0.2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2</v>
      </c>
      <c r="H10" s="6">
        <v>3</v>
      </c>
      <c r="K10" s="6">
        <v>2</v>
      </c>
      <c r="N10" s="6">
        <v>1</v>
      </c>
      <c r="Q10" s="6">
        <v>0</v>
      </c>
      <c r="T10" s="6">
        <v>0</v>
      </c>
    </row>
    <row r="11" spans="1:25" s="6" customFormat="1" x14ac:dyDescent="0.2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5" s="6" customFormat="1" x14ac:dyDescent="0.2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5" s="6" customFormat="1" x14ac:dyDescent="0.2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0</v>
      </c>
      <c r="F13" s="5"/>
      <c r="G13" s="5"/>
      <c r="H13" s="5">
        <v>2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5" s="6" customFormat="1" x14ac:dyDescent="0.2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5" s="6" customFormat="1" x14ac:dyDescent="0.2">
      <c r="A15" s="5" t="str">
        <f>_xlfn.IFNA(VLOOKUP($B$3&amp;ROWS($A$5:A15),Rosters!$B$2:$C$162,2,0),"?")</f>
        <v>Steven</v>
      </c>
      <c r="B15" s="5" t="str">
        <f>_xlfn.IFNA(VLOOKUP($B$3&amp;ROWS($B$5:B15),Rosters!$B$2:$D$162,3,0),"?")</f>
        <v>Adeyemi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5" s="6" customFormat="1" x14ac:dyDescent="0.2">
      <c r="A16" s="6" t="str">
        <f>_xlfn.IFNA(VLOOKUP($B$3&amp;ROWS($A$5:A16),Rosters!$B$2:$C$162,2,0),"?")</f>
        <v>Both</v>
      </c>
      <c r="B16" s="6" t="str">
        <f>_xlfn.IFNA(VLOOKUP($B$3&amp;ROWS($B$5:B16),Rosters!$B$2:$D$162,3,0),"?")</f>
        <v>Gach</v>
      </c>
      <c r="C16" s="6">
        <f>_xlfn.IFNA(VLOOKUP($B$3&amp;ROWS($C$5:C16),Rosters!$B$2:$E$162,4,0),"")</f>
        <v>11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221</v>
      </c>
      <c r="B17" s="5" t="s">
        <v>222</v>
      </c>
      <c r="C17" s="5">
        <v>32</v>
      </c>
      <c r="D17" s="5"/>
      <c r="E17" s="5">
        <v>0</v>
      </c>
      <c r="F17" s="5"/>
      <c r="G17" s="5"/>
      <c r="H17" s="5">
        <v>1</v>
      </c>
      <c r="I17" s="5"/>
      <c r="J17" s="5"/>
      <c r="K17" s="5">
        <v>1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148</v>
      </c>
      <c r="B18" s="6" t="s">
        <v>149</v>
      </c>
      <c r="C18" s="6">
        <v>2</v>
      </c>
      <c r="E18" s="6">
        <v>1</v>
      </c>
      <c r="H18" s="6">
        <v>2</v>
      </c>
      <c r="K18" s="6">
        <v>1</v>
      </c>
      <c r="N18" s="6">
        <v>1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</v>
      </c>
      <c r="H20">
        <f>SUM(H5:H19)</f>
        <v>19</v>
      </c>
      <c r="K20">
        <f>SUM(K5:K19)</f>
        <v>8</v>
      </c>
      <c r="N20">
        <f>SUM(N5:N19)</f>
        <v>4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15</v>
      </c>
    </row>
    <row r="22" spans="1:21" x14ac:dyDescent="0.2">
      <c r="A22" t="s">
        <v>1</v>
      </c>
      <c r="B22" t="s">
        <v>2</v>
      </c>
      <c r="C22" t="s">
        <v>0</v>
      </c>
      <c r="E22" t="s">
        <v>246</v>
      </c>
      <c r="H22" t="s">
        <v>247</v>
      </c>
      <c r="K22" t="s">
        <v>244</v>
      </c>
      <c r="N22" t="s">
        <v>245</v>
      </c>
    </row>
    <row r="23" spans="1:21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6</v>
      </c>
      <c r="H24" s="6">
        <v>10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272</v>
      </c>
      <c r="B26" s="6" t="s">
        <v>273</v>
      </c>
      <c r="C26" s="6">
        <f>_xlfn.IFNA(VLOOKUP($B$21&amp;ROWS($C$23:C26),Rosters!$B$2:$E$162,4,0),"")</f>
        <v>3</v>
      </c>
      <c r="E26" s="6">
        <v>1</v>
      </c>
      <c r="H26" s="6">
        <v>2</v>
      </c>
      <c r="K26" s="6">
        <v>3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1</v>
      </c>
      <c r="F27" s="5"/>
      <c r="G27" s="5"/>
      <c r="H27" s="5">
        <v>7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2</v>
      </c>
      <c r="F31" s="5"/>
      <c r="G31" s="5"/>
      <c r="H31" s="5">
        <v>7</v>
      </c>
      <c r="I31" s="5"/>
      <c r="J31" s="5"/>
      <c r="K31" s="5">
        <v>1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Jaxon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4</v>
      </c>
      <c r="F33" s="5"/>
      <c r="G33" s="5"/>
      <c r="H33" s="5">
        <v>7</v>
      </c>
      <c r="I33" s="5"/>
      <c r="J33" s="5"/>
      <c r="K33" s="5">
        <v>0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1</v>
      </c>
      <c r="F34"/>
      <c r="G34"/>
      <c r="H34" s="6">
        <v>6</v>
      </c>
      <c r="I34"/>
      <c r="J34"/>
      <c r="K34" s="6">
        <v>1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15</v>
      </c>
      <c r="H38">
        <f>SUM(H23:H37)</f>
        <v>39</v>
      </c>
      <c r="K38">
        <f>SUM(K23:K37)</f>
        <v>7</v>
      </c>
      <c r="N38">
        <f>SUM(N23:N37)</f>
        <v>5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7" sqref="C7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251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268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252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253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250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254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255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256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259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260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261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262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263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240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242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2021-07-30T14:15:37Z</dcterms:modified>
</cp:coreProperties>
</file>