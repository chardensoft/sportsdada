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B7524EFC-3EF1-C847-8D2E-8B5095156FF1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G3" i="2" s="1"/>
  <c r="C32" i="1"/>
  <c r="H31" i="2" s="1"/>
  <c r="A5" i="1"/>
  <c r="F3" i="2" s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A18" i="1"/>
  <c r="F16" i="2" s="1"/>
  <c r="A10" i="1"/>
  <c r="F8" i="2" s="1"/>
  <c r="G15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G30" i="2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F30" i="2"/>
  <c r="B28" i="1"/>
  <c r="G27" i="2" s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<sst xmlns="http://schemas.openxmlformats.org/spreadsheetml/2006/main" count="494" uniqueCount="276">
  <si>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</si>
  <si>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</si>
  <si>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</si>
  <si>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</si>
  <si>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</si>
  <si>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</si>
  <si>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</si>
  <si>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</si>
  <si>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</si>
  <si>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</si>
  <si>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</si>
  <si>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</si>
  <si>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</si>
  <si>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</si>
  <si>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</si>
  <si>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</si>
  <si>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</si>
  <si>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</si>
  <si>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</si>
  <si>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</si>
  <si>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</si>
  <si>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</si>
  <si>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</si>
  <si>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</si>
  <si>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</si>
  <si>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</si>
  <si>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</si>
  <si>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</si>
  <si>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</si>
  <si>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</si>
  <si>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</si>
  <si>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</si>
  <si>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</si>
  <si>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</si>
  <si>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</si>
  <si>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</si>
  <si>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</si>
  <si>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</si>
  <si>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</si>
  <si>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</si>
  <si>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</si>
  <si>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</si>
  <si>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</si>
  <si>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</si>
  <si>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</si>
  <si>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</si>
  <si>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</si>
  <si>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</si>
  <si>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</si>
  <si>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</si>
  <si>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</si>
  <si>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</si>
  <si>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</si>
  <si>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</si>
  <si>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</si>
  <si>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</si>
  <si>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</si>
  <si>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</si>
  <si>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</si>
  <si>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</si>
  <si>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</si>
  <si>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</si>
  <si>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</si>
  <si>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</si>
  <si>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</si>
  <si>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</si>
  <si>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</si>
  <si>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</si>
  <si>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</si>
  <si>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</si>
  <si>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</si>
  <si>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</si>
  <si>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</si>
  <si>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</si>
  <si>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</si>
  <si>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</si>
  <si>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</si>
  <si>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</si>
  <si>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</si>
  <si>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</si>
  <si>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</si>
  <si>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</si>
  <si>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</si>
  <si>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</si>
  <si>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</si>
  <si>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</si>
  <si>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</si>
  <si>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</si>
  <si>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</si>
  <si>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</si>
  <si>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</si>
  <si>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</si>
  <si>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</si>
  <si>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</si>
  <si>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</si>
  <si>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</si>
  <si>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</si>
  <si>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</si>
  <si>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</si>
  <si>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</si>
  <si>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</si>
  <si>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</si>
  <si>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</si>
  <si>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</si>
  <si>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</si>
  <si>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</si>
  <si>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</si>
  <si>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</si>
  <si>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</si>
  <si>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</si>
  <si>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</si>
  <si>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</si>
  <si>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</si>
  <si>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</si>
  <si>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</si>
  <si>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</si>
  <si>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</si>
  <si>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</si>
  <si>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</si>
  <si>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</si>
  <si>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</si>
  <si>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</si>
  <si>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</si>
  <si>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</si>
  <si>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</si>
  <si>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</si>
  <si>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</si>
  <si>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</si>
  <si>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</si>
  <si>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</si>
  <si>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</si>
  <si>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</si>
  <si>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</si>
  <si>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</si>
  <si>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</si>
  <si>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</si>
  <si>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</si>
  <si>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</si>
  <si>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</si>
  <si>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</si>
  <si>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</si>
  <si>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</si>
  <si>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</si>
  <si>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</si>
  <si>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</si>
  <si>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</si>
  <si>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</si>
  <si>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</si>
  <si>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</si>
  <si>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</si>
  <si>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</si>
  <si>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</si>
  <si>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</si>
  <si>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</si>
  <si>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</si>
  <si>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</si>
  <si>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</si>
  <si>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</si>
  <si>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</si>
  <si>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</si>
  <si>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</si>
  <si>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</si>
  <si>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</si>
  <si>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</si>
  <si>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</si>
  <si>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</si>
  <si>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</si>
  <si>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</si>
  <si>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</si>
  <si>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</si>
  <si>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</si>
  <si>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</si>
  <si>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</si>
  <si>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</si>
  <si>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</si>
  <si>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</si>
  <si>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</si>
  <si>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</si>
  <si>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</si>
  <si>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</si>
  <si>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</si>
  <si>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</si>
  <si>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</si>
  <si>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</si>
  <si>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</si>
  <si>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</si>
  <si>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</si>
  <si>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</si>
  <si>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</si>
  <si>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</si>
  <si>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</si>
  <si>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</si>
  <si>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</si>
  <si>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</si>
  <si>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</si>
  <si>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</si>
  <si>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</si>
  <si>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</si>
  <si>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</si>
  <si>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</si>
  <si>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</si>
  <si>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</si>
  <si>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</si>
  <si>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</si>
  <si>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</si>
  <si>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</si>
  <si>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</si>
  <si>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</si>
  <si>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</si>
  <si>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</si>
  <si>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</si>
  <si>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</si>
  <si>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</si>
  <si>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</si>
  <si>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</si>
  <si>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</si>
  <si>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</si>
  <si>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</si>
  <si>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</si>
  <si>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</si>
  <si>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</si>
  <si>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</si>
  <si>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</si>
  <si>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</si>
  <si>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</si>
  <si>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</si>
  <si>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</si>
  <si>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</si>
  <si>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</si>
  <si>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</si>
  <si>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</si>
  <si>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</si>
  <si>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</si>
  <si>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</si>
  <si>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</si>
  <si>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</si>
  <si>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</si>
  <si>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</si>
  <si>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</si>
  <si>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</si>
  <si>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</si>
  <si>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</si>
  <si>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</si>
  <si>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</si>
  <si>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</si>
  <si>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</si>
  <si>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</si>
  <si>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</si>
  <si>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</si>
  <si>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</si>
  <si>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</si>
  <si>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</si>
  <si>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</si>
  <si>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</si>
  <si>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</si>
  <si>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</si>
  <si>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</si>
  <si>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</si>
  <si>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</si>
  <si>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</si>
  <si>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</si>
  <si>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</si>
  <si>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</si>
  <si>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</si>
  <si>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</si>
  <si>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</si>
  <si>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</si>
  <si>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</si>
  <si>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</si>
  <si>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</si>
  <si>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</si>
  <si>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</si>
  <si>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</si>
  <si>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</si>
  <si>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Nelson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</si>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</sst>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I22" sqref="I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251</v>
      </c>
      <c r="F1" t="s">
        <v>9</v>
      </c>
      <c r="G1" t="str">
        <f>'Stats G2'!B3</f>
        <v>Clarke</v>
      </c>
    </row>
    <row r="2" spans="2:12" x14ac:dyDescent="0.2">
      <c r="B2" t="str">
        <f>G1</f>
        <v>Clarke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254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84</v>
      </c>
      <c r="C3" s="3" t="s">
        <v>15</v>
      </c>
      <c r="D3" s="4">
        <f>I37</f>
        <v>105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G2'!H5*2+'Stats G2'!N5*3+'Stats G2'!T5</f>
        <v>0</v>
      </c>
      <c r="J3" t="str">
        <f>SUM('Stats G2'!N5+'Stats G2'!H5)&amp;"-"&amp;SUM('Stats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G2'!H6*2+'Stats G2'!N6*3+'Stats G2'!T6</f>
        <v>5</v>
      </c>
      <c r="J4" t="str">
        <f>SUM('Stats G2'!N6+'Stats G2'!H6)&amp;"-"&amp;SUM('Stats G2'!E6+'Stats G2'!K6)</f>
        <v>2-9</v>
      </c>
      <c r="K4" t="str">
        <f>SUM('Stats G2'!N6)&amp;"-"&amp;SUM('Stats G2'!K6)</f>
        <v>0-1</v>
      </c>
      <c r="L4" t="str">
        <f>SUM('Stats G2'!T6)&amp;"-"&amp;SUM('Stats G2'!Q6)</f>
        <v>1-1</v>
      </c>
    </row>
    <row r="5" spans="2:12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G2'!H7*2+'Stats G2'!N7*3+'Stats G2'!T7</f>
        <v>0</v>
      </c>
      <c r="J5" t="str">
        <f>SUM('Stats G2'!N7+'Stats G2'!H7)&amp;"-"&amp;SUM('Stats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G2'!H8*2+'Stats G2'!N8*3+'Stats G2'!T8</f>
        <v>28</v>
      </c>
      <c r="J6" t="str">
        <f>SUM('Stats G2'!N8+'Stats G2'!H8)&amp;"-"&amp;SUM('Stats G2'!E8+'Stats G2'!K8)</f>
        <v>11-24</v>
      </c>
      <c r="K6" t="str">
        <f>SUM('Stats G2'!N8)&amp;"-"&amp;SUM('Stats G2'!K8)</f>
        <v>3-7</v>
      </c>
      <c r="L6" t="str">
        <f>SUM('Stats G2'!T8)&amp;"-"&amp;SUM('Stats G2'!Q8)</f>
        <v>3-3</v>
      </c>
    </row>
    <row r="7" spans="2:12" x14ac:dyDescent="0.2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G2'!H10*2+'Stats G2'!N10*3+'Stats G2'!T10</f>
        <v>11</v>
      </c>
      <c r="J8" t="str">
        <f>SUM('Stats G2'!N10+'Stats G2'!H10)&amp;"-"&amp;SUM('Stats G2'!E10+'Stats G2'!K10)</f>
        <v>5-15</v>
      </c>
      <c r="K8" t="str">
        <f>SUM('Stats G2'!N10)&amp;"-"&amp;SUM('Stats G2'!K10)</f>
        <v>1-3</v>
      </c>
      <c r="L8" t="str">
        <f>SUM('Stats G2'!T10)&amp;"-"&amp;SUM('Stats G2'!Q10)</f>
        <v>0-0</v>
      </c>
    </row>
    <row r="9" spans="2:12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G2'!H11*2+'Stats G2'!N11*3+'Stats G2'!T11</f>
        <v>0</v>
      </c>
      <c r="J9" t="str">
        <f>SUM('Stats G2'!N11+'Stats G2'!H11)&amp;"-"&amp;SUM('Stats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G2'!H14*2+'Stats G2'!N14*3+'Stats G2'!T14</f>
        <v>6</v>
      </c>
      <c r="J12" t="str">
        <f>SUM('Stats G2'!N14+'Stats G2'!H14)&amp;"-"&amp;SUM('Stats G2'!E14+'Stats G2'!K14)</f>
        <v>2-7</v>
      </c>
      <c r="K12" t="str">
        <f>SUM('Stats G2'!N14)&amp;"-"&amp;SUM('Stats G2'!K14)</f>
        <v>2-6</v>
      </c>
      <c r="L12" t="str">
        <f>SUM('Stats G2'!T14)&amp;"-"&amp;SUM('Stats G2'!Q14)</f>
        <v>0-0</v>
      </c>
    </row>
    <row r="13" spans="2:12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G2'!H15*2+'Stats G2'!N15*3+'Stats G2'!T15</f>
        <v>12</v>
      </c>
      <c r="J13" t="str">
        <f>SUM('Stats G2'!N15+'Stats G2'!H15)&amp;"-"&amp;SUM('Stats G2'!E15+'Stats G2'!K15)</f>
        <v>4-12</v>
      </c>
      <c r="K13" t="str">
        <f>SUM('Stats G2'!N15)&amp;"-"&amp;SUM('Stats G2'!K15)</f>
        <v>2-9</v>
      </c>
      <c r="L13" t="str">
        <f>SUM('Stats G2'!T15)&amp;"-"&amp;SUM('Stats G2'!Q15)</f>
        <v>2-2</v>
      </c>
    </row>
    <row r="14" spans="2:12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G2'!H16*2+'Stats G2'!N16*3+'Stats G2'!T16</f>
        <v>8</v>
      </c>
      <c r="J14" t="str">
        <f>SUM('Stats G2'!N16+'Stats G2'!H16)&amp;"-"&amp;SUM('Stats G2'!E16+'Stats G2'!K16)</f>
        <v>4-7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Riley</v>
      </c>
      <c r="G15" t="str">
        <f>'Stats G2'!B17</f>
        <v>Demps</v>
      </c>
      <c r="H15">
        <f>'Stats G2'!C17</f>
        <v>30</v>
      </c>
      <c r="I15">
        <f>'Stats G2'!H17*2+'Stats G2'!N17*3+'Stats G2'!T17</f>
        <v>14</v>
      </c>
      <c r="J15" t="str">
        <f>SUM('Stats G2'!N17+'Stats G2'!H17)&amp;"-"&amp;SUM('Stats G2'!E17+'Stats G2'!K17)</f>
        <v>6-15</v>
      </c>
      <c r="K15" t="str">
        <f>SUM('Stats G2'!N17)&amp;"-"&amp;SUM('Stats G2'!K17)</f>
        <v>0-4</v>
      </c>
      <c r="L15" t="str">
        <f>SUM('Stats G2'!T17)&amp;"-"&amp;SUM('Stats G2'!Q17)</f>
        <v>2-3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84</v>
      </c>
      <c r="J18" t="str">
        <f>SUM('Stats G2'!N20+'Stats G2'!H20)&amp;"-"&amp;SUM('Stats G2'!E20+'Stats G2'!K20)</f>
        <v>34-89</v>
      </c>
      <c r="K18" t="str">
        <f>SUM('Stats G2'!N20)&amp;"-"&amp;SUM('Stats G2'!K20)</f>
        <v>8-30</v>
      </c>
      <c r="L18" t="str">
        <f>SUM('Stats G2'!T20)&amp;"-"&amp;SUM('Stats G2'!Q20)</f>
        <v>8-9</v>
      </c>
    </row>
    <row r="20" spans="6:12" x14ac:dyDescent="0.2">
      <c r="F20" t="s">
        <v>13</v>
      </c>
      <c r="G20" t="str">
        <f>'Stats G2'!B21</f>
        <v>Berger</v>
      </c>
    </row>
    <row r="21" spans="6:12" x14ac:dyDescent="0.2">
      <c r="F21" t="s">
        <v>1</v>
      </c>
      <c r="G21" t="s">
        <v>2</v>
      </c>
      <c r="H21" t="s">
        <v>0</v>
      </c>
      <c r="I21" t="s">
        <v>254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G2'!H23*2+'Stats G2'!N23*3+'Stats G2'!T23</f>
        <v>9</v>
      </c>
      <c r="J22" t="str">
        <f>SUM('Stats G2'!N23+'Stats G2'!H23)&amp;"-"&amp;SUM('Stats G2'!E23+'Stats G2'!K23)</f>
        <v>3-8</v>
      </c>
      <c r="K22" t="str">
        <f>SUM('Stats G2'!N23)&amp;"-"&amp;SUM('Stats G2'!K23)</f>
        <v>0-3</v>
      </c>
      <c r="L22" t="str">
        <f>SUM('Stats G2'!T23)&amp;"-"&amp;SUM('Stats G2'!Q23)</f>
        <v>3-3</v>
      </c>
    </row>
    <row r="23" spans="6:12" x14ac:dyDescent="0.2">
      <c r="F23" t="str">
        <f>'Stats G2'!A24</f>
        <v>Sam</v>
      </c>
      <c r="G23" t="str">
        <f>'Stats G2'!B24</f>
        <v>Merril</v>
      </c>
      <c r="H23">
        <f>'Stats G2'!C24</f>
        <v>5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Parker</v>
      </c>
      <c r="G24" t="str">
        <f>'Stats G2'!B25</f>
        <v>Van Dyke</v>
      </c>
      <c r="H24">
        <f>'Stats G2'!C25</f>
        <v>7</v>
      </c>
      <c r="I24">
        <f>'Stats G2'!H25*2+'Stats G2'!N25*3+'Stats G2'!T25</f>
        <v>28</v>
      </c>
      <c r="J24" t="str">
        <f>SUM('Stats G2'!N25+'Stats G2'!H25)&amp;"-"&amp;SUM('Stats G2'!E25+'Stats G2'!K25)</f>
        <v>11-21</v>
      </c>
      <c r="K24" t="str">
        <f>SUM('Stats G2'!N25)&amp;"-"&amp;SUM('Stats G2'!K25)</f>
        <v>6-12</v>
      </c>
      <c r="L24" t="str">
        <f>SUM('Stats G2'!T25)&amp;"-"&amp;SUM('Stats G2'!Q25)</f>
        <v>0-0</v>
      </c>
    </row>
    <row r="25" spans="6:12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G2'!H26*2+'Stats G2'!N26*3+'Stats G2'!T26</f>
        <v>33</v>
      </c>
      <c r="J25" t="str">
        <f>SUM('Stats G2'!N26+'Stats G2'!H26)&amp;"-"&amp;SUM('Stats G2'!E26+'Stats G2'!K26)</f>
        <v>15-29</v>
      </c>
      <c r="K25" t="str">
        <f>SUM('Stats G2'!N26)&amp;"-"&amp;SUM('Stats G2'!K26)</f>
        <v>0-6</v>
      </c>
      <c r="L25" t="str">
        <f>SUM('Stats G2'!T26)&amp;"-"&amp;SUM('Stats G2'!Q26)</f>
        <v>3-4</v>
      </c>
    </row>
    <row r="26" spans="6:12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G2'!H27*2+'Stats G2'!N27*3+'Stats G2'!T27</f>
        <v>10</v>
      </c>
      <c r="J26" t="str">
        <f>SUM('Stats G2'!N27+'Stats G2'!H27)&amp;"-"&amp;SUM('Stats G2'!E27+'Stats G2'!K27)</f>
        <v>4-13</v>
      </c>
      <c r="K26" t="str">
        <f>SUM('Stats G2'!N27)&amp;"-"&amp;SUM('Stats G2'!K27)</f>
        <v>1-6</v>
      </c>
      <c r="L26" t="str">
        <f>SUM('Stats G2'!T27)&amp;"-"&amp;SUM('Stats G2'!Q27)</f>
        <v>1-1</v>
      </c>
    </row>
    <row r="27" spans="6:12" x14ac:dyDescent="0.2">
      <c r="F27" t="str">
        <f>'Stats G2'!A28</f>
        <v>Jalen</v>
      </c>
      <c r="G27" t="str">
        <f>'Stats G2'!B28</f>
        <v>Moore</v>
      </c>
      <c r="H27">
        <f>'Stats G2'!C28</f>
        <v>21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G2'!H29*2+'Stats G2'!N29*3+'Stats G2'!T29</f>
        <v>5</v>
      </c>
      <c r="J28" t="str">
        <f>SUM('Stats G2'!N29+'Stats G2'!H29)&amp;"-"&amp;SUM('Stats G2'!E29+'Stats G2'!K29)</f>
        <v>2-6</v>
      </c>
      <c r="K28" t="str">
        <f>SUM('Stats G2'!N29)&amp;"-"&amp;SUM('Stats G2'!K29)</f>
        <v>1-2</v>
      </c>
      <c r="L28" t="str">
        <f>SUM('Stats G2'!T29)&amp;"-"&amp;SUM('Stats G2'!Q29)</f>
        <v>0-0</v>
      </c>
    </row>
    <row r="29" spans="6:12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G2'!H30*2+'Stats G2'!N30*3+'Stats G2'!T30</f>
        <v>16</v>
      </c>
      <c r="J29" t="str">
        <f>SUM('Stats G2'!N30+'Stats G2'!H30)&amp;"-"&amp;SUM('Stats G2'!E30+'Stats G2'!K30)</f>
        <v>7-13</v>
      </c>
      <c r="K29" t="str">
        <f>SUM('Stats G2'!N30)&amp;"-"&amp;SUM('Stats G2'!K30)</f>
        <v>0-2</v>
      </c>
      <c r="L29" t="str">
        <f>SUM('Stats G2'!T30)&amp;"-"&amp;SUM('Stats G2'!Q30)</f>
        <v>2-3</v>
      </c>
    </row>
    <row r="30" spans="6:12" x14ac:dyDescent="0.2">
      <c r="F30" t="str">
        <f>'Stats G2'!A31</f>
        <v>Zach</v>
      </c>
      <c r="G30" t="str">
        <f>'Stats G2'!B31</f>
        <v>Nelson</v>
      </c>
      <c r="H30">
        <f>'Stats G2'!C31</f>
        <v>30</v>
      </c>
      <c r="I30">
        <f>'Stats G2'!H31*2+'Stats G2'!N31*3+'Stats G2'!T31</f>
        <v>4</v>
      </c>
      <c r="J30" t="str">
        <f>SUM('Stats G2'!N31+'Stats G2'!H31)&amp;"-"&amp;SUM('Stats G2'!E31+'Stats G2'!K31)</f>
        <v>2-5</v>
      </c>
      <c r="K30" t="str">
        <f>SUM('Stats G2'!N31)&amp;"-"&amp;SUM('Stats G2'!K31)</f>
        <v>0-1</v>
      </c>
      <c r="L30" t="str">
        <f>SUM('Stats G2'!T31)&amp;"-"&amp;SUM('Stats G2'!Q31)</f>
        <v>0-0</v>
      </c>
    </row>
    <row r="31" spans="6:12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105</v>
      </c>
      <c r="J37" t="str">
        <f>SUM('Stats G2'!N38+'Stats G2'!H38)&amp;"-"&amp;SUM('Stats G2'!E38+'Stats G2'!K38)</f>
        <v>44-95</v>
      </c>
      <c r="K37" t="str">
        <f>SUM('Stats G2'!N38)&amp;"-"&amp;SUM('Stats G2'!K38)</f>
        <v>8-32</v>
      </c>
      <c r="L37" t="str">
        <f>SUM('Stats G2'!T38)&amp;"-"&amp;SUM('Stats G2'!Q38)</f>
        <v>9-11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3" workbookViewId="0">
      <selection activeCell="Z13" sqref="Z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22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8</v>
      </c>
      <c r="H6" s="6">
        <v>2</v>
      </c>
      <c r="K6" s="6">
        <v>1</v>
      </c>
      <c r="N6" s="6">
        <v>0</v>
      </c>
      <c r="Q6" s="6">
        <v>1</v>
      </c>
      <c r="T6" s="6">
        <v>1</v>
      </c>
    </row>
    <row r="7" spans="1:21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17</v>
      </c>
      <c r="H8" s="6">
        <v>8</v>
      </c>
      <c r="K8" s="6">
        <v>7</v>
      </c>
      <c r="N8" s="6">
        <v>3</v>
      </c>
      <c r="Q8" s="6">
        <v>3</v>
      </c>
      <c r="T8" s="6">
        <v>3</v>
      </c>
    </row>
    <row r="9" spans="1:21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12</v>
      </c>
      <c r="H10" s="6">
        <v>4</v>
      </c>
      <c r="K10" s="6">
        <v>3</v>
      </c>
      <c r="N10" s="6">
        <v>1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1</v>
      </c>
      <c r="H14" s="6">
        <v>0</v>
      </c>
      <c r="K14" s="6">
        <v>6</v>
      </c>
      <c r="N14" s="6">
        <v>2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3</v>
      </c>
      <c r="F15" s="5"/>
      <c r="G15" s="5"/>
      <c r="H15" s="5">
        <v>2</v>
      </c>
      <c r="I15" s="5"/>
      <c r="J15" s="5"/>
      <c r="K15" s="5">
        <v>9</v>
      </c>
      <c r="L15" s="5"/>
      <c r="M15" s="5"/>
      <c r="N15" s="5">
        <v>2</v>
      </c>
      <c r="O15" s="5"/>
      <c r="P15" s="5"/>
      <c r="Q15" s="5">
        <v>2</v>
      </c>
      <c r="R15" s="5"/>
      <c r="S15" s="5"/>
      <c r="T15" s="5">
        <v>2</v>
      </c>
      <c r="U15" s="5"/>
    </row>
    <row r="16" spans="1:21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7</v>
      </c>
      <c r="H16" s="6">
        <v>4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210</v>
      </c>
      <c r="B17" s="5" t="s">
        <v>275</v>
      </c>
      <c r="C17" s="5">
        <v>30</v>
      </c>
      <c r="D17" s="5"/>
      <c r="E17" s="5">
        <v>11</v>
      </c>
      <c r="F17" s="5"/>
      <c r="G17" s="5"/>
      <c r="H17" s="5">
        <v>6</v>
      </c>
      <c r="I17" s="5"/>
      <c r="J17" s="5"/>
      <c r="K17" s="5">
        <v>4</v>
      </c>
      <c r="L17" s="5"/>
      <c r="M17" s="5"/>
      <c r="N17" s="5">
        <v>0</v>
      </c>
      <c r="O17" s="5"/>
      <c r="P17" s="5"/>
      <c r="Q17" s="5">
        <v>3</v>
      </c>
      <c r="R17" s="5"/>
      <c r="S17" s="5"/>
      <c r="T17" s="5">
        <v>2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59</v>
      </c>
      <c r="H20">
        <f>SUM(H5:H19)</f>
        <v>26</v>
      </c>
      <c r="K20">
        <f>SUM(K5:K19)</f>
        <v>30</v>
      </c>
      <c r="N20">
        <f>SUM(N5:N19)</f>
        <v>8</v>
      </c>
      <c r="Q20">
        <f>SUM(Q5:Q19)</f>
        <v>9</v>
      </c>
      <c r="T20">
        <f>SUM(T5:T19)</f>
        <v>8</v>
      </c>
    </row>
    <row r="21" spans="1:21" x14ac:dyDescent="0.2">
      <c r="A21" s="2" t="s">
        <v>17</v>
      </c>
      <c r="B21" s="1" t="s">
        <v>19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5</v>
      </c>
      <c r="F23" s="5"/>
      <c r="G23" s="5"/>
      <c r="H23" s="5">
        <v>3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3</v>
      </c>
      <c r="R23" s="5"/>
      <c r="S23" s="5"/>
      <c r="T23" s="5">
        <v>3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Merril</v>
      </c>
      <c r="C24" s="6">
        <f>_xlfn.IFNA(VLOOKUP($B$21&amp;ROWS($C$23:C24),Rosters!$B$2:$E$162,4,0),"")</f>
        <v>5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9</v>
      </c>
      <c r="F25" s="5"/>
      <c r="G25" s="5"/>
      <c r="H25" s="5">
        <v>5</v>
      </c>
      <c r="I25" s="5"/>
      <c r="J25" s="5"/>
      <c r="K25" s="5">
        <v>12</v>
      </c>
      <c r="L25" s="5"/>
      <c r="M25" s="5"/>
      <c r="N25" s="5">
        <v>6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23</v>
      </c>
      <c r="H26" s="6">
        <v>15</v>
      </c>
      <c r="K26" s="6">
        <v>6</v>
      </c>
      <c r="N26" s="6">
        <v>0</v>
      </c>
      <c r="Q26" s="6">
        <v>4</v>
      </c>
      <c r="T26" s="6">
        <v>3</v>
      </c>
    </row>
    <row r="27" spans="1:21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7</v>
      </c>
      <c r="F27" s="5"/>
      <c r="G27" s="5"/>
      <c r="H27" s="5">
        <v>3</v>
      </c>
      <c r="I27" s="5"/>
      <c r="J27" s="5"/>
      <c r="K27" s="5">
        <v>6</v>
      </c>
      <c r="L27" s="5"/>
      <c r="M27" s="5"/>
      <c r="N27" s="5">
        <v>1</v>
      </c>
      <c r="O27" s="5"/>
      <c r="P27" s="5"/>
      <c r="Q27" s="5">
        <v>1</v>
      </c>
      <c r="R27" s="5"/>
      <c r="S27" s="5"/>
      <c r="T27" s="5">
        <v>1</v>
      </c>
      <c r="U27" s="5"/>
    </row>
    <row r="28" spans="1:21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4</v>
      </c>
      <c r="F29" s="5"/>
      <c r="G29" s="5"/>
      <c r="H29" s="5">
        <v>1</v>
      </c>
      <c r="I29" s="5"/>
      <c r="J29" s="5"/>
      <c r="K29" s="5">
        <v>2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11</v>
      </c>
      <c r="H30" s="6">
        <v>7</v>
      </c>
      <c r="K30" s="6">
        <v>2</v>
      </c>
      <c r="N30" s="6">
        <v>0</v>
      </c>
      <c r="Q30" s="6">
        <v>3</v>
      </c>
      <c r="T30" s="6">
        <v>2</v>
      </c>
    </row>
    <row r="31" spans="1:21" s="6" customFormat="1" x14ac:dyDescent="0.2">
      <c r="A31" s="5" t="s">
        <v>96</v>
      </c>
      <c r="B31" s="5" t="s">
        <v>274</v>
      </c>
      <c r="C31" s="5">
        <f>_xlfn.IFNA(VLOOKUP($B$21&amp;ROWS($C$23:C31),Rosters!$B$2:$E$162,4,0),"")</f>
        <v>30</v>
      </c>
      <c r="D31" s="5"/>
      <c r="E31" s="5">
        <v>4</v>
      </c>
      <c r="F31" s="5"/>
      <c r="G31" s="5"/>
      <c r="H31" s="5">
        <v>2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63</v>
      </c>
      <c r="H38">
        <f>SUM(H23:H37)</f>
        <v>36</v>
      </c>
      <c r="K38">
        <f>SUM(K23:K37)</f>
        <v>32</v>
      </c>
      <c r="N38">
        <f>SUM(N23:N37)</f>
        <v>8</v>
      </c>
      <c r="Q38">
        <f>SUM(Q23:Q37)</f>
        <v>11</v>
      </c>
      <c r="T38">
        <f>SUM(T23:T37)</f>
        <v>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249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273</v>
      </c>
      <c r="D4" t="s">
        <v>41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257</v>
      </c>
      <c r="D5" t="s">
        <v>43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272</v>
      </c>
      <c r="D6" t="s">
        <v>44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258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259</v>
      </c>
      <c r="D8" t="s">
        <v>42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255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45</v>
      </c>
      <c r="D12" t="s">
        <v>46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47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62</v>
      </c>
      <c r="D14" t="s">
        <v>63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50</v>
      </c>
      <c r="D15" t="s">
        <v>51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67</v>
      </c>
      <c r="D16" t="s">
        <v>68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60</v>
      </c>
      <c r="D17" t="s">
        <v>61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66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69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70</v>
      </c>
      <c r="D20" t="s">
        <v>71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48</v>
      </c>
      <c r="D21" t="s">
        <v>49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64</v>
      </c>
      <c r="D22" t="s">
        <v>65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54</v>
      </c>
      <c r="D23" t="s">
        <v>55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52</v>
      </c>
      <c r="D24" t="s">
        <v>53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58</v>
      </c>
      <c r="D25" t="s">
        <v>59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56</v>
      </c>
      <c r="D26" t="s">
        <v>57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72</v>
      </c>
      <c r="D27" t="s">
        <v>260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261</v>
      </c>
      <c r="D31" t="s">
        <v>73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86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262</v>
      </c>
      <c r="D42" t="s">
        <v>108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95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263</v>
      </c>
      <c r="D50" t="s">
        <v>264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119</v>
      </c>
      <c r="D51" t="s">
        <v>120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123</v>
      </c>
      <c r="D52" t="s">
        <v>124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54</v>
      </c>
      <c r="D53" t="s">
        <v>125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115</v>
      </c>
      <c r="D54" t="s">
        <v>116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130</v>
      </c>
      <c r="D55" t="s">
        <v>131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117</v>
      </c>
      <c r="D56" t="s">
        <v>118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86</v>
      </c>
      <c r="D57" t="s">
        <v>127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132</v>
      </c>
      <c r="D58" t="s">
        <v>133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121</v>
      </c>
      <c r="D59" t="s">
        <v>122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134</v>
      </c>
      <c r="D60" t="s">
        <v>135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265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113</v>
      </c>
      <c r="D62" t="s">
        <v>114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239</v>
      </c>
      <c r="D63" t="s">
        <v>126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128</v>
      </c>
      <c r="D64" t="s">
        <v>129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140</v>
      </c>
      <c r="D65" t="s">
        <v>141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154</v>
      </c>
      <c r="D66" t="s">
        <v>155</v>
      </c>
      <c r="E66" s="7" t="s">
        <v>252</v>
      </c>
    </row>
    <row r="67" spans="1:5" x14ac:dyDescent="0.2">
      <c r="A67" t="s">
        <v>23</v>
      </c>
      <c r="B67" t="str">
        <f>A67&amp;COUNTIF($A$2:$A67,A67)</f>
        <v>Covington3</v>
      </c>
      <c r="C67" t="s">
        <v>156</v>
      </c>
      <c r="D67" t="s">
        <v>157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137</v>
      </c>
      <c r="D68" t="s">
        <v>138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147</v>
      </c>
      <c r="D69" t="s">
        <v>148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144</v>
      </c>
      <c r="D70" t="s">
        <v>145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136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142</v>
      </c>
      <c r="D72" t="s">
        <v>143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150</v>
      </c>
      <c r="D73" t="s">
        <v>151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146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80</v>
      </c>
      <c r="D75" t="s">
        <v>149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152</v>
      </c>
      <c r="D76" t="s">
        <v>153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54</v>
      </c>
      <c r="D77" t="s">
        <v>139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162</v>
      </c>
      <c r="D78" t="s">
        <v>163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170</v>
      </c>
      <c r="D79" t="s">
        <v>171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160</v>
      </c>
      <c r="D80" t="s">
        <v>161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159</v>
      </c>
      <c r="D81" t="s">
        <v>146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164</v>
      </c>
      <c r="D82" t="s">
        <v>165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172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266</v>
      </c>
      <c r="D84" t="s">
        <v>75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173</v>
      </c>
      <c r="D85" t="s">
        <v>174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267</v>
      </c>
      <c r="D86" t="s">
        <v>158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166</v>
      </c>
      <c r="D87" t="s">
        <v>167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168</v>
      </c>
      <c r="D88" t="s">
        <v>169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185</v>
      </c>
      <c r="D89" t="s">
        <v>186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67</v>
      </c>
      <c r="D90" t="s">
        <v>176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177</v>
      </c>
      <c r="D91" t="s">
        <v>178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96</v>
      </c>
      <c r="D92" t="s">
        <v>181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164</v>
      </c>
      <c r="D93" t="s">
        <v>63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253</v>
      </c>
      <c r="D94" t="s">
        <v>189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187</v>
      </c>
      <c r="D95" t="s">
        <v>188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86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184</v>
      </c>
      <c r="D97" t="s">
        <v>163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182</v>
      </c>
      <c r="D98" t="s">
        <v>183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67</v>
      </c>
      <c r="D99" t="s">
        <v>175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179</v>
      </c>
      <c r="D100" t="s">
        <v>180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192</v>
      </c>
      <c r="D101" t="s">
        <v>79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58</v>
      </c>
      <c r="D102" t="s">
        <v>190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72</v>
      </c>
      <c r="D103" t="s">
        <v>171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191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195</v>
      </c>
      <c r="D105" t="s">
        <v>196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197</v>
      </c>
      <c r="D106" t="s">
        <v>198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189</v>
      </c>
      <c r="D107" t="s">
        <v>194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199</v>
      </c>
      <c r="D108" t="s">
        <v>200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201</v>
      </c>
      <c r="D109" t="s">
        <v>196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193</v>
      </c>
      <c r="D110" t="s">
        <v>99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202</v>
      </c>
      <c r="D111" t="s">
        <v>54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203</v>
      </c>
      <c r="D112" t="s">
        <v>204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170</v>
      </c>
      <c r="D113" t="s">
        <v>205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170</v>
      </c>
      <c r="D114" t="s">
        <v>214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208</v>
      </c>
      <c r="D115" t="s">
        <v>209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210</v>
      </c>
      <c r="D116" t="s">
        <v>211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206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215</v>
      </c>
      <c r="D118" t="s">
        <v>216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268</v>
      </c>
      <c r="D119" t="s">
        <v>41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207</v>
      </c>
      <c r="D120" t="s">
        <v>146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212</v>
      </c>
      <c r="D121" t="s">
        <v>213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222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150</v>
      </c>
      <c r="D123" t="s">
        <v>217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269</v>
      </c>
      <c r="D124" t="s">
        <v>228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218</v>
      </c>
      <c r="D125" t="s">
        <v>219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222</v>
      </c>
      <c r="D126" t="s">
        <v>227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225</v>
      </c>
      <c r="D127" t="s">
        <v>226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229</v>
      </c>
      <c r="D128" t="s">
        <v>230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223</v>
      </c>
      <c r="D129" t="s">
        <v>224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220</v>
      </c>
      <c r="D130" t="s">
        <v>221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237</v>
      </c>
      <c r="D131" t="s">
        <v>238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189</v>
      </c>
      <c r="D132" t="s">
        <v>233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234</v>
      </c>
      <c r="D133" t="s">
        <v>235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242</v>
      </c>
      <c r="D134" t="s">
        <v>243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239</v>
      </c>
      <c r="D135" t="s">
        <v>240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143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231</v>
      </c>
      <c r="D137" t="s">
        <v>232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236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244</v>
      </c>
      <c r="D139" t="s">
        <v>224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241</v>
      </c>
      <c r="D140" t="s">
        <v>101</v>
      </c>
      <c r="E140">
        <v>30</v>
      </c>
    </row>
    <row r="141" spans="1:5" x14ac:dyDescent="0.2">
      <c r="A141" t="s">
        <v>256</v>
      </c>
      <c r="B141" t="str">
        <f>A141&amp;COUNTIF($A$2:$A141,A141)</f>
        <v>Guest1</v>
      </c>
      <c r="C141" t="s">
        <v>245</v>
      </c>
      <c r="D141" t="s">
        <v>246</v>
      </c>
      <c r="E141">
        <v>2</v>
      </c>
    </row>
    <row r="142" spans="1:5" x14ac:dyDescent="0.2">
      <c r="A142" t="s">
        <v>256</v>
      </c>
      <c r="B142" t="str">
        <f>A142&amp;COUNTIF($A$2:$A142,A142)</f>
        <v>Guest2</v>
      </c>
      <c r="C142" t="s">
        <v>80</v>
      </c>
      <c r="D142" t="s">
        <v>247</v>
      </c>
      <c r="E142">
        <v>10</v>
      </c>
    </row>
    <row r="143" spans="1:5" x14ac:dyDescent="0.2">
      <c r="A143" t="s">
        <v>256</v>
      </c>
      <c r="B143" t="str">
        <f>A143&amp;COUNTIF($A$2:$A143,A143)</f>
        <v>Guest3</v>
      </c>
      <c r="C143" t="s">
        <v>270</v>
      </c>
      <c r="D143" t="s">
        <v>248</v>
      </c>
      <c r="E143">
        <v>19</v>
      </c>
    </row>
    <row r="144" spans="1:5" x14ac:dyDescent="0.2">
      <c r="A144" t="s">
        <v>256</v>
      </c>
      <c r="B144" t="str">
        <f>A144&amp;COUNTIF($A$2:$A144,A144)</f>
        <v>Guest4</v>
      </c>
      <c r="C144" t="s">
        <v>250</v>
      </c>
      <c r="D144" t="s">
        <v>271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2021-07-30T04:06:17Z</dcterms:modified>
</cp:coreProperties>
</file>