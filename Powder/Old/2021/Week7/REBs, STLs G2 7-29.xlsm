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30T140255Z-001/"/>
    </mc:Choice>
  </mc:AlternateContent>
  <xr:revisionPtr revIDLastSave="0" documentId="13_ncr:1_{15F9A945-7DEC-7340-B1F3-ACA240FA787D}" xr6:coauthVersionLast="47" xr6:coauthVersionMax="47" xr10:uidLastSave="{00000000-0000-0000-0000-000000000000}"/>
  <bookViews>
    <workbookView xWindow="0" yWindow="500" windowWidth="1486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B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7" i="2" l="1"/>
  <c r="K18" i="2"/>
  <c r="J37" i="2"/>
  <c r="I37" i="2"/>
  <c r="J18" i="2"/>
  <c r="C25" i="1"/>
  <c r="H24" i="2" s="1"/>
  <c r="C32" i="1"/>
  <c r="H31" i="2" s="1"/>
  <c r="C29" i="1"/>
  <c r="H28" i="2" s="1"/>
  <c r="B33" i="1"/>
  <c r="G32" i="2" s="1"/>
  <c r="B6" i="1"/>
  <c r="G4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C10" i="1"/>
  <c r="H8" i="2" s="1"/>
  <c r="F34" i="2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B17" i="1"/>
  <c r="A17" i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I18" i="2"/>
</calcChain>
</file>

<file path=xl/sharedStrings.xml><?xml version="1.0" encoding="utf-8"?>
<sst xmlns="http://schemas.openxmlformats.org/spreadsheetml/2006/main" count="497" uniqueCount="277">
  <si>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</si>
  <si>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</si>
  <si>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</si>
  <si>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</si>
  <si>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</si>
  <si>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</si>
  <si>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</si>
  <si>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</si>
  <si>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</si>
  <si>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</si>
  <si>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</si>
  <si>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</si>
  <si>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</si>
  <si>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</si>
  <si>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</si>
  <si>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</si>
  <si>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</si>
  <si>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</si>
  <si>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</si>
  <si>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</si>
  <si>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</si>
  <si>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</si>
  <si>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</si>
  <si>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</si>
  <si>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</si>
  <si>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</si>
  <si>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</si>
  <si>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</si>
  <si>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</si>
  <si>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</si>
  <si>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</si>
  <si>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</si>
  <si>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</si>
  <si>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</si>
  <si>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</si>
  <si>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</si>
  <si>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</si>
  <si>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</si>
  <si>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</si>
  <si>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</si>
  <si>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</si>
  <si>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</si>
  <si>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</si>
  <si>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</si>
  <si>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</si>
  <si>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</si>
  <si>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</si>
  <si>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</si>
  <si>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</si>
  <si>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</si>
  <si>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</si>
  <si>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</si>
  <si>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</si>
  <si>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</si>
  <si>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</si>
  <si>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</si>
  <si>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</si>
  <si>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</si>
  <si>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</si>
  <si>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</si>
  <si>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</si>
  <si>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</si>
  <si>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</si>
  <si>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</si>
  <si>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</si>
  <si>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</si>
  <si>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</si>
  <si>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</si>
  <si>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</si>
  <si>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</si>
  <si>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</si>
  <si>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</si>
  <si>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</si>
  <si>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</si>
  <si>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</si>
  <si>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</si>
  <si>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</si>
  <si>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</si>
  <si>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</si>
  <si>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</si>
  <si>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</si>
  <si>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</si>
  <si>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</si>
  <si>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</si>
  <si>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</si>
  <si>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</si>
  <si>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</si>
  <si>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</si>
  <si>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</si>
  <si>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</si>
  <si>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</si>
  <si>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</si>
  <si>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</si>
  <si>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</si>
  <si>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</si>
  <si>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</si>
  <si>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</si>
  <si>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</si>
  <si>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</si>
  <si>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</si>
  <si>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</si>
  <si>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</si>
  <si>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</si>
  <si>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</si>
  <si>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</si>
  <si>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</si>
  <si>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</si>
  <si>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</si>
  <si>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</si>
  <si>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</si>
  <si>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</si>
  <si>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</si>
  <si>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</si>
  <si>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</si>
  <si>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</si>
  <si>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</si>
  <si>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</si>
  <si>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</si>
  <si>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</si>
  <si>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</si>
  <si>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</si>
  <si>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</si>
  <si>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</si>
  <si>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</si>
  <si>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</si>
  <si>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</si>
  <si>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</si>
  <si>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</si>
  <si>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</si>
  <si>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</si>
  <si>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</si>
  <si>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</si>
  <si>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</si>
  <si>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</si>
  <si>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</si>
  <si>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</si>
  <si>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</si>
  <si>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</si>
  <si>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</si>
  <si>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</si>
  <si>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</si>
  <si>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</si>
  <si>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</si>
  <si>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</si>
  <si>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</si>
  <si>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</si>
  <si>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</si>
  <si>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</si>
  <si>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</si>
  <si>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</si>
  <si>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</si>
  <si>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</si>
  <si>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</si>
  <si>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</si>
  <si>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</si>
  <si>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</si>
  <si>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</si>
  <si>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</si>
  <si>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</si>
  <si>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</si>
  <si>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</si>
  <si>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</si>
  <si>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</si>
  <si>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</si>
  <si>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</si>
  <si>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</si>
  <si>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</si>
  <si>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</si>
  <si>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</si>
  <si>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</si>
  <si>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</si>
  <si>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</si>
  <si>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</si>
  <si>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</si>
  <si>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</si>
  <si>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</si>
  <si>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</si>
  <si>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</si>
  <si>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</si>
  <si>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</si>
  <si>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</si>
  <si>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</si>
  <si>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</si>
  <si>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</si>
  <si>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</si>
  <si>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</si>
  <si>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</si>
  <si>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</si>
  <si>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</si>
  <si>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</si>
  <si>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</si>
  <si>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</si>
  <si>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</si>
  <si>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</si>
  <si>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</si>
  <si>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</si>
  <si>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</si>
  <si>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</si>
  <si>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</si>
  <si>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</si>
  <si>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</si>
  <si>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</si>
  <si>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</si>
  <si>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</si>
  <si>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</si>
  <si>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</si>
  <si>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</si>
  <si>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</si>
  <si>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</si>
  <si>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</si>
  <si>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</si>
  <si>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</si>
  <si>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</si>
  <si>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</si>
  <si>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</si>
  <si>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</si>
  <si>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</si>
  <si>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</si>
  <si>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</si>
  <si>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</si>
  <si>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</si>
  <si>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</si>
  <si>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</si>
  <si>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</si>
  <si>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</si>
  <si>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</si>
  <si>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</si>
  <si>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</si>
  <si>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</si>
  <si>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</si>
  <si>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</si>
  <si>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</si>
  <si>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</si>
  <si>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</si>
  <si>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</si>
  <si>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</si>
  <si>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</si>
  <si>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</si>
  <si>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</si>
  <si>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</si>
  <si>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</si>
  <si>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</si>
  <si>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</si>
  <si>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</si>
  <si>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</si>
  <si>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</si>
  <si>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</si>
  <si>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</si>
  <si>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</si>
  <si>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</si>
  <si>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</si>
  <si>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</si>
  <si>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</si>
  <si>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</si>
  <si>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</si>
  <si>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</si>
  <si>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</si>
  <si>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</si>
  <si>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</si>
  <si>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</si>
  <si>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</si>
  <si>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</si>
  <si>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</si>
  <si>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</si>
  <si>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</si>
  <si>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</si>
  <si>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Brekkott</t>
  </si>
  <si>
    <t>Dwayne</t>
  </si>
  <si>
    <t>2 gray tech</t>
  </si>
  <si>
    <t>8 black tech</t>
  </si>
  <si>
    <t>0-0</t>
  </si>
  <si>
    <t>MP</t>
  </si>
  <si>
    <t>sec</t>
  </si>
  <si>
    <t>Oliver</t>
  </si>
  <si>
    <t>Jenson</t>
  </si>
  <si>
    <t>Dashawn</t>
  </si>
  <si>
    <t>Benson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</si>
</sst>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topLeftCell="A12" workbookViewId="0">
      <selection activeCell="D14" sqref="D1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247</v>
      </c>
      <c r="F1" t="s">
        <v>3</v>
      </c>
      <c r="G1" t="str">
        <f>'Stats G2'!B3</f>
        <v>Draney</v>
      </c>
    </row>
    <row r="2" spans="2:11" x14ac:dyDescent="0.2">
      <c r="B2" t="str">
        <f>G1</f>
        <v>Draney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243</v>
      </c>
      <c r="J2" t="s">
        <v>244</v>
      </c>
      <c r="K2" t="s">
        <v>271</v>
      </c>
    </row>
    <row r="3" spans="2:11" x14ac:dyDescent="0.2">
      <c r="B3">
        <f>I18</f>
        <v>5</v>
      </c>
      <c r="C3" s="3" t="s">
        <v>6</v>
      </c>
      <c r="D3" s="4">
        <f>I37</f>
        <v>16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G2'!K5</f>
        <v>0</v>
      </c>
      <c r="J3">
        <f>'Stats G2'!N5</f>
        <v>4</v>
      </c>
      <c r="K3">
        <f>'Stats G2'!Q5/60</f>
        <v>23.516666666666666</v>
      </c>
    </row>
    <row r="4" spans="2:11" x14ac:dyDescent="0.2">
      <c r="F4" t="str">
        <f>'Stats G2'!A6</f>
        <v>Brendan</v>
      </c>
      <c r="G4" t="str">
        <f>'Stats G2'!B6</f>
        <v>Bailey</v>
      </c>
      <c r="H4">
        <f>'Stats G2'!C6</f>
        <v>1</v>
      </c>
      <c r="I4">
        <f>'Stats G2'!K6</f>
        <v>0</v>
      </c>
      <c r="J4">
        <f>'Stats G2'!N6</f>
        <v>0</v>
      </c>
      <c r="K4">
        <f>'Stats G2'!Q6/60</f>
        <v>0</v>
      </c>
    </row>
    <row r="5" spans="2:11" x14ac:dyDescent="0.2">
      <c r="F5" t="str">
        <f>'Stats G2'!A7</f>
        <v>Marquis</v>
      </c>
      <c r="G5" t="str">
        <f>'Stats G2'!B7</f>
        <v>Velez</v>
      </c>
      <c r="H5">
        <f>'Stats G2'!C7</f>
        <v>2</v>
      </c>
      <c r="I5">
        <f>'Stats G2'!K7</f>
        <v>1</v>
      </c>
      <c r="J5">
        <f>'Stats G2'!N7</f>
        <v>5</v>
      </c>
      <c r="K5">
        <f>'Stats G2'!Q7/60</f>
        <v>24.833333333333332</v>
      </c>
    </row>
    <row r="6" spans="2:11" x14ac:dyDescent="0.2">
      <c r="F6" t="str">
        <f>'Stats G2'!A8</f>
        <v>Marcus</v>
      </c>
      <c r="G6" t="str">
        <f>'Stats G2'!B8</f>
        <v>Draney</v>
      </c>
      <c r="H6">
        <f>'Stats G2'!C8</f>
        <v>4</v>
      </c>
      <c r="I6">
        <f>'Stats G2'!K8</f>
        <v>0</v>
      </c>
      <c r="J6">
        <f>'Stats G2'!N8</f>
        <v>2</v>
      </c>
      <c r="K6">
        <f>'Stats G2'!Q8/60</f>
        <v>27.083333333333332</v>
      </c>
    </row>
    <row r="7" spans="2:11" x14ac:dyDescent="0.2">
      <c r="F7" t="str">
        <f>'Stats G2'!A9</f>
        <v>Stefan</v>
      </c>
      <c r="G7" t="str">
        <f>'Stats G2'!B9</f>
        <v>Briggs</v>
      </c>
      <c r="H7">
        <f>'Stats G2'!C9</f>
        <v>8</v>
      </c>
      <c r="I7">
        <f>'Stats G2'!K9</f>
        <v>1</v>
      </c>
      <c r="J7">
        <f>'Stats G2'!N9</f>
        <v>0</v>
      </c>
      <c r="K7">
        <f>'Stats G2'!Q9/60</f>
        <v>21.166666666666668</v>
      </c>
    </row>
    <row r="8" spans="2:11" x14ac:dyDescent="0.2">
      <c r="F8" t="str">
        <f>'Stats G2'!A10</f>
        <v>Derrick</v>
      </c>
      <c r="G8" t="str">
        <f>'Stats G2'!B10</f>
        <v>Buys</v>
      </c>
      <c r="H8">
        <f>'Stats G2'!C10</f>
        <v>11</v>
      </c>
      <c r="I8">
        <f>'Stats G2'!K10</f>
        <v>0</v>
      </c>
      <c r="J8">
        <f>'Stats G2'!N10</f>
        <v>0</v>
      </c>
      <c r="K8">
        <f>'Stats G2'!Q10/60</f>
        <v>15.6</v>
      </c>
    </row>
    <row r="9" spans="2:11" x14ac:dyDescent="0.2">
      <c r="F9" t="str">
        <f>'Stats G2'!A11</f>
        <v>James</v>
      </c>
      <c r="G9" t="str">
        <f>'Stats G2'!B11</f>
        <v>Kamich</v>
      </c>
      <c r="H9">
        <f>'Stats G2'!C11</f>
        <v>22</v>
      </c>
      <c r="I9">
        <f>'Stats G2'!K11</f>
        <v>0</v>
      </c>
      <c r="J9">
        <f>'Stats G2'!N11</f>
        <v>0</v>
      </c>
      <c r="K9">
        <f>'Stats G2'!Q11/60</f>
        <v>0</v>
      </c>
    </row>
    <row r="10" spans="2:11" x14ac:dyDescent="0.2">
      <c r="F10" t="str">
        <f>'Stats G2'!A12</f>
        <v>Duncan</v>
      </c>
      <c r="G10" t="str">
        <f>'Stats G2'!B12</f>
        <v>Reid</v>
      </c>
      <c r="H10">
        <f>'Stats G2'!C12</f>
        <v>22</v>
      </c>
      <c r="I10">
        <f>'Stats G2'!K12</f>
        <v>0</v>
      </c>
      <c r="J10">
        <f>'Stats G2'!N12</f>
        <v>0</v>
      </c>
      <c r="K10">
        <f>'Stats G2'!Q12/60</f>
        <v>0</v>
      </c>
    </row>
    <row r="11" spans="2:11" x14ac:dyDescent="0.2">
      <c r="F11" t="str">
        <f>'Stats G2'!A13</f>
        <v>Darrian</v>
      </c>
      <c r="G11" t="str">
        <f>'Stats G2'!B13</f>
        <v>Briggs</v>
      </c>
      <c r="H11">
        <f>'Stats G2'!C13</f>
        <v>22</v>
      </c>
      <c r="I11">
        <f>'Stats G2'!K13</f>
        <v>0</v>
      </c>
      <c r="J11">
        <f>'Stats G2'!N13</f>
        <v>0</v>
      </c>
      <c r="K11">
        <f>'Stats G2'!Q13/60</f>
        <v>23.916666666666668</v>
      </c>
    </row>
    <row r="12" spans="2:11" x14ac:dyDescent="0.2">
      <c r="F12" t="str">
        <f>'Stats G2'!A14</f>
        <v>Deonte</v>
      </c>
      <c r="G12" t="str">
        <f>'Stats G2'!B14</f>
        <v>Burton</v>
      </c>
      <c r="H12">
        <f>'Stats G2'!C14</f>
        <v>24</v>
      </c>
      <c r="I12">
        <f>'Stats G2'!K14</f>
        <v>1</v>
      </c>
      <c r="J12">
        <f>'Stats G2'!N14</f>
        <v>0</v>
      </c>
      <c r="K12">
        <f>'Stats G2'!Q14/60</f>
        <v>15.6</v>
      </c>
    </row>
    <row r="13" spans="2:11" x14ac:dyDescent="0.2">
      <c r="F13" t="str">
        <f>'Stats G2'!A15</f>
        <v>Jarret</v>
      </c>
      <c r="G13" t="str">
        <f>'Stats G2'!B15</f>
        <v>Jordan</v>
      </c>
      <c r="H13">
        <f>'Stats G2'!C15</f>
        <v>25</v>
      </c>
      <c r="I13">
        <f>'Stats G2'!K15</f>
        <v>0</v>
      </c>
      <c r="J13">
        <f>'Stats G2'!N15</f>
        <v>0</v>
      </c>
      <c r="K13">
        <f>'Stats G2'!Q15/60</f>
        <v>0</v>
      </c>
    </row>
    <row r="14" spans="2:11" x14ac:dyDescent="0.2">
      <c r="F14" t="str">
        <f>'Stats G2'!A16</f>
        <v>Ousmaine</v>
      </c>
      <c r="G14" t="str">
        <f>'Stats G2'!B16</f>
        <v>Dia</v>
      </c>
      <c r="H14">
        <f>'Stats G2'!C16</f>
        <v>30</v>
      </c>
      <c r="I14">
        <f>'Stats G2'!K16</f>
        <v>0</v>
      </c>
      <c r="J14">
        <f>'Stats G2'!N16</f>
        <v>0</v>
      </c>
      <c r="K14">
        <f>'Stats G2'!Q16/60</f>
        <v>0</v>
      </c>
    </row>
    <row r="15" spans="2:11" x14ac:dyDescent="0.2">
      <c r="F15" t="s">
        <v>273</v>
      </c>
      <c r="G15" t="s">
        <v>274</v>
      </c>
      <c r="H15">
        <f>'Stats G2'!C17</f>
        <v>23</v>
      </c>
      <c r="I15">
        <f>'Stats G2'!K17</f>
        <v>1</v>
      </c>
      <c r="J15">
        <f>'Stats G2'!N17</f>
        <v>0</v>
      </c>
      <c r="K15">
        <f>'Stats G2'!Q17/60</f>
        <v>9.7166666666666668</v>
      </c>
    </row>
    <row r="16" spans="2:11" x14ac:dyDescent="0.2">
      <c r="F16" t="str">
        <f>'Stats G2'!A18</f>
        <v>Makol</v>
      </c>
      <c r="G16" t="str">
        <f>'Stats G2'!B18</f>
        <v>Mawien</v>
      </c>
      <c r="H16">
        <f>'Stats G2'!C18</f>
        <v>10</v>
      </c>
      <c r="I16">
        <f>'Stats G2'!K18</f>
        <v>0</v>
      </c>
      <c r="J16">
        <f>'Stats G2'!N18</f>
        <v>2</v>
      </c>
      <c r="K16">
        <f>'Stats G2'!Q18/60</f>
        <v>23.8</v>
      </c>
    </row>
    <row r="17" spans="6:11" x14ac:dyDescent="0.2">
      <c r="F17" t="s">
        <v>275</v>
      </c>
      <c r="G17" t="s">
        <v>276</v>
      </c>
      <c r="H17" t="str">
        <f>'Stats G2'!C19</f>
        <v>0-0</v>
      </c>
      <c r="I17">
        <f>'Stats G2'!K19</f>
        <v>1</v>
      </c>
      <c r="J17">
        <f>'Stats G2'!N19</f>
        <v>0</v>
      </c>
      <c r="K17">
        <f>'Stats G2'!Q19/60</f>
        <v>14.766666666666667</v>
      </c>
    </row>
    <row r="18" spans="6:11" x14ac:dyDescent="0.2">
      <c r="H18" s="2" t="s">
        <v>5</v>
      </c>
      <c r="I18">
        <f>SUM(I3:I17)</f>
        <v>5</v>
      </c>
      <c r="J18">
        <f>SUM(J3:J17)</f>
        <v>13</v>
      </c>
      <c r="K18">
        <f>SUM(K3:K17)</f>
        <v>200</v>
      </c>
    </row>
    <row r="20" spans="6:11" x14ac:dyDescent="0.2">
      <c r="F20" t="s">
        <v>4</v>
      </c>
      <c r="G20" t="str">
        <f>'Stats G2'!B21</f>
        <v>Drisdom</v>
      </c>
    </row>
    <row r="21" spans="6:11" x14ac:dyDescent="0.2">
      <c r="F21" t="s">
        <v>1</v>
      </c>
      <c r="G21" t="s">
        <v>2</v>
      </c>
      <c r="H21" t="s">
        <v>0</v>
      </c>
      <c r="I21" t="s">
        <v>243</v>
      </c>
      <c r="J21" t="s">
        <v>244</v>
      </c>
      <c r="K21" t="s">
        <v>271</v>
      </c>
    </row>
    <row r="22" spans="6:11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G2'!K23</f>
        <v>4</v>
      </c>
      <c r="J22">
        <f>'Stats G2'!N23</f>
        <v>2</v>
      </c>
      <c r="K22">
        <f>'Stats G2'!Q23/60</f>
        <v>23.9</v>
      </c>
    </row>
    <row r="23" spans="6:11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G2'!K24</f>
        <v>1</v>
      </c>
      <c r="J23">
        <f>'Stats G2'!N24</f>
        <v>2</v>
      </c>
      <c r="K23">
        <f>'Stats G2'!Q24/60</f>
        <v>24.716666666666665</v>
      </c>
    </row>
    <row r="24" spans="6:11" x14ac:dyDescent="0.2">
      <c r="F24" t="str">
        <f>'Stats G2'!A25</f>
        <v>Dwayne</v>
      </c>
      <c r="G24" t="str">
        <f>'Stats G2'!B25</f>
        <v>Brown</v>
      </c>
      <c r="H24">
        <f>'Stats G2'!C25</f>
        <v>2</v>
      </c>
      <c r="I24">
        <f>'Stats G2'!K25</f>
        <v>1</v>
      </c>
      <c r="J24">
        <f>'Stats G2'!N25</f>
        <v>2</v>
      </c>
      <c r="K24">
        <f>'Stats G2'!Q25/60</f>
        <v>18</v>
      </c>
    </row>
    <row r="25" spans="6:11" x14ac:dyDescent="0.2">
      <c r="F25" t="str">
        <f>'Stats G2'!A26</f>
        <v>Tre</v>
      </c>
      <c r="G25" t="str">
        <f>'Stats G2'!B26</f>
        <v>Smith</v>
      </c>
      <c r="H25">
        <f>'Stats G2'!C26</f>
        <v>3</v>
      </c>
      <c r="I25">
        <f>'Stats G2'!K26</f>
        <v>0</v>
      </c>
      <c r="J25">
        <f>'Stats G2'!N26</f>
        <v>0</v>
      </c>
      <c r="K25">
        <f>'Stats G2'!Q26/60</f>
        <v>14.15</v>
      </c>
    </row>
    <row r="26" spans="6:11" x14ac:dyDescent="0.2">
      <c r="F26" t="str">
        <f>'Stats G2'!A27</f>
        <v>Brekkott</v>
      </c>
      <c r="G26" t="str">
        <f>'Stats G2'!B27</f>
        <v>Chapman</v>
      </c>
      <c r="H26">
        <f>'Stats G2'!C27</f>
        <v>6</v>
      </c>
      <c r="I26">
        <f>'Stats G2'!K27</f>
        <v>3</v>
      </c>
      <c r="J26">
        <f>'Stats G2'!N27</f>
        <v>2</v>
      </c>
      <c r="K26">
        <f>'Stats G2'!Q27/60</f>
        <v>29.1</v>
      </c>
    </row>
    <row r="27" spans="6:11" x14ac:dyDescent="0.2">
      <c r="F27" t="str">
        <f>'Stats G2'!A28</f>
        <v>Ronnie</v>
      </c>
      <c r="G27" t="str">
        <f>'Stats G2'!B28</f>
        <v>Price</v>
      </c>
      <c r="H27">
        <f>'Stats G2'!C28</f>
        <v>7</v>
      </c>
      <c r="I27">
        <f>'Stats G2'!K28</f>
        <v>0</v>
      </c>
      <c r="J27">
        <f>'Stats G2'!N28</f>
        <v>0</v>
      </c>
      <c r="K27">
        <f>'Stats G2'!Q28/60</f>
        <v>0</v>
      </c>
    </row>
    <row r="28" spans="6:11" x14ac:dyDescent="0.2">
      <c r="F28" t="str">
        <f>'Stats G2'!A29</f>
        <v>Isaiah</v>
      </c>
      <c r="G28" t="str">
        <f>'Stats G2'!B29</f>
        <v>Wright</v>
      </c>
      <c r="H28">
        <f>'Stats G2'!C29</f>
        <v>8</v>
      </c>
      <c r="I28">
        <f>'Stats G2'!K29</f>
        <v>2</v>
      </c>
      <c r="J28">
        <f>'Stats G2'!N29</f>
        <v>2</v>
      </c>
      <c r="K28">
        <f>'Stats G2'!Q29/60</f>
        <v>28.25</v>
      </c>
    </row>
    <row r="29" spans="6:11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G2'!K30</f>
        <v>0</v>
      </c>
      <c r="J29">
        <f>'Stats G2'!N30</f>
        <v>0</v>
      </c>
      <c r="K29">
        <f>'Stats G2'!Q30/60</f>
        <v>0</v>
      </c>
    </row>
    <row r="30" spans="6:11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G2'!K31</f>
        <v>0</v>
      </c>
      <c r="J30">
        <f>'Stats G2'!N31</f>
        <v>0</v>
      </c>
      <c r="K30">
        <f>'Stats G2'!Q31/60</f>
        <v>0</v>
      </c>
    </row>
    <row r="31" spans="6:11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G2'!K32</f>
        <v>3</v>
      </c>
      <c r="J31">
        <f>'Stats G2'!N32</f>
        <v>2</v>
      </c>
      <c r="K31">
        <f>'Stats G2'!Q32/60</f>
        <v>21.216666666666665</v>
      </c>
    </row>
    <row r="32" spans="6:11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G2'!K33</f>
        <v>0</v>
      </c>
      <c r="J32">
        <f>'Stats G2'!N33</f>
        <v>0</v>
      </c>
      <c r="K32">
        <f>'Stats G2'!Q33/60</f>
        <v>0</v>
      </c>
    </row>
    <row r="33" spans="6:11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G2'!K34</f>
        <v>0</v>
      </c>
      <c r="J33">
        <f>'Stats G2'!N34</f>
        <v>3</v>
      </c>
      <c r="K33">
        <f>'Stats G2'!Q34/60</f>
        <v>18.183333333333334</v>
      </c>
    </row>
    <row r="34" spans="6:11" x14ac:dyDescent="0.2">
      <c r="F34" t="str">
        <f>'Stats G2'!A35</f>
        <v>Brandon</v>
      </c>
      <c r="G34" t="str">
        <f>'Stats G2'!B35</f>
        <v>Taylor</v>
      </c>
      <c r="H34">
        <f>'Stats G2'!C35</f>
        <v>0</v>
      </c>
      <c r="I34">
        <f>'Stats G2'!K35</f>
        <v>2</v>
      </c>
      <c r="J34">
        <f>'Stats G2'!N35</f>
        <v>1</v>
      </c>
      <c r="K34">
        <f>'Stats G2'!Q35/60</f>
        <v>22.483333333333334</v>
      </c>
    </row>
    <row r="35" spans="6:11" x14ac:dyDescent="0.2">
      <c r="F35" t="str">
        <f>'Stats G2'!A36</f>
        <v>?</v>
      </c>
      <c r="G35" t="str">
        <f>'Stats G2'!B36</f>
        <v>?</v>
      </c>
      <c r="I35">
        <f>'Stats G2'!K36</f>
        <v>0</v>
      </c>
      <c r="J35">
        <f>'Stats G2'!N36</f>
        <v>0</v>
      </c>
      <c r="K35">
        <f>'Stats G2'!Q36/60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G2'!K37</f>
        <v>0</v>
      </c>
      <c r="J36">
        <f>'Stats G2'!N37</f>
        <v>0</v>
      </c>
      <c r="K36">
        <f>'Stats G2'!Q37/60</f>
        <v>0</v>
      </c>
    </row>
    <row r="37" spans="6:11" x14ac:dyDescent="0.2">
      <c r="H37" s="2" t="s">
        <v>5</v>
      </c>
      <c r="I37">
        <f>SUM(I22:I36)</f>
        <v>16</v>
      </c>
      <c r="J37">
        <f>SUM(J22:J36)</f>
        <v>16</v>
      </c>
      <c r="K37">
        <f>SUM(K22:K36)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B9" workbookViewId="0">
      <selection activeCell="Q36" sqref="Q3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16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243</v>
      </c>
      <c r="N4" t="s">
        <v>244</v>
      </c>
      <c r="Q4" t="s">
        <v>272</v>
      </c>
    </row>
    <row r="5" spans="1:21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4</v>
      </c>
      <c r="O5" s="5"/>
      <c r="P5" s="5"/>
      <c r="Q5" s="5">
        <v>1411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Brendan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1</v>
      </c>
      <c r="L7" s="5"/>
      <c r="M7" s="5"/>
      <c r="N7" s="5">
        <v>5</v>
      </c>
      <c r="O7" s="5"/>
      <c r="P7" s="5"/>
      <c r="Q7" s="5">
        <v>1490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0</v>
      </c>
      <c r="H8" s="6">
        <v>0</v>
      </c>
      <c r="K8" s="6">
        <v>0</v>
      </c>
      <c r="N8" s="6">
        <v>2</v>
      </c>
      <c r="Q8" s="6">
        <v>1625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1270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936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1435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1</v>
      </c>
      <c r="N14" s="6">
        <v>0</v>
      </c>
      <c r="Q14" s="6">
        <v>936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4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583</v>
      </c>
      <c r="R17" s="5"/>
      <c r="S17" s="5"/>
      <c r="T17" s="5">
        <v>0</v>
      </c>
      <c r="U17" s="5"/>
    </row>
    <row r="18" spans="1:24" s="6" customFormat="1" x14ac:dyDescent="0.2">
      <c r="A18" s="6" t="s">
        <v>36</v>
      </c>
      <c r="B18" s="6" t="s">
        <v>37</v>
      </c>
      <c r="C18" s="6">
        <v>10</v>
      </c>
      <c r="E18" s="6">
        <v>0</v>
      </c>
      <c r="H18" s="6">
        <v>0</v>
      </c>
      <c r="K18" s="6">
        <v>0</v>
      </c>
      <c r="N18" s="6">
        <v>2</v>
      </c>
      <c r="Q18" s="6">
        <v>1428</v>
      </c>
      <c r="T18" s="6">
        <v>0</v>
      </c>
      <c r="X18" s="6" t="s">
        <v>268</v>
      </c>
    </row>
    <row r="19" spans="1:24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">
        <v>270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1</v>
      </c>
      <c r="L19" s="5"/>
      <c r="M19" s="5"/>
      <c r="N19" s="5">
        <v>0</v>
      </c>
      <c r="O19" s="5"/>
      <c r="P19" s="5"/>
      <c r="Q19" s="5">
        <v>886</v>
      </c>
      <c r="R19" s="5"/>
      <c r="S19" s="5"/>
      <c r="T19" s="5">
        <v>0</v>
      </c>
      <c r="U19" s="5"/>
      <c r="X19" s="6" t="s">
        <v>269</v>
      </c>
    </row>
    <row r="20" spans="1:24" x14ac:dyDescent="0.2">
      <c r="E20">
        <f>SUM(E5:E19)</f>
        <v>0</v>
      </c>
      <c r="H20">
        <f>SUM(H5:H19)</f>
        <v>0</v>
      </c>
      <c r="K20">
        <f>SUM(K5:K19)</f>
        <v>5</v>
      </c>
      <c r="N20">
        <f>SUM(N5:N19)</f>
        <v>13</v>
      </c>
      <c r="Q20">
        <f>SUM(Q5:Q19)</f>
        <v>12000</v>
      </c>
      <c r="T20">
        <f>SUM(T5:T19)</f>
        <v>0</v>
      </c>
    </row>
    <row r="21" spans="1:24" x14ac:dyDescent="0.2">
      <c r="A21" s="2" t="s">
        <v>8</v>
      </c>
      <c r="B21" s="1" t="s">
        <v>17</v>
      </c>
    </row>
    <row r="22" spans="1:24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243</v>
      </c>
      <c r="N22" t="s">
        <v>244</v>
      </c>
      <c r="Q22" t="s">
        <v>272</v>
      </c>
    </row>
    <row r="23" spans="1:24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4</v>
      </c>
      <c r="L23" s="5"/>
      <c r="M23" s="5"/>
      <c r="N23" s="5">
        <v>2</v>
      </c>
      <c r="O23" s="5"/>
      <c r="P23" s="5"/>
      <c r="Q23" s="5">
        <v>1434</v>
      </c>
      <c r="R23" s="5"/>
      <c r="S23" s="5"/>
      <c r="T23" s="5">
        <v>0</v>
      </c>
      <c r="U23" s="5"/>
    </row>
    <row r="24" spans="1:24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1</v>
      </c>
      <c r="N24" s="6">
        <v>2</v>
      </c>
      <c r="Q24" s="6">
        <v>1483</v>
      </c>
      <c r="T24" s="6">
        <v>0</v>
      </c>
    </row>
    <row r="25" spans="1:24" s="6" customFormat="1" x14ac:dyDescent="0.2">
      <c r="A25" s="5" t="str">
        <f>_xlfn.IFNA(VLOOKUP($B$21&amp;ROWS($A$23:A25),Rosters!$B$2:$C$162,2,0),"?")</f>
        <v>Dwayne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1</v>
      </c>
      <c r="L25" s="5"/>
      <c r="M25" s="5"/>
      <c r="N25" s="5">
        <v>2</v>
      </c>
      <c r="O25" s="5"/>
      <c r="P25" s="5"/>
      <c r="Q25" s="5">
        <v>1080</v>
      </c>
      <c r="R25" s="5"/>
      <c r="S25" s="5"/>
      <c r="T25" s="5">
        <v>0</v>
      </c>
      <c r="U25" s="5"/>
    </row>
    <row r="26" spans="1:24" s="6" customFormat="1" x14ac:dyDescent="0.2">
      <c r="A26" s="6" t="str">
        <f>_xlfn.IFNA(VLOOKUP($B$21&amp;ROWS($A$23:A26),Rosters!$B$2:$C$162,2,0),"?")</f>
        <v>Tre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849</v>
      </c>
      <c r="T26" s="6">
        <v>0</v>
      </c>
    </row>
    <row r="27" spans="1:24" s="6" customFormat="1" x14ac:dyDescent="0.2">
      <c r="A27" s="5" t="str">
        <f>_xlfn.IFNA(VLOOKUP($B$21&amp;ROWS($A$23:A27),Rosters!$B$2:$C$162,2,0),"?")</f>
        <v>Brekkott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3</v>
      </c>
      <c r="L27" s="5"/>
      <c r="M27" s="5"/>
      <c r="N27" s="5">
        <v>2</v>
      </c>
      <c r="O27" s="5"/>
      <c r="P27" s="5"/>
      <c r="Q27" s="5">
        <v>1746</v>
      </c>
      <c r="R27" s="5"/>
      <c r="S27" s="5"/>
      <c r="T27" s="5">
        <v>0</v>
      </c>
      <c r="U27" s="5"/>
    </row>
    <row r="28" spans="1:24" s="6" customFormat="1" x14ac:dyDescent="0.2">
      <c r="A28" s="6" t="str">
        <f>_xlfn.IFNA(VLOOKUP($B$21&amp;ROWS($A$23:A28),Rosters!$B$2:$C$162,2,0),"?")</f>
        <v>Ronnie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4" s="6" customFormat="1" x14ac:dyDescent="0.2">
      <c r="A29" s="5" t="str">
        <f>_xlfn.IFNA(VLOOKUP($B$21&amp;ROWS($A$23:A29),Rosters!$B$2:$C$162,2,0),"?")</f>
        <v>Isaiah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2</v>
      </c>
      <c r="L29" s="5"/>
      <c r="M29" s="5"/>
      <c r="N29" s="5">
        <v>2</v>
      </c>
      <c r="O29" s="5"/>
      <c r="P29" s="5"/>
      <c r="Q29" s="5">
        <v>1695</v>
      </c>
      <c r="R29" s="5"/>
      <c r="S29" s="5"/>
      <c r="T29" s="5">
        <v>0</v>
      </c>
      <c r="U29" s="5"/>
    </row>
    <row r="30" spans="1:24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4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4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0</v>
      </c>
      <c r="H32" s="6">
        <v>0</v>
      </c>
      <c r="K32" s="6">
        <v>3</v>
      </c>
      <c r="N32" s="6">
        <v>2</v>
      </c>
      <c r="Q32" s="6">
        <v>1273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3</v>
      </c>
      <c r="O34"/>
      <c r="P34"/>
      <c r="Q34" s="6">
        <v>1091</v>
      </c>
      <c r="R34"/>
      <c r="S34"/>
      <c r="T34" s="6">
        <v>0</v>
      </c>
      <c r="U34"/>
    </row>
    <row r="35" spans="1:21" s="6" customFormat="1" x14ac:dyDescent="0.2">
      <c r="A35" s="5" t="s">
        <v>58</v>
      </c>
      <c r="B35" s="5" t="s">
        <v>110</v>
      </c>
      <c r="C35" s="5">
        <v>0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2</v>
      </c>
      <c r="L35" s="5"/>
      <c r="M35" s="5"/>
      <c r="N35" s="5">
        <v>1</v>
      </c>
      <c r="O35" s="5"/>
      <c r="P35" s="5"/>
      <c r="Q35" s="5">
        <v>1349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>
        <v>0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16</v>
      </c>
      <c r="N38">
        <f>SUM(N23:N37)</f>
        <v>16</v>
      </c>
      <c r="Q38">
        <f>SUM(Q23:Q37)</f>
        <v>12000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267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250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266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251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252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249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253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254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255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258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259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260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248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261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262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263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263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263</v>
      </c>
      <c r="B143" t="str">
        <f>A143&amp;COUNTIF($A$2:$A143,A143)</f>
        <v>Guest3</v>
      </c>
      <c r="C143" t="s">
        <v>264</v>
      </c>
      <c r="D143" t="s">
        <v>239</v>
      </c>
      <c r="E143">
        <v>19</v>
      </c>
    </row>
    <row r="144" spans="1:5" x14ac:dyDescent="0.2">
      <c r="A144" t="s">
        <v>263</v>
      </c>
      <c r="B144" t="str">
        <f>A144&amp;COUNTIF($A$2:$A144,A144)</f>
        <v>Guest4</v>
      </c>
      <c r="C144" t="s">
        <v>241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2021-07-30T14:29:59Z</dcterms:modified>
</cp:coreProperties>
</file>