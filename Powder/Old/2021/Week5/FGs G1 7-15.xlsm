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l\Downloads\"/>
    </mc:Choice>
  </mc:AlternateContent>
  <xr:revisionPtr revIDLastSave="0" documentId="8_{62DC42E7-4973-419D-B390-6CD0EC863170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C32" i="1"/>
  <c r="H31" i="2" s="1"/>
  <c r="A5" i="1"/>
  <c r="A12" i="1"/>
  <c r="F10" i="2" s="1"/>
  <c r="B19" i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8" i="1"/>
  <c r="F16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37" i="1"/>
  <c r="G36" i="2" s="1"/>
  <c r="B29" i="1"/>
  <c r="G28" i="2" s="1"/>
  <c r="A16" i="1"/>
  <c r="F14" i="2" s="1"/>
  <c r="F6" i="2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G17" i="2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<sst xmlns="http://schemas.openxmlformats.org/spreadsheetml/2006/main" count="491" uniqueCount="279">
  <si>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</si>
  <si>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</si>
  <si>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</si>
  <si>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</si>
  <si>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</si>
  <si>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</si>
  <si>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</si>
  <si>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</si>
  <si>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</si>
  <si>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</si>
  <si>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</si>
  <si>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</si>
  <si>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</si>
  <si>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</si>
  <si>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</si>
  <si>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</si>
  <si>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</si>
  <si>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</si>
  <si>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</si>
  <si>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</si>
  <si>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</si>
  <si>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</si>
  <si>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</si>
  <si>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</si>
  <si>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</si>
  <si>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</si>
  <si>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</si>
  <si>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</si>
  <si>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</si>
  <si>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</si>
  <si>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</si>
  <si>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</si>
  <si>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</si>
  <si>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</si>
  <si>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</si>
  <si>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</si>
  <si>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</si>
  <si>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</si>
  <si>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</si>
  <si>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</si>
  <si>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</si>
  <si>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</si>
  <si>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</si>
  <si>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</si>
  <si>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</si>
  <si>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</si>
  <si>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</si>
  <si>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</si>
  <si>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</si>
  <si>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</si>
  <si>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</si>
  <si>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</si>
  <si>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</si>
  <si>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</si>
  <si>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</si>
  <si>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</si>
  <si>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</si>
  <si>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</si>
  <si>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</si>
  <si>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</si>
  <si>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</si>
  <si>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</si>
  <si>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</si>
  <si>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</si>
  <si>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</si>
  <si>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</si>
  <si>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</si>
  <si>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</si>
  <si>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</si>
  <si>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</si>
  <si>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</si>
  <si>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</si>
  <si>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</si>
  <si>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</si>
  <si>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</si>
  <si>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</si>
  <si>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</si>
  <si>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</si>
  <si>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</si>
  <si>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</si>
  <si>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</si>
  <si>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</si>
  <si>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</si>
  <si>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</si>
  <si>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</si>
  <si>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</si>
  <si>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</si>
  <si>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</si>
  <si>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</si>
  <si>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</si>
  <si>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</si>
  <si>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</si>
  <si>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</si>
  <si>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</si>
  <si>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</si>
  <si>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</si>
  <si>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</si>
  <si>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</si>
  <si>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</si>
  <si>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</si>
  <si>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</si>
  <si>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</si>
  <si>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</si>
  <si>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</si>
  <si>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</si>
  <si>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</si>
  <si>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</si>
  <si>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</si>
  <si>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</si>
  <si>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</si>
  <si>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</si>
  <si>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</si>
  <si>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</si>
  <si>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</si>
  <si>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</si>
  <si>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</si>
  <si>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</si>
  <si>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</si>
  <si>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</si>
  <si>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</si>
  <si>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</si>
  <si>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</si>
  <si>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</si>
  <si>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</si>
  <si>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</si>
  <si>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</si>
  <si>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</si>
  <si>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</si>
  <si>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</si>
  <si>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</si>
  <si>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</si>
  <si>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</si>
  <si>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</si>
  <si>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</si>
  <si>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</si>
  <si>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</si>
  <si>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</si>
  <si>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</si>
  <si>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</si>
  <si>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</si>
  <si>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</si>
  <si>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</si>
  <si>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</si>
  <si>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</si>
  <si>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</si>
  <si>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</si>
  <si>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</si>
  <si>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</si>
  <si>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</si>
  <si>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</si>
  <si>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</si>
  <si>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</si>
  <si>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</si>
  <si>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</si>
  <si>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</si>
  <si>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</si>
  <si>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</si>
  <si>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</si>
  <si>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</si>
  <si>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</si>
  <si>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</si>
  <si>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</si>
  <si>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</si>
  <si>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</si>
  <si>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</si>
  <si>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</si>
  <si>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</si>
  <si>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</si>
  <si>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</si>
  <si>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</si>
  <si>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</si>
  <si>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</si>
  <si>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</si>
  <si>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</si>
  <si>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</si>
  <si>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</si>
  <si>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</si>
  <si>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</si>
  <si>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</si>
  <si>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</si>
  <si>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</si>
  <si>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</si>
  <si>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</si>
  <si>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</si>
  <si>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</si>
  <si>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</si>
  <si>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</si>
  <si>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</si>
  <si>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</si>
  <si>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</si>
  <si>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</si>
  <si>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</si>
  <si>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</si>
  <si>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</si>
  <si>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</si>
  <si>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</si>
  <si>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</si>
  <si>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</si>
  <si>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</si>
  <si>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</si>
  <si>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</si>
  <si>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</si>
  <si>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</si>
  <si>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</si>
  <si>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</si>
  <si>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</si>
  <si>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</si>
  <si>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</si>
  <si>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</si>
  <si>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</si>
  <si>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</si>
  <si>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</si>
  <si>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</si>
  <si>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</si>
  <si>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</si>
  <si>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</si>
  <si>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</si>
  <si>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</si>
  <si>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</si>
  <si>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</si>
  <si>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</si>
  <si>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</si>
  <si>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</si>
  <si>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</si>
  <si>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</si>
  <si>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</si>
  <si>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</si>
  <si>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</si>
  <si>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</si>
  <si>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</si>
  <si>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</si>
  <si>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</si>
  <si>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</si>
  <si>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</si>
  <si>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</si>
  <si>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</si>
  <si>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</si>
  <si>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</si>
  <si>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</si>
  <si>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</si>
  <si>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</si>
  <si>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</si>
  <si>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</si>
  <si>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</si>
  <si>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</si>
  <si>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</si>
  <si>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</si>
  <si>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</si>
  <si>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</si>
  <si>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</si>
  <si>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</si>
  <si>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</si>
  <si>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</si>
  <si>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</si>
  <si>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</si>
  <si>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</si>
  <si>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</si>
  <si>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</si>
  <si>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</si>
  <si>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</si>
  <si>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</si>
  <si>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</si>
  <si>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</si>
  <si>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</si>
  <si>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</si>
  <si>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</si>
  <si>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</si>
  <si>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</si>
  <si>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</si>
  <si>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</si>
  <si>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</si>
  <si>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</si>
  <si>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</si>
  <si>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</si>
  <si>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</si>
  <si>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Cade</t>
  </si>
  <si>
    <t>Brazier</t>
  </si>
  <si>
    <t>Rey</t>
  </si>
  <si>
    <t>Gallegos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</si>
</sst>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M14" sqref="M14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Covington</v>
      </c>
    </row>
    <row r="2" spans="2:12" x14ac:dyDescent="0.25">
      <c r="B2" t="str">
        <f>G1</f>
        <v>Covington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136</v>
      </c>
      <c r="C3" s="3" t="s">
        <v>15</v>
      </c>
      <c r="D3" s="4">
        <f>I37</f>
        <v>119</v>
      </c>
      <c r="F3" t="str">
        <f>'Stats G2'!A5</f>
        <v>Marion</v>
      </c>
      <c r="G3" t="str">
        <f>'Stats G2'!B5</f>
        <v>Humphrey</v>
      </c>
      <c r="H3">
        <f>'Stats G2'!C5</f>
        <v>0</v>
      </c>
      <c r="I3">
        <f>'Stats G2'!H5*2+'Stats G2'!N5*3+'Stats G2'!T5</f>
        <v>0</v>
      </c>
      <c r="J3" t="str">
        <f>SUM('Stats G2'!N5+'Stats G2'!H5)&amp;"-"&amp;SUM('Stats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5">
      <c r="F4" t="str">
        <f>'Stats G2'!A6</f>
        <v>Festus</v>
      </c>
      <c r="G4" t="str">
        <f>'Stats G2'!B6</f>
        <v>Ndumanya</v>
      </c>
      <c r="H4" t="str">
        <f>'Stats G2'!C6</f>
        <v>00</v>
      </c>
      <c r="I4">
        <f>'Stats G2'!H6*2+'Stats G2'!N6*3+'Stats G2'!T6</f>
        <v>29</v>
      </c>
      <c r="J4" t="str">
        <f>SUM('Stats G2'!N6+'Stats G2'!H6)&amp;"-"&amp;SUM('Stats G2'!E6+'Stats G2'!K6)</f>
        <v>14-23</v>
      </c>
      <c r="K4" t="str">
        <f>SUM('Stats G2'!N6)&amp;"-"&amp;SUM('Stats G2'!K6)</f>
        <v>0-3</v>
      </c>
      <c r="L4" t="str">
        <f>SUM('Stats G2'!T6)&amp;"-"&amp;SUM('Stats G2'!Q6)</f>
        <v>1-1</v>
      </c>
    </row>
    <row r="5" spans="2:12" x14ac:dyDescent="0.25">
      <c r="F5" t="str">
        <f>'Stats G2'!A7</f>
        <v>Christian</v>
      </c>
      <c r="G5" t="str">
        <f>'Stats G2'!B7</f>
        <v>Haffner</v>
      </c>
      <c r="H5">
        <f>'Stats G2'!C7</f>
        <v>2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5">
      <c r="F6" t="str">
        <f>'Stats G2'!A8</f>
        <v>Cade</v>
      </c>
      <c r="G6" t="str">
        <f>'Stats G2'!B8</f>
        <v>Brazier</v>
      </c>
      <c r="H6">
        <f>'Stats G2'!C8</f>
        <v>3</v>
      </c>
      <c r="I6">
        <f>'Stats G2'!H8*2+'Stats G2'!N8*3+'Stats G2'!T8</f>
        <v>11</v>
      </c>
      <c r="J6" t="str">
        <f>SUM('Stats G2'!N8+'Stats G2'!H8)&amp;"-"&amp;SUM('Stats G2'!E8+'Stats G2'!K8)</f>
        <v>4-12</v>
      </c>
      <c r="K6" t="str">
        <f>SUM('Stats G2'!N8)&amp;"-"&amp;SUM('Stats G2'!K8)</f>
        <v>3-10</v>
      </c>
      <c r="L6" t="str">
        <f>SUM('Stats G2'!T8)&amp;"-"&amp;SUM('Stats G2'!Q8)</f>
        <v>0-0</v>
      </c>
    </row>
    <row r="7" spans="2:12" x14ac:dyDescent="0.25">
      <c r="F7" t="str">
        <f>'Stats G2'!A9</f>
        <v>Max</v>
      </c>
      <c r="G7" t="str">
        <f>'Stats G2'!B9</f>
        <v>Watson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5">
      <c r="F8" t="s">
        <v>277</v>
      </c>
      <c r="G8" t="s">
        <v>278</v>
      </c>
      <c r="H8">
        <f>'Stats G2'!C10</f>
        <v>5</v>
      </c>
      <c r="I8">
        <f>'Stats G2'!H10*2+'Stats G2'!N10*3+'Stats G2'!T10</f>
        <v>29</v>
      </c>
      <c r="J8" t="str">
        <f>SUM('Stats G2'!N10+'Stats G2'!H10)&amp;"-"&amp;SUM('Stats G2'!E10+'Stats G2'!K10)</f>
        <v>13-24</v>
      </c>
      <c r="K8" t="str">
        <f>SUM('Stats G2'!N10)&amp;"-"&amp;SUM('Stats G2'!K10)</f>
        <v>3-7</v>
      </c>
      <c r="L8" t="str">
        <f>SUM('Stats G2'!T10)&amp;"-"&amp;SUM('Stats G2'!Q10)</f>
        <v>0-0</v>
      </c>
    </row>
    <row r="9" spans="2:12" x14ac:dyDescent="0.25">
      <c r="F9" t="str">
        <f>'Stats G2'!A11</f>
        <v>Nick</v>
      </c>
      <c r="G9" t="str">
        <f>'Stats G2'!B11</f>
        <v>Covington</v>
      </c>
      <c r="H9">
        <f>'Stats G2'!C11</f>
        <v>7</v>
      </c>
      <c r="I9">
        <f>'Stats G2'!H11*2+'Stats G2'!N11*3+'Stats G2'!T11</f>
        <v>25</v>
      </c>
      <c r="J9" t="str">
        <f>SUM('Stats G2'!N11+'Stats G2'!H11)&amp;"-"&amp;SUM('Stats G2'!E11+'Stats G2'!K11)</f>
        <v>7-19</v>
      </c>
      <c r="K9" t="str">
        <f>SUM('Stats G2'!N11)&amp;"-"&amp;SUM('Stats G2'!K11)</f>
        <v>3-11</v>
      </c>
      <c r="L9" t="str">
        <f>SUM('Stats G2'!T11)&amp;"-"&amp;SUM('Stats G2'!Q11)</f>
        <v>8-8</v>
      </c>
    </row>
    <row r="10" spans="2:12" x14ac:dyDescent="0.25">
      <c r="F10" t="str">
        <f>'Stats G2'!A12</f>
        <v>Chase</v>
      </c>
      <c r="G10" t="str">
        <f>'Stats G2'!B12</f>
        <v>Adam</v>
      </c>
      <c r="H10">
        <f>'Stats G2'!C12</f>
        <v>10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5">
      <c r="F11" t="str">
        <f>'Stats G2'!A13</f>
        <v>Tanner</v>
      </c>
      <c r="G11" t="str">
        <f>'Stats G2'!B13</f>
        <v>Cuff</v>
      </c>
      <c r="H11">
        <f>'Stats G2'!C13</f>
        <v>11</v>
      </c>
      <c r="I11">
        <f>'Stats G2'!H13*2+'Stats G2'!N13*3+'Stats G2'!T13</f>
        <v>32</v>
      </c>
      <c r="J11" t="str">
        <f>SUM('Stats G2'!N13+'Stats G2'!H13)&amp;"-"&amp;SUM('Stats G2'!E13+'Stats G2'!K13)</f>
        <v>15-21</v>
      </c>
      <c r="K11" t="str">
        <f>SUM('Stats G2'!N13)&amp;"-"&amp;SUM('Stats G2'!K13)</f>
        <v>2-3</v>
      </c>
      <c r="L11" t="str">
        <f>SUM('Stats G2'!T13)&amp;"-"&amp;SUM('Stats G2'!Q13)</f>
        <v>0-2</v>
      </c>
    </row>
    <row r="12" spans="2:12" x14ac:dyDescent="0.25">
      <c r="F12" t="str">
        <f>'Stats G2'!A14</f>
        <v>Jackson</v>
      </c>
      <c r="G12" t="str">
        <f>'Stats G2'!B14</f>
        <v>Last</v>
      </c>
      <c r="H12">
        <f>'Stats G2'!C14</f>
        <v>13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5">
      <c r="F13" t="str">
        <f>'Stats G2'!A15</f>
        <v xml:space="preserve">Jaxon </v>
      </c>
      <c r="G13" t="str">
        <f>'Stats G2'!B15</f>
        <v>Pollard</v>
      </c>
      <c r="H13">
        <f>'Stats G2'!C15</f>
        <v>15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5">
      <c r="F14" t="str">
        <f>'Stats G2'!A16</f>
        <v>Tyson</v>
      </c>
      <c r="G14" t="str">
        <f>'Stats G2'!B16</f>
        <v>Garff</v>
      </c>
      <c r="H14">
        <f>'Stats G2'!C16</f>
        <v>22</v>
      </c>
      <c r="I14">
        <f>'Stats G2'!H16*2+'Stats G2'!N16*3+'Stats G2'!T16</f>
        <v>10</v>
      </c>
      <c r="J14" t="str">
        <f>SUM('Stats G2'!N16+'Stats G2'!H16)&amp;"-"&amp;SUM('Stats G2'!E16+'Stats G2'!K16)</f>
        <v>2-12</v>
      </c>
      <c r="K14" t="str">
        <f>SUM('Stats G2'!N16)&amp;"-"&amp;SUM('Stats G2'!K16)</f>
        <v>1-9</v>
      </c>
      <c r="L14" t="str">
        <f>SUM('Stats G2'!T16)&amp;"-"&amp;SUM('Stats G2'!Q16)</f>
        <v>5-5</v>
      </c>
    </row>
    <row r="15" spans="2:12" x14ac:dyDescent="0.25">
      <c r="F15" t="str">
        <f>'Stats G2'!A17</f>
        <v>Jordan</v>
      </c>
      <c r="G15" t="str">
        <f>'Stats G2'!B17</f>
        <v>Brinson</v>
      </c>
      <c r="H15">
        <f>'Stats G2'!C17</f>
        <v>23</v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5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136</v>
      </c>
      <c r="J18" t="str">
        <f>SUM('Stats G2'!N20+'Stats G2'!H20)&amp;"-"&amp;SUM('Stats G2'!E20+'Stats G2'!K20)</f>
        <v>55-111</v>
      </c>
      <c r="K18" t="str">
        <f>SUM('Stats G2'!N20)&amp;"-"&amp;SUM('Stats G2'!K20)</f>
        <v>12-43</v>
      </c>
      <c r="L18" t="str">
        <f>SUM('Stats G2'!T20)&amp;"-"&amp;SUM('Stats G2'!Q20)</f>
        <v>14-16</v>
      </c>
    </row>
    <row r="20" spans="6:12" x14ac:dyDescent="0.25">
      <c r="F20" t="s">
        <v>13</v>
      </c>
      <c r="G20" t="str">
        <f>'Stats G2'!B21</f>
        <v>Arok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5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G2'!H24*2+'Stats G2'!N24*3+'Stats G2'!T24</f>
        <v>31</v>
      </c>
      <c r="J23" t="str">
        <f>SUM('Stats G2'!N24+'Stats G2'!H24)&amp;"-"&amp;SUM('Stats G2'!E24+'Stats G2'!K24)</f>
        <v>9-21</v>
      </c>
      <c r="K23" t="str">
        <f>SUM('Stats G2'!N24)&amp;"-"&amp;SUM('Stats G2'!K24)</f>
        <v>7-12</v>
      </c>
      <c r="L23" t="str">
        <f>SUM('Stats G2'!T24)&amp;"-"&amp;SUM('Stats G2'!Q24)</f>
        <v>6-8</v>
      </c>
    </row>
    <row r="24" spans="6:12" x14ac:dyDescent="0.25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G2'!H25*2+'Stats G2'!N25*3+'Stats G2'!T25</f>
        <v>13</v>
      </c>
      <c r="J24" t="str">
        <f>SUM('Stats G2'!N25+'Stats G2'!H25)&amp;"-"&amp;SUM('Stats G2'!E25+'Stats G2'!K25)</f>
        <v>4-13</v>
      </c>
      <c r="K24" t="str">
        <f>SUM('Stats G2'!N25)&amp;"-"&amp;SUM('Stats G2'!K25)</f>
        <v>4-8</v>
      </c>
      <c r="L24" t="str">
        <f>SUM('Stats G2'!T25)&amp;"-"&amp;SUM('Stats G2'!Q25)</f>
        <v>1-2</v>
      </c>
    </row>
    <row r="25" spans="6:12" x14ac:dyDescent="0.25">
      <c r="F25" t="str">
        <f>'Stats G2'!A26</f>
        <v xml:space="preserve">Deng </v>
      </c>
      <c r="G25" t="str">
        <f>'Stats G2'!B26</f>
        <v>Mayar</v>
      </c>
      <c r="H25">
        <f>'Stats G2'!C26</f>
        <v>5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5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G2'!H27*2+'Stats G2'!N27*3+'Stats G2'!T27</f>
        <v>28</v>
      </c>
      <c r="J26" t="str">
        <f>SUM('Stats G2'!N27+'Stats G2'!H27)&amp;"-"&amp;SUM('Stats G2'!E27+'Stats G2'!K27)</f>
        <v>10-19</v>
      </c>
      <c r="K26" t="str">
        <f>SUM('Stats G2'!N27)&amp;"-"&amp;SUM('Stats G2'!K27)</f>
        <v>8-14</v>
      </c>
      <c r="L26" t="str">
        <f>SUM('Stats G2'!T27)&amp;"-"&amp;SUM('Stats G2'!Q27)</f>
        <v>0-0</v>
      </c>
    </row>
    <row r="27" spans="6:12" x14ac:dyDescent="0.25">
      <c r="F27" t="str">
        <f>'Stats G2'!A28</f>
        <v>Zues</v>
      </c>
      <c r="G27" t="str">
        <f>'Stats G2'!B28</f>
        <v>Martinez</v>
      </c>
      <c r="H27">
        <f>'Stats G2'!C28</f>
        <v>7</v>
      </c>
      <c r="I27">
        <f>'Stats G2'!H28*2+'Stats G2'!N28*3+'Stats G2'!T28</f>
        <v>13</v>
      </c>
      <c r="J27" t="str">
        <f>SUM('Stats G2'!N28+'Stats G2'!H28)&amp;"-"&amp;SUM('Stats G2'!E28+'Stats G2'!K28)</f>
        <v>6-9</v>
      </c>
      <c r="K27" t="str">
        <f>SUM('Stats G2'!N28)&amp;"-"&amp;SUM('Stats G2'!K28)</f>
        <v>1-1</v>
      </c>
      <c r="L27" t="str">
        <f>SUM('Stats G2'!T28)&amp;"-"&amp;SUM('Stats G2'!Q28)</f>
        <v>0-0</v>
      </c>
    </row>
    <row r="28" spans="6:12" x14ac:dyDescent="0.25">
      <c r="F28" t="str">
        <f>'Stats G2'!A29</f>
        <v>Dom</v>
      </c>
      <c r="G28" t="str">
        <f>'Stats G2'!B29</f>
        <v>Philip</v>
      </c>
      <c r="H28">
        <f>'Stats G2'!C29</f>
        <v>8</v>
      </c>
      <c r="I28">
        <f>'Stats G2'!H29*2+'Stats G2'!N29*3+'Stats G2'!T29</f>
        <v>0</v>
      </c>
      <c r="J28" t="str">
        <f>SUM('Stats G2'!N29+'Stats G2'!H29)&amp;"-"&amp;SUM('Stats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5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G2'!H30*2+'Stats G2'!N30*3+'Stats G2'!T30</f>
        <v>31</v>
      </c>
      <c r="J29" t="str">
        <f>SUM('Stats G2'!N30+'Stats G2'!H30)&amp;"-"&amp;SUM('Stats G2'!E30+'Stats G2'!K30)</f>
        <v>12-32</v>
      </c>
      <c r="K29" t="str">
        <f>SUM('Stats G2'!N30)&amp;"-"&amp;SUM('Stats G2'!K30)</f>
        <v>1-8</v>
      </c>
      <c r="L29" t="str">
        <f>SUM('Stats G2'!T30)&amp;"-"&amp;SUM('Stats G2'!Q30)</f>
        <v>6-6</v>
      </c>
    </row>
    <row r="30" spans="6:12" x14ac:dyDescent="0.25">
      <c r="F30" t="str">
        <f>'Stats G2'!A31</f>
        <v>Trigga</v>
      </c>
      <c r="G30" t="str">
        <f>'Stats G2'!B31</f>
        <v>Trei</v>
      </c>
      <c r="H30">
        <f>'Stats G2'!C31</f>
        <v>17</v>
      </c>
      <c r="I30">
        <f>'Stats G2'!H31*2+'Stats G2'!N31*3+'Stats G2'!T31</f>
        <v>3</v>
      </c>
      <c r="J30" t="str">
        <f>SUM('Stats G2'!N31+'Stats G2'!H31)&amp;"-"&amp;SUM('Stats G2'!E31+'Stats G2'!K31)</f>
        <v>1-1</v>
      </c>
      <c r="K30" t="str">
        <f>SUM('Stats G2'!N31)&amp;"-"&amp;SUM('Stats G2'!K31)</f>
        <v>0-0</v>
      </c>
      <c r="L30" t="str">
        <f>SUM('Stats G2'!T31)&amp;"-"&amp;SUM('Stats G2'!Q31)</f>
        <v>1-2</v>
      </c>
    </row>
    <row r="31" spans="6:12" x14ac:dyDescent="0.25">
      <c r="F31" t="str">
        <f>'Stats G2'!A32</f>
        <v>Lual</v>
      </c>
      <c r="G31" t="str">
        <f>'Stats G2'!B32</f>
        <v>Arok</v>
      </c>
      <c r="H31">
        <f>'Stats G2'!C32</f>
        <v>20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5">
      <c r="F32" t="str">
        <f>'Stats G2'!A33</f>
        <v>Steven</v>
      </c>
      <c r="G32" t="str">
        <f>'Stats G2'!B33</f>
        <v>Adeyemi</v>
      </c>
      <c r="H32">
        <f>'Stats G2'!C33</f>
        <v>24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119</v>
      </c>
      <c r="J37" t="str">
        <f>SUM('Stats G2'!N38+'Stats G2'!H38)&amp;"-"&amp;SUM('Stats G2'!E38+'Stats G2'!K38)</f>
        <v>42-95</v>
      </c>
      <c r="K37" t="str">
        <f>SUM('Stats G2'!N38)&amp;"-"&amp;SUM('Stats G2'!K38)</f>
        <v>21-43</v>
      </c>
      <c r="L37" t="str">
        <f>SUM('Stats G2'!T38)&amp;"-"&amp;SUM('Stats G2'!Q38)</f>
        <v>14-18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9" workbookViewId="0">
      <selection activeCell="B10" sqref="B10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23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20</v>
      </c>
      <c r="H6" s="6">
        <v>14</v>
      </c>
      <c r="K6" s="6">
        <v>3</v>
      </c>
      <c r="N6" s="6">
        <v>0</v>
      </c>
      <c r="Q6" s="6">
        <v>1</v>
      </c>
      <c r="T6" s="6">
        <v>1</v>
      </c>
    </row>
    <row r="7" spans="1:21" s="6" customFormat="1" x14ac:dyDescent="0.25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">
        <v>275</v>
      </c>
      <c r="B8" s="6" t="s">
        <v>276</v>
      </c>
      <c r="C8" s="6">
        <f>_xlfn.IFNA(VLOOKUP($B$3&amp;ROWS($C$5:C8),Rosters!$B$2:$E$162,4,0),"")</f>
        <v>3</v>
      </c>
      <c r="E8" s="6">
        <v>2</v>
      </c>
      <c r="H8" s="6">
        <v>1</v>
      </c>
      <c r="K8" s="6">
        <v>10</v>
      </c>
      <c r="N8" s="6">
        <v>3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">
        <v>277</v>
      </c>
      <c r="B10" s="6" t="s">
        <v>278</v>
      </c>
      <c r="C10" s="6">
        <f>_xlfn.IFNA(VLOOKUP($B$3&amp;ROWS($C$5:C10),Rosters!$B$2:$E$162,4,0),"")</f>
        <v>5</v>
      </c>
      <c r="E10" s="6">
        <v>17</v>
      </c>
      <c r="H10" s="6">
        <v>10</v>
      </c>
      <c r="K10" s="6">
        <v>7</v>
      </c>
      <c r="N10" s="6">
        <v>3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8</v>
      </c>
      <c r="F11" s="5"/>
      <c r="G11" s="5"/>
      <c r="H11" s="5">
        <v>4</v>
      </c>
      <c r="I11" s="5"/>
      <c r="J11" s="5"/>
      <c r="K11" s="5">
        <v>11</v>
      </c>
      <c r="L11" s="5"/>
      <c r="M11" s="5"/>
      <c r="N11" s="5">
        <v>3</v>
      </c>
      <c r="O11" s="5"/>
      <c r="P11" s="5"/>
      <c r="Q11" s="5">
        <v>8</v>
      </c>
      <c r="R11" s="5"/>
      <c r="S11" s="5"/>
      <c r="T11" s="5">
        <v>8</v>
      </c>
      <c r="U11" s="5"/>
    </row>
    <row r="12" spans="1:21" s="6" customFormat="1" x14ac:dyDescent="0.25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18</v>
      </c>
      <c r="F13" s="5"/>
      <c r="G13" s="5"/>
      <c r="H13" s="5">
        <v>13</v>
      </c>
      <c r="I13" s="5"/>
      <c r="J13" s="5"/>
      <c r="K13" s="5">
        <v>3</v>
      </c>
      <c r="L13" s="5"/>
      <c r="M13" s="5"/>
      <c r="N13" s="5">
        <v>2</v>
      </c>
      <c r="O13" s="5"/>
      <c r="P13" s="5"/>
      <c r="Q13" s="5">
        <v>2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3</v>
      </c>
      <c r="H16" s="6">
        <v>1</v>
      </c>
      <c r="K16" s="6">
        <v>9</v>
      </c>
      <c r="N16" s="6">
        <v>1</v>
      </c>
      <c r="Q16" s="6">
        <v>5</v>
      </c>
      <c r="T16" s="6">
        <v>5</v>
      </c>
    </row>
    <row r="17" spans="1:21" s="6" customFormat="1" x14ac:dyDescent="0.25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68</v>
      </c>
      <c r="H20">
        <f>SUM(H5:H19)</f>
        <v>43</v>
      </c>
      <c r="K20">
        <f>SUM(K5:K19)</f>
        <v>43</v>
      </c>
      <c r="N20">
        <f>SUM(N5:N19)</f>
        <v>12</v>
      </c>
      <c r="Q20">
        <f>SUM(Q5:Q19)</f>
        <v>16</v>
      </c>
      <c r="T20">
        <f>SUM(T5:T19)</f>
        <v>14</v>
      </c>
    </row>
    <row r="21" spans="1:21" x14ac:dyDescent="0.25">
      <c r="A21" s="2" t="s">
        <v>17</v>
      </c>
      <c r="B21" s="1" t="s">
        <v>21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9</v>
      </c>
      <c r="H24" s="6">
        <v>2</v>
      </c>
      <c r="K24" s="6">
        <v>12</v>
      </c>
      <c r="N24" s="6">
        <v>7</v>
      </c>
      <c r="Q24" s="6">
        <v>8</v>
      </c>
      <c r="T24" s="6">
        <v>6</v>
      </c>
    </row>
    <row r="25" spans="1:21" s="6" customFormat="1" x14ac:dyDescent="0.25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5</v>
      </c>
      <c r="F25" s="5"/>
      <c r="G25" s="5"/>
      <c r="H25" s="5">
        <v>0</v>
      </c>
      <c r="I25" s="5"/>
      <c r="J25" s="5"/>
      <c r="K25" s="5">
        <v>8</v>
      </c>
      <c r="L25" s="5"/>
      <c r="M25" s="5"/>
      <c r="N25" s="5">
        <v>4</v>
      </c>
      <c r="O25" s="5"/>
      <c r="P25" s="5"/>
      <c r="Q25" s="5">
        <v>2</v>
      </c>
      <c r="R25" s="5"/>
      <c r="S25" s="5"/>
      <c r="T25" s="5">
        <v>1</v>
      </c>
      <c r="U25" s="5"/>
    </row>
    <row r="26" spans="1:21" s="6" customFormat="1" x14ac:dyDescent="0.25">
      <c r="A26" s="6" t="str">
        <f>_xlfn.IFNA(VLOOKUP($B$21&amp;ROWS($A$23:A26),Rosters!$B$2:$C$162,2,0),"?")</f>
        <v xml:space="preserve">Deng 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5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5</v>
      </c>
      <c r="F27" s="5"/>
      <c r="G27" s="5"/>
      <c r="H27" s="5">
        <v>2</v>
      </c>
      <c r="I27" s="5"/>
      <c r="J27" s="5"/>
      <c r="K27" s="5">
        <v>14</v>
      </c>
      <c r="L27" s="5"/>
      <c r="M27" s="5"/>
      <c r="N27" s="5">
        <v>8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8</v>
      </c>
      <c r="H28" s="6">
        <v>5</v>
      </c>
      <c r="K28" s="6">
        <v>1</v>
      </c>
      <c r="N28" s="6">
        <v>1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24</v>
      </c>
      <c r="H30" s="6">
        <v>11</v>
      </c>
      <c r="K30" s="6">
        <v>8</v>
      </c>
      <c r="N30" s="6">
        <v>1</v>
      </c>
      <c r="Q30" s="6">
        <v>6</v>
      </c>
      <c r="T30" s="6">
        <v>6</v>
      </c>
    </row>
    <row r="31" spans="1:21" s="6" customFormat="1" x14ac:dyDescent="0.25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1</v>
      </c>
      <c r="U31" s="5"/>
    </row>
    <row r="32" spans="1:21" s="6" customFormat="1" x14ac:dyDescent="0.25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52</v>
      </c>
      <c r="H38">
        <f>SUM(H23:H37)</f>
        <v>21</v>
      </c>
      <c r="K38">
        <f>SUM(K23:K37)</f>
        <v>43</v>
      </c>
      <c r="N38">
        <f>SUM(N23:N37)</f>
        <v>21</v>
      </c>
      <c r="Q38">
        <f>SUM(Q23:Q37)</f>
        <v>18</v>
      </c>
      <c r="T38">
        <f>SUM(T23:T37)</f>
        <v>14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2021-07-16T02:25:45Z</dcterms:modified>
</cp:coreProperties>
</file>