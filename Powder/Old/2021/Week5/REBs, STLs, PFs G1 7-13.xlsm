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4T162111Z-001/"/>
    </mc:Choice>
  </mc:AlternateContent>
  <xr:revisionPtr revIDLastSave="0" documentId="13_ncr:1_{AC89C27B-7FBB-524A-AF95-43FE40B4EACF}" xr6:coauthVersionLast="47" xr6:coauthVersionMax="47" xr10:uidLastSave="{00000000-0000-0000-0000-000000000000}"/>
  <bookViews>
    <workbookView xWindow="13560" yWindow="500" windowWidth="15240" windowHeight="1538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N36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22" i="2"/>
  <c r="N18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L28" i="2"/>
  <c r="M28" i="2"/>
  <c r="I29" i="2"/>
  <c r="J29" i="2"/>
  <c r="K29" i="2" s="1"/>
  <c r="L29" i="2"/>
  <c r="M29" i="2"/>
  <c r="I30" i="2"/>
  <c r="K30" i="2" s="1"/>
  <c r="J30" i="2"/>
  <c r="L30" i="2"/>
  <c r="M30" i="2"/>
  <c r="I31" i="2"/>
  <c r="J31" i="2"/>
  <c r="L31" i="2"/>
  <c r="L37" i="2" s="1"/>
  <c r="M31" i="2"/>
  <c r="I32" i="2"/>
  <c r="J32" i="2"/>
  <c r="L32" i="2"/>
  <c r="M32" i="2"/>
  <c r="I33" i="2"/>
  <c r="J33" i="2"/>
  <c r="K33" i="2"/>
  <c r="L33" i="2"/>
  <c r="M33" i="2"/>
  <c r="I34" i="2"/>
  <c r="J34" i="2"/>
  <c r="L34" i="2"/>
  <c r="M34" i="2"/>
  <c r="I35" i="2"/>
  <c r="J35" i="2"/>
  <c r="K35" i="2" s="1"/>
  <c r="L35" i="2"/>
  <c r="M35" i="2"/>
  <c r="I36" i="2"/>
  <c r="K36" i="2" s="1"/>
  <c r="J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12" i="2"/>
  <c r="K13" i="2"/>
  <c r="K14" i="2"/>
  <c r="K15" i="2"/>
  <c r="K16" i="2"/>
  <c r="K17" i="2"/>
  <c r="I4" i="2"/>
  <c r="J4" i="2"/>
  <c r="L4" i="2"/>
  <c r="I5" i="2"/>
  <c r="J5" i="2"/>
  <c r="K5" i="2" s="1"/>
  <c r="L5" i="2"/>
  <c r="I6" i="2"/>
  <c r="J6" i="2"/>
  <c r="L6" i="2"/>
  <c r="I7" i="2"/>
  <c r="J7" i="2"/>
  <c r="K7" i="2" s="1"/>
  <c r="L7" i="2"/>
  <c r="I8" i="2"/>
  <c r="J8" i="2"/>
  <c r="K8" i="2" s="1"/>
  <c r="L8" i="2"/>
  <c r="I9" i="2"/>
  <c r="J9" i="2"/>
  <c r="L9" i="2"/>
  <c r="I10" i="2"/>
  <c r="J10" i="2"/>
  <c r="K10" i="2" s="1"/>
  <c r="L10" i="2"/>
  <c r="I11" i="2"/>
  <c r="J11" i="2"/>
  <c r="K11" i="2" s="1"/>
  <c r="L11" i="2"/>
  <c r="I12" i="2"/>
  <c r="J12" i="2"/>
  <c r="L12" i="2"/>
  <c r="I13" i="2"/>
  <c r="J13" i="2"/>
  <c r="L13" i="2"/>
  <c r="I14" i="2"/>
  <c r="J14" i="2"/>
  <c r="L14" i="2"/>
  <c r="I15" i="2"/>
  <c r="J15" i="2"/>
  <c r="L15" i="2"/>
  <c r="I16" i="2"/>
  <c r="J16" i="2"/>
  <c r="L16" i="2"/>
  <c r="I17" i="2"/>
  <c r="J17" i="2"/>
  <c r="L17" i="2"/>
  <c r="L3" i="2"/>
  <c r="C32" i="1"/>
  <c r="H31" i="2" s="1"/>
  <c r="J3" i="2"/>
  <c r="I3" i="2"/>
  <c r="K3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2" i="2" l="1"/>
  <c r="K26" i="2"/>
  <c r="K31" i="2"/>
  <c r="K34" i="2"/>
  <c r="K28" i="2"/>
  <c r="K32" i="2"/>
  <c r="K37" i="2" s="1"/>
  <c r="I37" i="2"/>
  <c r="D3" i="2" s="1"/>
  <c r="K9" i="2"/>
  <c r="K18" i="2" s="1"/>
  <c r="M37" i="2"/>
  <c r="M18" i="2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H36" i="2"/>
  <c r="A19" i="1"/>
  <c r="F17" i="2" s="1"/>
  <c r="B10" i="1"/>
  <c r="G8" i="2" s="1"/>
  <c r="G36" i="2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J37" i="2"/>
  <c r="L18" i="2"/>
</calcChain>
</file>

<file path=xl/sharedStrings.xml><?xml version="1.0" encoding="utf-8"?>
<sst xmlns="http://schemas.openxmlformats.org/spreadsheetml/2006/main" count="498" uniqueCount="282">
  <si>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</si>
  <si>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</si>
  <si>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</si>
  <si>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</si>
  <si>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</si>
  <si>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</si>
  <si>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</si>
  <si>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</si>
  <si>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</si>
  <si>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</si>
  <si>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</si>
  <si>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</si>
  <si>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</si>
  <si>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</si>
  <si>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</si>
  <si>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</si>
  <si>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</si>
  <si>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</si>
  <si>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</si>
  <si>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</si>
  <si>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</si>
  <si>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</si>
  <si>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</si>
  <si>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</si>
  <si>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</si>
  <si>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</si>
  <si>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</si>
  <si>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</si>
  <si>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</si>
  <si>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</si>
  <si>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</si>
  <si>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</si>
  <si>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</si>
  <si>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</si>
  <si>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</si>
  <si>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</si>
  <si>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</si>
  <si>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</si>
  <si>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</si>
  <si>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</si>
  <si>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</si>
  <si>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</si>
  <si>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</si>
  <si>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</si>
  <si>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</si>
  <si>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</si>
  <si>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</si>
  <si>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</si>
  <si>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</si>
  <si>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</si>
  <si>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</si>
  <si>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</si>
  <si>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</si>
  <si>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</si>
  <si>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</si>
  <si>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</si>
  <si>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</si>
  <si>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</si>
  <si>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</si>
  <si>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</si>
  <si>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</si>
  <si>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</si>
  <si>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</si>
  <si>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</si>
  <si>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</si>
  <si>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</si>
  <si>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</si>
  <si>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</si>
  <si>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</si>
  <si>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</si>
  <si>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</si>
  <si>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</si>
  <si>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</si>
  <si>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</si>
  <si>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</si>
  <si>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</si>
  <si>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</si>
  <si>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</si>
  <si>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</si>
  <si>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</si>
  <si>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</si>
  <si>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</si>
  <si>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</si>
  <si>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</si>
  <si>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</si>
  <si>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</si>
  <si>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</si>
  <si>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</si>
  <si>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</si>
  <si>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</si>
  <si>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</si>
  <si>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</si>
  <si>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</si>
  <si>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</si>
  <si>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</si>
  <si>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</si>
  <si>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</si>
  <si>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</si>
  <si>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</si>
  <si>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</si>
  <si>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</si>
  <si>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</si>
  <si>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</si>
  <si>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</si>
  <si>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</si>
  <si>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</si>
  <si>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</si>
  <si>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</si>
  <si>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</si>
  <si>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</si>
  <si>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</si>
  <si>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</si>
  <si>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</si>
  <si>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</si>
  <si>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</si>
  <si>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</si>
  <si>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</si>
  <si>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</si>
  <si>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</si>
  <si>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</si>
  <si>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</si>
  <si>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</si>
  <si>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</si>
  <si>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</si>
  <si>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</si>
  <si>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</si>
  <si>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</si>
  <si>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</si>
  <si>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</si>
  <si>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</si>
  <si>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</si>
  <si>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</si>
  <si>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</si>
  <si>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</si>
  <si>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</si>
  <si>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</si>
  <si>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</si>
  <si>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</si>
  <si>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</si>
  <si>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</si>
  <si>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</si>
  <si>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</si>
  <si>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</si>
  <si>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</si>
  <si>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</si>
  <si>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</si>
  <si>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</si>
  <si>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</si>
  <si>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</si>
  <si>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</si>
  <si>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</si>
  <si>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</si>
  <si>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</si>
  <si>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</si>
  <si>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</si>
  <si>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</si>
  <si>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</si>
  <si>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</si>
  <si>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</si>
  <si>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</si>
  <si>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</si>
  <si>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</si>
  <si>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</si>
  <si>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</si>
  <si>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</si>
  <si>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</si>
  <si>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</si>
  <si>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</si>
  <si>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</si>
  <si>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</si>
  <si>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</si>
  <si>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</si>
  <si>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</si>
  <si>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</si>
  <si>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</si>
  <si>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</si>
  <si>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</si>
  <si>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</si>
  <si>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</si>
  <si>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</si>
  <si>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</si>
  <si>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</si>
  <si>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</si>
  <si>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</si>
  <si>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</si>
  <si>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</si>
  <si>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</si>
  <si>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</si>
  <si>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</si>
  <si>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</si>
  <si>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</si>
  <si>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</si>
  <si>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</si>
  <si>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</si>
  <si>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</si>
  <si>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</si>
  <si>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</si>
  <si>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</si>
  <si>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</si>
  <si>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</si>
  <si>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</si>
  <si>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</si>
  <si>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</si>
  <si>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</si>
  <si>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</si>
  <si>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</si>
  <si>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</si>
  <si>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</si>
  <si>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</si>
  <si>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</si>
  <si>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</si>
  <si>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</si>
  <si>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</si>
  <si>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</si>
  <si>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</si>
  <si>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</si>
  <si>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</si>
  <si>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</si>
  <si>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</si>
  <si>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</si>
  <si>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</si>
  <si>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</si>
  <si>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</si>
  <si>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</si>
  <si>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</si>
  <si>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</si>
  <si>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</si>
  <si>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</si>
  <si>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</si>
  <si>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</si>
  <si>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</si>
  <si>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</si>
  <si>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</si>
  <si>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</si>
  <si>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</si>
  <si>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</si>
  <si>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</si>
  <si>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</si>
  <si>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</si>
  <si>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</si>
  <si>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</si>
  <si>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</si>
  <si>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</si>
  <si>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</si>
  <si>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</si>
  <si>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</si>
  <si>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</si>
  <si>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</si>
  <si>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</si>
  <si>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</si>
  <si>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</si>
  <si>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</si>
  <si>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</si>
  <si>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</si>
  <si>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</si>
  <si>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</si>
  <si>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</si>
  <si>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</si>
  <si>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</si>
  <si>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</si>
  <si>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</si>
  <si>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</si>
  <si>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</si>
  <si>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</si>
  <si>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</si>
  <si>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</si>
  <si>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</si>
  <si>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</si>
  <si>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</si>
  <si>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</si>
  <si>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Q1</t>
  </si>
  <si>
    <t>gray</t>
  </si>
  <si>
    <t>black</t>
  </si>
  <si>
    <t>Q2</t>
  </si>
  <si>
    <t>Q3</t>
  </si>
  <si>
    <t>Q4</t>
  </si>
  <si>
    <t>Kolton</t>
  </si>
  <si>
    <t xml:space="preserve">Justin </t>
  </si>
  <si>
    <t>Harmon</t>
  </si>
  <si>
    <t>Battle</t>
  </si>
  <si>
    <t>sec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</si>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</sst>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tabSelected="1" topLeftCell="D1" workbookViewId="0">
      <selection activeCell="F21" sqref="F2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7</v>
      </c>
      <c r="F1" t="s">
        <v>3</v>
      </c>
      <c r="G1" t="str">
        <f>'Stats G1'!B3</f>
        <v>Egan</v>
      </c>
    </row>
    <row r="2" spans="2:14" x14ac:dyDescent="0.2">
      <c r="B2" t="str">
        <f>G1</f>
        <v>Egan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264</v>
      </c>
      <c r="M2" t="s">
        <v>265</v>
      </c>
      <c r="N2" t="s">
        <v>281</v>
      </c>
    </row>
    <row r="3" spans="2:14" x14ac:dyDescent="0.2">
      <c r="B3">
        <f>I18</f>
        <v>14</v>
      </c>
      <c r="C3" s="3" t="s">
        <v>6</v>
      </c>
      <c r="D3" s="4">
        <f>I37</f>
        <v>15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G1'!E5</f>
        <v>4</v>
      </c>
      <c r="J3">
        <f>'Stats G1'!H5</f>
        <v>3</v>
      </c>
      <c r="K3">
        <f>J3+I3</f>
        <v>7</v>
      </c>
      <c r="L3">
        <f>'Stats G1'!K5</f>
        <v>1</v>
      </c>
      <c r="M3">
        <f>'Stats G1'!N5</f>
        <v>4</v>
      </c>
      <c r="N3">
        <f>'Stats G1'!Q5/60</f>
        <v>27.7</v>
      </c>
    </row>
    <row r="4" spans="2:14" x14ac:dyDescent="0.2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G1'!Q6/60</f>
        <v>0</v>
      </c>
    </row>
    <row r="5" spans="2:14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G1'!E7</f>
        <v>2</v>
      </c>
      <c r="J5">
        <f>'Stats G1'!H7</f>
        <v>2</v>
      </c>
      <c r="K5">
        <f t="shared" si="0"/>
        <v>4</v>
      </c>
      <c r="L5">
        <f>'Stats G1'!K7</f>
        <v>0</v>
      </c>
      <c r="M5">
        <f>'Stats G1'!N7</f>
        <v>3</v>
      </c>
      <c r="N5">
        <f>'Stats G1'!Q7/60</f>
        <v>23.25</v>
      </c>
    </row>
    <row r="6" spans="2:14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G1'!Q8/60</f>
        <v>0</v>
      </c>
    </row>
    <row r="7" spans="2:14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G1'!E9</f>
        <v>1</v>
      </c>
      <c r="J7">
        <f>'Stats G1'!H9</f>
        <v>4</v>
      </c>
      <c r="K7">
        <f t="shared" si="0"/>
        <v>5</v>
      </c>
      <c r="L7">
        <f>'Stats G1'!K9</f>
        <v>2</v>
      </c>
      <c r="M7">
        <f>'Stats G1'!N9</f>
        <v>1</v>
      </c>
      <c r="N7">
        <f>'Stats G1'!Q9/60</f>
        <v>27.6</v>
      </c>
    </row>
    <row r="8" spans="2:14" x14ac:dyDescent="0.2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G1'!E10</f>
        <v>2</v>
      </c>
      <c r="J8">
        <f>'Stats G1'!H10</f>
        <v>8</v>
      </c>
      <c r="K8">
        <f t="shared" si="0"/>
        <v>10</v>
      </c>
      <c r="L8">
        <f>'Stats G1'!K10</f>
        <v>2</v>
      </c>
      <c r="M8">
        <f>'Stats G1'!N10</f>
        <v>2</v>
      </c>
      <c r="N8">
        <f>'Stats G1'!Q10/60</f>
        <v>33.93333333333333</v>
      </c>
    </row>
    <row r="9" spans="2:14" x14ac:dyDescent="0.2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G1'!E11</f>
        <v>5</v>
      </c>
      <c r="J9">
        <f>'Stats G1'!H11</f>
        <v>6</v>
      </c>
      <c r="K9">
        <f t="shared" si="0"/>
        <v>11</v>
      </c>
      <c r="L9">
        <f>'Stats G1'!K11</f>
        <v>0</v>
      </c>
      <c r="M9">
        <f>'Stats G1'!N11</f>
        <v>4</v>
      </c>
      <c r="N9">
        <f>'Stats G1'!Q11/60</f>
        <v>25.95</v>
      </c>
    </row>
    <row r="10" spans="2:14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G1'!E12</f>
        <v>0</v>
      </c>
      <c r="J10">
        <f>'Stats G1'!H12</f>
        <v>13</v>
      </c>
      <c r="K10">
        <f t="shared" si="0"/>
        <v>13</v>
      </c>
      <c r="L10">
        <f>'Stats G1'!K12</f>
        <v>0</v>
      </c>
      <c r="M10">
        <f>'Stats G1'!N12</f>
        <v>4</v>
      </c>
      <c r="N10">
        <f>'Stats G1'!Q12/60</f>
        <v>30.933333333333334</v>
      </c>
    </row>
    <row r="11" spans="2:14" x14ac:dyDescent="0.2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G1'!E13</f>
        <v>0</v>
      </c>
      <c r="J11">
        <f>'Stats G1'!H13</f>
        <v>4</v>
      </c>
      <c r="K11">
        <f t="shared" si="0"/>
        <v>4</v>
      </c>
      <c r="L11">
        <f>'Stats G1'!K13</f>
        <v>2</v>
      </c>
      <c r="M11">
        <f>'Stats G1'!N13</f>
        <v>4</v>
      </c>
      <c r="N11">
        <f>'Stats G1'!Q13/60</f>
        <v>30.633333333333333</v>
      </c>
    </row>
    <row r="12" spans="2:14" x14ac:dyDescent="0.2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G1'!Q14/60</f>
        <v>0</v>
      </c>
    </row>
    <row r="13" spans="2:14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  <c r="N13">
        <f>'Stats G1'!Q15/60</f>
        <v>0</v>
      </c>
    </row>
    <row r="14" spans="2:14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G1'!Q16/60</f>
        <v>0</v>
      </c>
    </row>
    <row r="15" spans="2:14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  <c r="N15">
        <f>'Stats G1'!Q17/60</f>
        <v>0</v>
      </c>
    </row>
    <row r="16" spans="2:14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0</v>
      </c>
      <c r="N16">
        <f>'Stats G1'!Q18/60</f>
        <v>0</v>
      </c>
    </row>
    <row r="17" spans="6:14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G1'!Q19/60</f>
        <v>0</v>
      </c>
    </row>
    <row r="18" spans="6:14" x14ac:dyDescent="0.2">
      <c r="H18" s="2" t="s">
        <v>5</v>
      </c>
      <c r="I18">
        <f>SUM(I3:I17)</f>
        <v>14</v>
      </c>
      <c r="J18">
        <f>SUM(J3:J17)</f>
        <v>40</v>
      </c>
      <c r="K18">
        <f>SUM(K3:K17)</f>
        <v>54</v>
      </c>
      <c r="L18">
        <f>SUM(L3:L17)</f>
        <v>7</v>
      </c>
      <c r="M18">
        <f>SUM(M3:M17)</f>
        <v>22</v>
      </c>
      <c r="N18">
        <f>SUM(N3:N17)</f>
        <v>200</v>
      </c>
    </row>
    <row r="20" spans="6:14" x14ac:dyDescent="0.2">
      <c r="F20" t="s">
        <v>4</v>
      </c>
      <c r="G20" t="str">
        <f>'Stats G1'!B21</f>
        <v>Humphries</v>
      </c>
    </row>
    <row r="21" spans="6:14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264</v>
      </c>
      <c r="M21" t="s">
        <v>265</v>
      </c>
      <c r="N21" t="s">
        <v>281</v>
      </c>
    </row>
    <row r="22" spans="6:14" x14ac:dyDescent="0.2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G1'!E23</f>
        <v>1</v>
      </c>
      <c r="J22">
        <f>'Stats G1'!H23</f>
        <v>5</v>
      </c>
      <c r="K22">
        <f>J22+I22</f>
        <v>6</v>
      </c>
      <c r="L22">
        <f>'Stats G1'!K23</f>
        <v>0</v>
      </c>
      <c r="M22">
        <f>'Stats G1'!N23</f>
        <v>2</v>
      </c>
      <c r="N22">
        <f>'Stats G1'!Q23/60</f>
        <v>31.666666666666668</v>
      </c>
    </row>
    <row r="23" spans="6:14" x14ac:dyDescent="0.2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  <c r="N23">
        <f>'Stats G1'!Q24/60</f>
        <v>0</v>
      </c>
    </row>
    <row r="24" spans="6:14" x14ac:dyDescent="0.2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G1'!E25</f>
        <v>0</v>
      </c>
      <c r="J24">
        <f>'Stats G1'!H25</f>
        <v>0</v>
      </c>
      <c r="K24">
        <f t="shared" si="1"/>
        <v>0</v>
      </c>
      <c r="L24">
        <f>'Stats G1'!K25</f>
        <v>0</v>
      </c>
      <c r="M24">
        <f>'Stats G1'!N25</f>
        <v>0</v>
      </c>
      <c r="N24">
        <f>'Stats G1'!Q25/60</f>
        <v>0</v>
      </c>
    </row>
    <row r="25" spans="6:14" x14ac:dyDescent="0.2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G1'!E26</f>
        <v>1</v>
      </c>
      <c r="J25">
        <f>'Stats G1'!H26</f>
        <v>5</v>
      </c>
      <c r="K25">
        <f t="shared" si="1"/>
        <v>6</v>
      </c>
      <c r="L25">
        <f>'Stats G1'!K26</f>
        <v>2</v>
      </c>
      <c r="M25">
        <f>'Stats G1'!N26</f>
        <v>2</v>
      </c>
      <c r="N25">
        <f>'Stats G1'!Q26/60</f>
        <v>21.316666666666666</v>
      </c>
    </row>
    <row r="26" spans="6:14" x14ac:dyDescent="0.2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G1'!E27</f>
        <v>2</v>
      </c>
      <c r="J26">
        <f>'Stats G1'!H27</f>
        <v>3</v>
      </c>
      <c r="K26">
        <f t="shared" si="1"/>
        <v>5</v>
      </c>
      <c r="L26">
        <f>'Stats G1'!K27</f>
        <v>0</v>
      </c>
      <c r="M26">
        <f>'Stats G1'!N27</f>
        <v>0</v>
      </c>
      <c r="N26">
        <f>'Stats G1'!Q27/60</f>
        <v>19.399999999999999</v>
      </c>
    </row>
    <row r="27" spans="6:14" x14ac:dyDescent="0.2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  <c r="N27">
        <f>'Stats G1'!Q28/60</f>
        <v>2.7</v>
      </c>
    </row>
    <row r="28" spans="6:14" x14ac:dyDescent="0.2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G1'!E29</f>
        <v>0</v>
      </c>
      <c r="J28">
        <f>'Stats G1'!H29</f>
        <v>10</v>
      </c>
      <c r="K28">
        <f t="shared" si="1"/>
        <v>10</v>
      </c>
      <c r="L28">
        <f>'Stats G1'!K29</f>
        <v>2</v>
      </c>
      <c r="M28">
        <f>'Stats G1'!N29</f>
        <v>2</v>
      </c>
      <c r="N28">
        <f>'Stats G1'!Q29/60</f>
        <v>27.9</v>
      </c>
    </row>
    <row r="29" spans="6:14" x14ac:dyDescent="0.2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G1'!K30</f>
        <v>0</v>
      </c>
      <c r="M29">
        <f>'Stats G1'!N30</f>
        <v>0</v>
      </c>
      <c r="N29">
        <f>'Stats G1'!Q30/60</f>
        <v>0</v>
      </c>
    </row>
    <row r="30" spans="6:14" x14ac:dyDescent="0.2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G1'!E31</f>
        <v>1</v>
      </c>
      <c r="J30">
        <f>'Stats G1'!H31</f>
        <v>0</v>
      </c>
      <c r="K30">
        <f t="shared" si="1"/>
        <v>1</v>
      </c>
      <c r="L30">
        <f>'Stats G1'!K31</f>
        <v>0</v>
      </c>
      <c r="M30">
        <f>'Stats G1'!N31</f>
        <v>1</v>
      </c>
      <c r="N30">
        <f>'Stats G1'!Q31/60</f>
        <v>14.383333333333333</v>
      </c>
    </row>
    <row r="31" spans="6:14" x14ac:dyDescent="0.2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G1'!E32</f>
        <v>1</v>
      </c>
      <c r="J31">
        <f>'Stats G1'!H32</f>
        <v>1</v>
      </c>
      <c r="K31">
        <f t="shared" si="1"/>
        <v>2</v>
      </c>
      <c r="L31">
        <f>'Stats G1'!K32</f>
        <v>2</v>
      </c>
      <c r="M31">
        <f>'Stats G1'!N32</f>
        <v>1</v>
      </c>
      <c r="N31">
        <f>'Stats G1'!Q32/60</f>
        <v>14.833333333333334</v>
      </c>
    </row>
    <row r="32" spans="6:14" x14ac:dyDescent="0.2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G1'!E33</f>
        <v>1</v>
      </c>
      <c r="J32">
        <f>'Stats G1'!H33</f>
        <v>8</v>
      </c>
      <c r="K32">
        <f t="shared" si="1"/>
        <v>9</v>
      </c>
      <c r="L32">
        <f>'Stats G1'!K33</f>
        <v>2</v>
      </c>
      <c r="M32">
        <f>'Stats G1'!N33</f>
        <v>1</v>
      </c>
      <c r="N32">
        <f>'Stats G1'!Q33/60</f>
        <v>29.416666666666668</v>
      </c>
    </row>
    <row r="33" spans="6:14" x14ac:dyDescent="0.2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G1'!K34</f>
        <v>0</v>
      </c>
      <c r="M33">
        <f>'Stats G1'!N34</f>
        <v>0</v>
      </c>
      <c r="N33">
        <f>'Stats G1'!Q34/60</f>
        <v>0</v>
      </c>
    </row>
    <row r="34" spans="6:14" x14ac:dyDescent="0.2">
      <c r="F34" t="str">
        <f>'Stats G1'!A35</f>
        <v>Kolton</v>
      </c>
      <c r="G34" t="str">
        <f>'Stats G1'!B35</f>
        <v>?</v>
      </c>
      <c r="H34">
        <f>'Stats G1'!C35</f>
        <v>32</v>
      </c>
      <c r="I34">
        <f>'Stats G1'!E35</f>
        <v>1</v>
      </c>
      <c r="J34">
        <f>'Stats G1'!H35</f>
        <v>1</v>
      </c>
      <c r="K34">
        <f t="shared" si="1"/>
        <v>2</v>
      </c>
      <c r="L34">
        <f>'Stats G1'!K35</f>
        <v>0</v>
      </c>
      <c r="M34">
        <f>'Stats G1'!N35</f>
        <v>3</v>
      </c>
      <c r="N34">
        <f>'Stats G1'!Q35/60</f>
        <v>3.35</v>
      </c>
    </row>
    <row r="35" spans="6:14" x14ac:dyDescent="0.2">
      <c r="F35" t="str">
        <f>'Stats G1'!A36</f>
        <v xml:space="preserve">Justin </v>
      </c>
      <c r="G35" t="str">
        <f>'Stats G1'!B36</f>
        <v>Harmon</v>
      </c>
      <c r="H35">
        <f>'Stats G1'!C36</f>
        <v>0</v>
      </c>
      <c r="I35">
        <f>'Stats G1'!E36</f>
        <v>1</v>
      </c>
      <c r="J35">
        <f>'Stats G1'!H36</f>
        <v>5</v>
      </c>
      <c r="K35">
        <f t="shared" si="1"/>
        <v>6</v>
      </c>
      <c r="L35">
        <f>'Stats G1'!K36</f>
        <v>1</v>
      </c>
      <c r="M35">
        <f>'Stats G1'!N36</f>
        <v>1</v>
      </c>
      <c r="N35">
        <f>'Stats G1'!Q36/60</f>
        <v>18.45</v>
      </c>
    </row>
    <row r="36" spans="6:14" x14ac:dyDescent="0.2">
      <c r="F36" t="str">
        <f>'Stats G1'!A37</f>
        <v>Jordan</v>
      </c>
      <c r="G36" t="str">
        <f>'Stats G1'!B37</f>
        <v>Battle</v>
      </c>
      <c r="H36">
        <f>'Stats G1'!C37</f>
        <v>30</v>
      </c>
      <c r="I36">
        <f>'Stats G1'!E37</f>
        <v>6</v>
      </c>
      <c r="J36">
        <f>'Stats G1'!H37</f>
        <v>0</v>
      </c>
      <c r="K36">
        <f t="shared" si="1"/>
        <v>6</v>
      </c>
      <c r="L36">
        <f>'Stats G1'!K37</f>
        <v>1</v>
      </c>
      <c r="M36">
        <f>'Stats G1'!N37</f>
        <v>1</v>
      </c>
      <c r="N36">
        <f>'Stats G1'!Q37/60</f>
        <v>16.583333333333332</v>
      </c>
    </row>
    <row r="37" spans="6:14" x14ac:dyDescent="0.2">
      <c r="H37" s="2" t="s">
        <v>5</v>
      </c>
      <c r="I37">
        <f>SUM(I22:I36)</f>
        <v>15</v>
      </c>
      <c r="J37">
        <f>SUM(J22:J36)</f>
        <v>38</v>
      </c>
      <c r="K37">
        <f>SUM(K22:K36)</f>
        <v>53</v>
      </c>
      <c r="L37">
        <f>SUM(L22:L36)</f>
        <v>10</v>
      </c>
      <c r="M37">
        <f>SUM(M22:M36)</f>
        <v>14</v>
      </c>
      <c r="N37">
        <f>SUM(N22:N36)</f>
        <v>199.99999999999997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107" workbookViewId="0">
      <selection activeCell="Q38" sqref="Q3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6.5" bestFit="1" customWidth="1"/>
    <col min="18" max="19" width="5.33203125" customWidth="1"/>
    <col min="20" max="20" width="5.83203125" customWidth="1"/>
    <col min="21" max="21" width="5.33203125" customWidth="1"/>
  </cols>
  <sheetData>
    <row r="1" spans="1:26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6" hidden="1" x14ac:dyDescent="0.2"/>
    <row r="3" spans="1:26" x14ac:dyDescent="0.2">
      <c r="A3" s="2" t="s">
        <v>8</v>
      </c>
      <c r="B3" s="1" t="s">
        <v>19</v>
      </c>
    </row>
    <row r="4" spans="1:26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  <c r="Q4" t="s">
        <v>280</v>
      </c>
    </row>
    <row r="5" spans="1:26" s="6" customFormat="1" x14ac:dyDescent="0.2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4</v>
      </c>
      <c r="F5" s="5"/>
      <c r="G5" s="5"/>
      <c r="H5" s="5">
        <v>3</v>
      </c>
      <c r="I5" s="5"/>
      <c r="J5" s="5"/>
      <c r="K5" s="5">
        <v>1</v>
      </c>
      <c r="L5" s="5"/>
      <c r="M5" s="5"/>
      <c r="N5" s="5">
        <v>4</v>
      </c>
      <c r="O5" s="5"/>
      <c r="P5" s="5"/>
      <c r="Q5" s="5">
        <v>1662</v>
      </c>
      <c r="R5" s="5"/>
      <c r="S5" s="5"/>
      <c r="T5" s="5">
        <v>0</v>
      </c>
      <c r="U5" s="5"/>
    </row>
    <row r="6" spans="1:26" s="6" customFormat="1" x14ac:dyDescent="0.2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6" s="6" customFormat="1" x14ac:dyDescent="0.2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2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3</v>
      </c>
      <c r="O7" s="5"/>
      <c r="P7" s="5"/>
      <c r="Q7" s="5">
        <v>1395</v>
      </c>
      <c r="R7" s="5"/>
      <c r="S7" s="5"/>
      <c r="T7" s="5">
        <v>0</v>
      </c>
      <c r="U7" s="5"/>
    </row>
    <row r="8" spans="1:26" s="6" customFormat="1" x14ac:dyDescent="0.2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6" s="6" customFormat="1" x14ac:dyDescent="0.2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1</v>
      </c>
      <c r="F9" s="5"/>
      <c r="G9" s="5"/>
      <c r="H9" s="5">
        <v>4</v>
      </c>
      <c r="I9" s="5"/>
      <c r="J9" s="5"/>
      <c r="K9" s="5">
        <v>2</v>
      </c>
      <c r="L9" s="5"/>
      <c r="M9" s="5"/>
      <c r="N9" s="5">
        <v>1</v>
      </c>
      <c r="O9" s="5"/>
      <c r="P9" s="5"/>
      <c r="Q9" s="5">
        <v>1656</v>
      </c>
      <c r="R9" s="5"/>
      <c r="S9" s="5"/>
      <c r="T9" s="5">
        <v>0</v>
      </c>
      <c r="U9" s="5"/>
    </row>
    <row r="10" spans="1:26" s="6" customFormat="1" x14ac:dyDescent="0.2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2</v>
      </c>
      <c r="H10" s="6">
        <v>8</v>
      </c>
      <c r="K10" s="6">
        <v>2</v>
      </c>
      <c r="N10" s="6">
        <v>2</v>
      </c>
      <c r="Q10" s="6">
        <v>2036</v>
      </c>
      <c r="T10" s="6">
        <v>0</v>
      </c>
    </row>
    <row r="11" spans="1:26" s="6" customFormat="1" x14ac:dyDescent="0.2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5</v>
      </c>
      <c r="F11" s="5"/>
      <c r="G11" s="5"/>
      <c r="H11" s="5">
        <v>6</v>
      </c>
      <c r="I11" s="5"/>
      <c r="J11" s="5"/>
      <c r="K11" s="5">
        <v>0</v>
      </c>
      <c r="L11" s="5"/>
      <c r="M11" s="5"/>
      <c r="N11" s="5">
        <v>4</v>
      </c>
      <c r="O11" s="5"/>
      <c r="P11" s="5"/>
      <c r="Q11" s="5">
        <v>1557</v>
      </c>
      <c r="R11" s="5"/>
      <c r="S11" s="5"/>
      <c r="T11" s="5">
        <v>0</v>
      </c>
      <c r="U11" s="5"/>
    </row>
    <row r="12" spans="1:26" s="6" customFormat="1" x14ac:dyDescent="0.2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0</v>
      </c>
      <c r="H12" s="6">
        <v>13</v>
      </c>
      <c r="K12" s="6">
        <v>0</v>
      </c>
      <c r="N12" s="6">
        <v>4</v>
      </c>
      <c r="Q12" s="6">
        <v>1856</v>
      </c>
      <c r="T12" s="6">
        <v>0</v>
      </c>
    </row>
    <row r="13" spans="1:26" s="6" customFormat="1" x14ac:dyDescent="0.2">
      <c r="A13" s="5" t="str">
        <f>_xlfn.IFNA(VLOOKUP($B$3&amp;ROWS($A$5:A13),Rosters!$B$2:$C$162,2,0),"?")</f>
        <v>Quan</v>
      </c>
      <c r="B13" s="5" t="str">
        <f>_xlfn.IFNA(VLOOKUP($B$3&amp;ROWS($B$5:B13),Rosters!$B$2:$D$162,3,0),"?")</f>
        <v>Thompson</v>
      </c>
      <c r="C13" s="5">
        <f>_xlfn.IFNA(VLOOKUP($B$3&amp;ROWS($C$5:C13),Rosters!$B$2:$E$162,4,0),"")</f>
        <v>24</v>
      </c>
      <c r="D13" s="5"/>
      <c r="E13" s="5">
        <v>0</v>
      </c>
      <c r="F13" s="5"/>
      <c r="G13" s="5"/>
      <c r="H13" s="5">
        <v>4</v>
      </c>
      <c r="I13" s="5"/>
      <c r="J13" s="5"/>
      <c r="K13" s="5">
        <v>2</v>
      </c>
      <c r="L13" s="5"/>
      <c r="M13" s="5"/>
      <c r="N13" s="5">
        <v>4</v>
      </c>
      <c r="O13" s="5"/>
      <c r="P13" s="5"/>
      <c r="Q13" s="5">
        <v>1838</v>
      </c>
      <c r="R13" s="5"/>
      <c r="S13" s="5"/>
      <c r="T13" s="5">
        <v>0</v>
      </c>
      <c r="U13" s="5"/>
      <c r="Y13" s="6" t="s">
        <v>271</v>
      </c>
      <c r="Z13" s="6" t="s">
        <v>272</v>
      </c>
    </row>
    <row r="14" spans="1:26" s="6" customFormat="1" x14ac:dyDescent="0.2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X14" s="6" t="s">
        <v>270</v>
      </c>
      <c r="Y14" s="6">
        <v>4</v>
      </c>
      <c r="Z14" s="6">
        <v>5</v>
      </c>
    </row>
    <row r="15" spans="1:26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X15" s="6" t="s">
        <v>273</v>
      </c>
      <c r="Y15" s="6">
        <v>4</v>
      </c>
      <c r="Z15" s="6">
        <v>3</v>
      </c>
    </row>
    <row r="16" spans="1:26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X16" s="6" t="s">
        <v>274</v>
      </c>
      <c r="Y16" s="6">
        <v>9</v>
      </c>
      <c r="Z16" s="6">
        <v>3</v>
      </c>
    </row>
    <row r="17" spans="1:26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X17" s="6" t="s">
        <v>275</v>
      </c>
      <c r="Y17" s="6">
        <v>2</v>
      </c>
      <c r="Z17" s="6">
        <v>3</v>
      </c>
    </row>
    <row r="18" spans="1:26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6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6" x14ac:dyDescent="0.2">
      <c r="E20">
        <f>SUM(E5:E19)</f>
        <v>14</v>
      </c>
      <c r="H20">
        <f>SUM(H5:H19)</f>
        <v>40</v>
      </c>
      <c r="K20">
        <f>SUM(K5:K19)</f>
        <v>7</v>
      </c>
      <c r="N20">
        <f>SUM(N5:N19)</f>
        <v>22</v>
      </c>
      <c r="Q20">
        <f>SUM(Q5:Q19)</f>
        <v>12000</v>
      </c>
      <c r="T20">
        <f>SUM(T5:T19)</f>
        <v>0</v>
      </c>
    </row>
    <row r="21" spans="1:26" x14ac:dyDescent="0.2">
      <c r="A21" s="2" t="s">
        <v>9</v>
      </c>
      <c r="B21" s="1" t="s">
        <v>12</v>
      </c>
    </row>
    <row r="22" spans="1:26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  <c r="Q22" t="s">
        <v>280</v>
      </c>
    </row>
    <row r="23" spans="1:26" s="6" customFormat="1" x14ac:dyDescent="0.2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2</v>
      </c>
      <c r="O23" s="5"/>
      <c r="P23" s="5"/>
      <c r="Q23" s="5">
        <v>1900</v>
      </c>
      <c r="R23" s="5"/>
      <c r="S23" s="5"/>
      <c r="T23" s="5">
        <v>0</v>
      </c>
      <c r="U23" s="5"/>
    </row>
    <row r="24" spans="1:26" s="6" customFormat="1" x14ac:dyDescent="0.2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6" s="6" customFormat="1" x14ac:dyDescent="0.2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6" s="6" customFormat="1" x14ac:dyDescent="0.2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</v>
      </c>
      <c r="H26" s="6">
        <v>5</v>
      </c>
      <c r="K26" s="6">
        <v>2</v>
      </c>
      <c r="N26" s="6">
        <v>2</v>
      </c>
      <c r="Q26" s="6">
        <v>1279</v>
      </c>
      <c r="T26" s="6">
        <v>0</v>
      </c>
    </row>
    <row r="27" spans="1:26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2</v>
      </c>
      <c r="F27" s="5"/>
      <c r="G27" s="5"/>
      <c r="H27" s="5">
        <v>3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1164</v>
      </c>
      <c r="R27" s="5"/>
      <c r="S27" s="5"/>
      <c r="T27" s="5">
        <v>0</v>
      </c>
      <c r="U27" s="5"/>
    </row>
    <row r="28" spans="1:26" s="6" customFormat="1" x14ac:dyDescent="0.2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162</v>
      </c>
      <c r="T28" s="6">
        <v>0</v>
      </c>
    </row>
    <row r="29" spans="1:26" s="6" customFormat="1" x14ac:dyDescent="0.2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0</v>
      </c>
      <c r="F29" s="5"/>
      <c r="G29" s="5"/>
      <c r="H29" s="5">
        <v>10</v>
      </c>
      <c r="I29" s="5"/>
      <c r="J29" s="5"/>
      <c r="K29" s="5">
        <v>2</v>
      </c>
      <c r="L29" s="5"/>
      <c r="M29" s="5"/>
      <c r="N29" s="5">
        <v>2</v>
      </c>
      <c r="O29" s="5"/>
      <c r="P29" s="5"/>
      <c r="Q29" s="5">
        <v>1674</v>
      </c>
      <c r="R29" s="5"/>
      <c r="S29" s="5"/>
      <c r="T29" s="5">
        <v>0</v>
      </c>
      <c r="U29" s="5"/>
    </row>
    <row r="30" spans="1:26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6" s="6" customFormat="1" x14ac:dyDescent="0.2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863</v>
      </c>
      <c r="R31" s="5"/>
      <c r="S31" s="5"/>
      <c r="T31" s="5">
        <v>0</v>
      </c>
      <c r="U31" s="5"/>
    </row>
    <row r="32" spans="1:26" s="6" customFormat="1" x14ac:dyDescent="0.2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1</v>
      </c>
      <c r="H32" s="6">
        <v>1</v>
      </c>
      <c r="K32" s="6">
        <v>2</v>
      </c>
      <c r="N32" s="6">
        <v>1</v>
      </c>
      <c r="Q32" s="6">
        <v>890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1</v>
      </c>
      <c r="F33" s="5"/>
      <c r="G33" s="5"/>
      <c r="H33" s="5">
        <v>8</v>
      </c>
      <c r="I33" s="5"/>
      <c r="J33" s="5"/>
      <c r="K33" s="5">
        <v>2</v>
      </c>
      <c r="L33" s="5"/>
      <c r="M33" s="5"/>
      <c r="N33" s="5">
        <v>1</v>
      </c>
      <c r="O33" s="5"/>
      <c r="P33" s="5"/>
      <c r="Q33" s="5">
        <v>1765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276</v>
      </c>
      <c r="B35" s="5" t="str">
        <f>_xlfn.IFNA(VLOOKUP($B$21&amp;ROWS($B$23:B35),Rosters!$B$2:$D$162,3,0),"?")</f>
        <v>?</v>
      </c>
      <c r="C35" s="5">
        <v>32</v>
      </c>
      <c r="D35" s="5"/>
      <c r="E35" s="5">
        <v>1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3</v>
      </c>
      <c r="O35" s="5"/>
      <c r="P35" s="5"/>
      <c r="Q35" s="5">
        <v>201</v>
      </c>
      <c r="R35" s="5"/>
      <c r="S35" s="5"/>
      <c r="T35" s="5">
        <v>0</v>
      </c>
      <c r="U35" s="5"/>
    </row>
    <row r="36" spans="1:21" s="6" customFormat="1" x14ac:dyDescent="0.2">
      <c r="A36" s="6" t="s">
        <v>277</v>
      </c>
      <c r="B36" s="6" t="s">
        <v>278</v>
      </c>
      <c r="C36" s="6">
        <v>0</v>
      </c>
      <c r="D36"/>
      <c r="E36" s="6">
        <v>1</v>
      </c>
      <c r="F36"/>
      <c r="G36"/>
      <c r="H36" s="6">
        <v>5</v>
      </c>
      <c r="I36"/>
      <c r="J36"/>
      <c r="K36" s="6">
        <v>1</v>
      </c>
      <c r="L36"/>
      <c r="M36"/>
      <c r="N36" s="6">
        <v>1</v>
      </c>
      <c r="O36"/>
      <c r="P36"/>
      <c r="Q36" s="6">
        <v>1107</v>
      </c>
      <c r="R36"/>
      <c r="S36"/>
      <c r="T36" s="6">
        <v>0</v>
      </c>
      <c r="U36"/>
    </row>
    <row r="37" spans="1:21" s="6" customFormat="1" x14ac:dyDescent="0.2">
      <c r="A37" s="5" t="s">
        <v>53</v>
      </c>
      <c r="B37" s="5" t="s">
        <v>279</v>
      </c>
      <c r="C37" s="5">
        <v>30</v>
      </c>
      <c r="D37" s="5"/>
      <c r="E37" s="5">
        <v>6</v>
      </c>
      <c r="F37" s="5"/>
      <c r="G37" s="5"/>
      <c r="H37" s="5">
        <v>0</v>
      </c>
      <c r="I37" s="5"/>
      <c r="J37" s="5"/>
      <c r="K37" s="5">
        <v>1</v>
      </c>
      <c r="L37" s="5"/>
      <c r="M37" s="5"/>
      <c r="N37" s="5">
        <v>1</v>
      </c>
      <c r="O37" s="5"/>
      <c r="P37" s="5"/>
      <c r="Q37" s="5">
        <v>995</v>
      </c>
      <c r="R37" s="5"/>
      <c r="S37" s="5"/>
      <c r="T37" s="5">
        <v>0</v>
      </c>
      <c r="U37" s="5"/>
    </row>
    <row r="38" spans="1:21" x14ac:dyDescent="0.2">
      <c r="E38">
        <f>SUM(E23:E37)</f>
        <v>15</v>
      </c>
      <c r="H38">
        <f>SUM(H23:H37)</f>
        <v>38</v>
      </c>
      <c r="K38">
        <f>SUM(K23:K37)</f>
        <v>10</v>
      </c>
      <c r="N38">
        <f>SUM(N23:N37)</f>
        <v>14</v>
      </c>
      <c r="Q38">
        <f>SUM(Q23:Q37)</f>
        <v>12000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I12" sqref="I12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2021-07-14T16:27:25Z</dcterms:modified>
</cp:coreProperties>
</file>