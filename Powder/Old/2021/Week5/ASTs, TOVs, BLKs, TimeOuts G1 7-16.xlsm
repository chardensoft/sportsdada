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19T234753Z-001/"/>
    </mc:Choice>
  </mc:AlternateContent>
  <xr:revisionPtr revIDLastSave="0" documentId="13_ncr:1_{771DB3AF-1B06-2541-A8E1-A6065BA801B9}" xr6:coauthVersionLast="47" xr6:coauthVersionMax="47" xr10:uidLastSave="{00000000-0000-0000-0000-000000000000}"/>
  <bookViews>
    <workbookView xWindow="13740" yWindow="500" windowWidth="14340" windowHeight="153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0" i="1" l="1"/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M37" i="2" l="1"/>
  <c r="M18" i="2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I37" i="2" l="1"/>
  <c r="K18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G16" i="2"/>
  <c r="C9" i="1"/>
  <c r="H7" i="2" s="1"/>
  <c r="B29" i="1"/>
  <c r="G28" i="2" s="1"/>
  <c r="F16" i="2"/>
  <c r="B9" i="1"/>
  <c r="G7" i="2" s="1"/>
  <c r="C16" i="1"/>
  <c r="H14" i="2" s="1"/>
  <c r="C8" i="1"/>
  <c r="H6" i="2" s="1"/>
  <c r="F22" i="2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G22" i="2"/>
  <c r="C36" i="1"/>
  <c r="H35" i="2" s="1"/>
  <c r="F33" i="2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H33" i="2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<sst xmlns="http://schemas.openxmlformats.org/spreadsheetml/2006/main" count="491" uniqueCount="276">
  <si>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</si>
  <si>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</si>
  <si>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</si>
  <si>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</si>
  <si>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</si>
  <si>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</si>
  <si>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</si>
  <si>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</si>
  <si>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</si>
  <si>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</si>
  <si>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</si>
  <si>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</si>
  <si>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</si>
  <si>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</si>
  <si>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</si>
  <si>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</si>
  <si>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</si>
  <si>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</si>
  <si>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</si>
  <si>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</si>
  <si>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</si>
  <si>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</si>
  <si>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</si>
  <si>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</si>
  <si>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</si>
  <si>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</si>
  <si>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</si>
  <si>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</si>
  <si>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</si>
  <si>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</si>
  <si>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</si>
  <si>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</si>
  <si>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</si>
  <si>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</si>
  <si>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</si>
  <si>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</si>
  <si>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</si>
  <si>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</si>
  <si>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</si>
  <si>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</si>
  <si>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</si>
  <si>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</si>
  <si>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</si>
  <si>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</si>
  <si>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</si>
  <si>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</si>
  <si>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</si>
  <si>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</si>
  <si>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</si>
  <si>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</si>
  <si>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</si>
  <si>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</si>
  <si>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</si>
  <si>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</si>
  <si>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</si>
  <si>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</si>
  <si>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</si>
  <si>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</si>
  <si>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</si>
  <si>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</si>
  <si>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</si>
  <si>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</si>
  <si>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</si>
  <si>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</si>
  <si>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</si>
  <si>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</si>
  <si>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</si>
  <si>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</si>
  <si>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</si>
  <si>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</si>
  <si>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</si>
  <si>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</si>
  <si>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</si>
  <si>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</si>
  <si>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</si>
  <si>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</si>
  <si>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</si>
  <si>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</si>
  <si>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</si>
  <si>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</si>
  <si>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</si>
  <si>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</si>
  <si>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</si>
  <si>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</si>
  <si>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</si>
  <si>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</si>
  <si>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</si>
  <si>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</si>
  <si>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</si>
  <si>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</si>
  <si>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</si>
  <si>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</si>
  <si>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</si>
  <si>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</si>
  <si>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</si>
  <si>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</si>
  <si>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</si>
  <si>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</si>
  <si>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</si>
  <si>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</si>
  <si>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</si>
  <si>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</si>
  <si>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</si>
  <si>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</si>
  <si>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</si>
  <si>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</si>
  <si>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</si>
  <si>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</si>
  <si>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</si>
  <si>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</si>
  <si>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</si>
  <si>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</si>
  <si>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</si>
  <si>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</si>
  <si>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</si>
  <si>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</si>
  <si>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</si>
  <si>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</si>
  <si>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</si>
  <si>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</si>
  <si>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</si>
  <si>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</si>
  <si>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</si>
  <si>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</si>
  <si>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</si>
  <si>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</si>
  <si>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</si>
  <si>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</si>
  <si>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</si>
  <si>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</si>
  <si>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</si>
  <si>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</si>
  <si>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</si>
  <si>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</si>
  <si>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</si>
  <si>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</si>
  <si>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</si>
  <si>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</si>
  <si>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</si>
  <si>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</si>
  <si>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</si>
  <si>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</si>
  <si>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</si>
  <si>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</si>
  <si>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</si>
  <si>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</si>
  <si>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</si>
  <si>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</si>
  <si>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</si>
  <si>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</si>
  <si>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</si>
  <si>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</si>
  <si>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</si>
  <si>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</si>
  <si>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</si>
  <si>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</si>
  <si>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</si>
  <si>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</si>
  <si>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</si>
  <si>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</si>
  <si>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</si>
  <si>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</si>
  <si>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</si>
  <si>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</si>
  <si>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</si>
  <si>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</si>
  <si>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</si>
  <si>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</si>
  <si>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</si>
  <si>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</si>
  <si>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</si>
  <si>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</si>
  <si>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</si>
  <si>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</si>
  <si>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</si>
  <si>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</si>
  <si>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</si>
  <si>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</si>
  <si>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</si>
  <si>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</si>
  <si>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</si>
  <si>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</si>
  <si>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</si>
  <si>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</si>
  <si>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</si>
  <si>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</si>
  <si>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</si>
  <si>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</si>
  <si>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</si>
  <si>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</si>
  <si>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</si>
  <si>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</si>
  <si>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</si>
  <si>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</si>
  <si>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</si>
  <si>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</si>
  <si>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</si>
  <si>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</si>
  <si>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</si>
  <si>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</si>
  <si>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</si>
  <si>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</si>
  <si>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</si>
  <si>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</si>
  <si>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</si>
  <si>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</si>
  <si>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</si>
  <si>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</si>
  <si>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</si>
  <si>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</si>
  <si>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</si>
  <si>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</si>
  <si>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</si>
  <si>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</si>
  <si>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</si>
  <si>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</si>
  <si>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</si>
  <si>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</si>
  <si>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</si>
  <si>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</si>
  <si>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</si>
  <si>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</si>
  <si>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</si>
  <si>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</si>
  <si>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</si>
  <si>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</si>
  <si>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</si>
  <si>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</si>
  <si>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</si>
  <si>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</si>
  <si>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</si>
  <si>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</si>
  <si>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</si>
  <si>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</si>
  <si>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</si>
  <si>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</si>
  <si>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</si>
  <si>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</si>
  <si>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</si>
  <si>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</si>
  <si>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</si>
  <si>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</si>
  <si>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</si>
  <si>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</si>
  <si>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</si>
  <si>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</si>
  <si>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</si>
  <si>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</si>
  <si>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</si>
  <si>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</si>
  <si>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</si>
  <si>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</si>
  <si>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</si>
  <si>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</si>
  <si>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</si>
  <si>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</si>
  <si>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</si>
  <si>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</si>
  <si>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</si>
  <si>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</si>
  <si>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</si>
  <si>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</si>
  <si>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</si>
  <si>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</si>
  <si>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</si>
  <si>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</si>
  <si>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</si>
  <si>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</si>
  <si>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</si>
  <si>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Bryan</t>
  </si>
  <si>
    <t>Farr</t>
  </si>
  <si>
    <t>Cameron</t>
  </si>
  <si>
    <t>Delany</t>
  </si>
  <si>
    <t>Wood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</si>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</sst>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B1" workbookViewId="0">
      <selection activeCell="J19" sqref="J1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Roberts</v>
      </c>
    </row>
    <row r="2" spans="2:13" x14ac:dyDescent="0.2">
      <c r="B2" t="str">
        <f>G1</f>
        <v>Roberts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266</v>
      </c>
      <c r="J2" t="s">
        <v>262</v>
      </c>
      <c r="K2" t="s">
        <v>263</v>
      </c>
      <c r="L2" t="s">
        <v>265</v>
      </c>
      <c r="M2" t="s">
        <v>274</v>
      </c>
    </row>
    <row r="3" spans="2:13" x14ac:dyDescent="0.2">
      <c r="B3">
        <f>I18</f>
        <v>21</v>
      </c>
      <c r="C3" s="3" t="s">
        <v>6</v>
      </c>
      <c r="D3" s="4">
        <f>J37</f>
        <v>13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G1'!E5</f>
        <v>2</v>
      </c>
      <c r="J3">
        <f>'Stats G1'!H5</f>
        <v>1</v>
      </c>
      <c r="K3">
        <f>'Stats G1'!K5</f>
        <v>0</v>
      </c>
      <c r="M3">
        <f>'Stats G1'!N5/60</f>
        <v>10.033333333333333</v>
      </c>
    </row>
    <row r="4" spans="2:13" x14ac:dyDescent="0.2">
      <c r="F4" t="str">
        <f>'Stats G1'!A6</f>
        <v>Charles</v>
      </c>
      <c r="G4" t="str">
        <f>'Stats G1'!B6</f>
        <v>Nunn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  <c r="M4">
        <f>'Stats G1'!N6/60</f>
        <v>10.166666666666666</v>
      </c>
    </row>
    <row r="5" spans="2:13" x14ac:dyDescent="0.2">
      <c r="F5" t="str">
        <f>'Stats G1'!A7</f>
        <v>Brandon</v>
      </c>
      <c r="G5" t="str">
        <f>'Stats G1'!B7</f>
        <v>Sly</v>
      </c>
      <c r="H5">
        <f>'Stats G1'!C7</f>
        <v>2</v>
      </c>
      <c r="I5">
        <f>'Stats G1'!E7</f>
        <v>3</v>
      </c>
      <c r="J5">
        <f>'Stats G1'!H7</f>
        <v>2</v>
      </c>
      <c r="K5">
        <f>'Stats G1'!K7</f>
        <v>0</v>
      </c>
      <c r="M5">
        <f>'Stats G1'!N7/60</f>
        <v>29.5</v>
      </c>
    </row>
    <row r="6" spans="2:13" x14ac:dyDescent="0.2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G1'!E8</f>
        <v>1</v>
      </c>
      <c r="J6">
        <f>'Stats G1'!H8</f>
        <v>0</v>
      </c>
      <c r="K6">
        <f>'Stats G1'!K8</f>
        <v>0</v>
      </c>
      <c r="M6">
        <f>'Stats G1'!N8/60</f>
        <v>18.399999999999999</v>
      </c>
    </row>
    <row r="7" spans="2:13" x14ac:dyDescent="0.2">
      <c r="F7" t="str">
        <f>'Stats G1'!A9</f>
        <v>Jaleel</v>
      </c>
      <c r="G7" t="str">
        <f>'Stats G1'!B9</f>
        <v>Roberts</v>
      </c>
      <c r="H7">
        <f>'Stats G1'!C9</f>
        <v>9</v>
      </c>
      <c r="I7">
        <f>'Stats G1'!E9</f>
        <v>2</v>
      </c>
      <c r="J7">
        <f>'Stats G1'!H9</f>
        <v>0</v>
      </c>
      <c r="K7">
        <f>'Stats G1'!K9</f>
        <v>2</v>
      </c>
      <c r="M7">
        <f>'Stats G1'!N9/60</f>
        <v>23.383333333333333</v>
      </c>
    </row>
    <row r="8" spans="2:13" x14ac:dyDescent="0.2">
      <c r="F8" t="str">
        <f>'Stats G1'!A10</f>
        <v>Rayjon</v>
      </c>
      <c r="G8" t="str">
        <f>'Stats G1'!B10</f>
        <v>Tucker</v>
      </c>
      <c r="H8">
        <f>'Stats G1'!C10</f>
        <v>9</v>
      </c>
      <c r="I8">
        <f>'Stats G1'!E10</f>
        <v>0</v>
      </c>
      <c r="J8">
        <f>'Stats G1'!H10</f>
        <v>0</v>
      </c>
      <c r="K8">
        <f>'Stats G1'!K10</f>
        <v>0</v>
      </c>
      <c r="M8">
        <f>'Stats G1'!N10/60</f>
        <v>0</v>
      </c>
    </row>
    <row r="9" spans="2:13" x14ac:dyDescent="0.2">
      <c r="F9" t="str">
        <f>'Stats G1'!A11</f>
        <v>Kentrell</v>
      </c>
      <c r="G9" t="str">
        <f>'Stats G1'!B11</f>
        <v>Barkley</v>
      </c>
      <c r="H9">
        <f>'Stats G1'!C11</f>
        <v>12</v>
      </c>
      <c r="I9">
        <f>'Stats G1'!E11</f>
        <v>6</v>
      </c>
      <c r="J9">
        <f>'Stats G1'!H11</f>
        <v>1</v>
      </c>
      <c r="K9">
        <f>'Stats G1'!K11</f>
        <v>0</v>
      </c>
      <c r="M9">
        <f>'Stats G1'!N11/60</f>
        <v>29.966666666666665</v>
      </c>
    </row>
    <row r="10" spans="2:13" x14ac:dyDescent="0.2">
      <c r="F10" t="str">
        <f>'Stats G1'!A12</f>
        <v>Dontay</v>
      </c>
      <c r="G10" t="str">
        <f>'Stats G1'!B12</f>
        <v>Bassett</v>
      </c>
      <c r="H10">
        <f>'Stats G1'!C12</f>
        <v>13</v>
      </c>
      <c r="I10">
        <f>'Stats G1'!E12</f>
        <v>0</v>
      </c>
      <c r="J10">
        <f>'Stats G1'!H12</f>
        <v>0</v>
      </c>
      <c r="K10">
        <f>'Stats G1'!K12</f>
        <v>0</v>
      </c>
      <c r="M10">
        <f>'Stats G1'!N12/60</f>
        <v>0</v>
      </c>
    </row>
    <row r="11" spans="2:13" x14ac:dyDescent="0.2">
      <c r="F11" t="str">
        <f>'Stats G1'!A13</f>
        <v>Kyndahl</v>
      </c>
      <c r="G11" t="str">
        <f>'Stats G1'!B13</f>
        <v>Hill</v>
      </c>
      <c r="H11">
        <f>'Stats G1'!C13</f>
        <v>15</v>
      </c>
      <c r="I11">
        <f>'Stats G1'!E13</f>
        <v>1</v>
      </c>
      <c r="J11">
        <f>'Stats G1'!H13</f>
        <v>1</v>
      </c>
      <c r="K11">
        <f>'Stats G1'!K13</f>
        <v>1</v>
      </c>
      <c r="M11">
        <f>'Stats G1'!N13/60</f>
        <v>21.016666666666666</v>
      </c>
    </row>
    <row r="12" spans="2:13" x14ac:dyDescent="0.2">
      <c r="F12" t="str">
        <f>'Stats G1'!A14</f>
        <v>Jordan</v>
      </c>
      <c r="G12" t="str">
        <f>'Stats G1'!B14</f>
        <v>Loveridge</v>
      </c>
      <c r="H12">
        <f>'Stats G1'!C14</f>
        <v>21</v>
      </c>
      <c r="I12">
        <f>'Stats G1'!E14</f>
        <v>0</v>
      </c>
      <c r="J12">
        <f>'Stats G1'!H14</f>
        <v>0</v>
      </c>
      <c r="K12">
        <f>'Stats G1'!K14</f>
        <v>0</v>
      </c>
      <c r="M12">
        <f>'Stats G1'!N14/60</f>
        <v>0</v>
      </c>
    </row>
    <row r="13" spans="2:13" x14ac:dyDescent="0.2">
      <c r="F13" t="str">
        <f>'Stats G1'!A15</f>
        <v>Thomas</v>
      </c>
      <c r="G13" t="str">
        <f>'Stats G1'!B15</f>
        <v>Bullock</v>
      </c>
      <c r="H13">
        <f>'Stats G1'!C15</f>
        <v>22</v>
      </c>
      <c r="I13">
        <f>'Stats G1'!E15</f>
        <v>4</v>
      </c>
      <c r="J13">
        <f>'Stats G1'!H15</f>
        <v>1</v>
      </c>
      <c r="K13">
        <f>'Stats G1'!K15</f>
        <v>0</v>
      </c>
      <c r="M13">
        <f>'Stats G1'!N15/60</f>
        <v>20.5</v>
      </c>
    </row>
    <row r="14" spans="2:13" x14ac:dyDescent="0.2">
      <c r="F14" t="str">
        <f>'Stats G1'!A16</f>
        <v>Brendan</v>
      </c>
      <c r="G14" t="str">
        <f>'Stats G1'!B16</f>
        <v>Morris</v>
      </c>
      <c r="H14">
        <f>'Stats G1'!C16</f>
        <v>23</v>
      </c>
      <c r="I14">
        <f>'Stats G1'!E16</f>
        <v>0</v>
      </c>
      <c r="J14">
        <f>'Stats G1'!H16</f>
        <v>0</v>
      </c>
      <c r="K14">
        <f>'Stats G1'!K16</f>
        <v>2</v>
      </c>
      <c r="M14">
        <f>'Stats G1'!N16/60</f>
        <v>16.633333333333333</v>
      </c>
    </row>
    <row r="15" spans="2:13" x14ac:dyDescent="0.2">
      <c r="F15" t="str">
        <f>'Stats G1'!A17</f>
        <v>Demarcus</v>
      </c>
      <c r="G15" t="str">
        <f>'Stats G1'!B17</f>
        <v>Harrison</v>
      </c>
      <c r="H15">
        <f>'Stats G1'!C17</f>
        <v>31</v>
      </c>
      <c r="I15">
        <f>'Stats G1'!E17</f>
        <v>2</v>
      </c>
      <c r="J15">
        <f>'Stats G1'!H17</f>
        <v>3</v>
      </c>
      <c r="K15">
        <f>'Stats G1'!K17</f>
        <v>0</v>
      </c>
      <c r="M15">
        <f>'Stats G1'!N17/60</f>
        <v>13.566666666666666</v>
      </c>
    </row>
    <row r="16" spans="2:13" x14ac:dyDescent="0.2">
      <c r="F16" t="str">
        <f>'Stats G1'!A18</f>
        <v>Bryan</v>
      </c>
      <c r="G16" t="str">
        <f>'Stats G1'!B18</f>
        <v>Farr</v>
      </c>
      <c r="H16">
        <f>'Stats G1'!C18</f>
        <v>30</v>
      </c>
      <c r="I16">
        <f>'Stats G1'!E18</f>
        <v>0</v>
      </c>
      <c r="J16">
        <f>'Stats G1'!H18</f>
        <v>0</v>
      </c>
      <c r="K16">
        <f>'Stats G1'!K18</f>
        <v>0</v>
      </c>
      <c r="M16">
        <f>'Stats G1'!N18/60</f>
        <v>6.833333333333333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M17">
        <f>'Stats G1'!N19/60</f>
        <v>0</v>
      </c>
    </row>
    <row r="18" spans="6:13" x14ac:dyDescent="0.2">
      <c r="H18" s="2" t="s">
        <v>5</v>
      </c>
      <c r="I18">
        <f>SUM(I3:I17)</f>
        <v>21</v>
      </c>
      <c r="J18">
        <f>SUM(J3:J17)</f>
        <v>9</v>
      </c>
      <c r="K18">
        <f>SUM(K3:K17)</f>
        <v>5</v>
      </c>
      <c r="L18">
        <f>'Stats G1'!W5</f>
        <v>2</v>
      </c>
      <c r="M18">
        <f>SUM(M3:M17)</f>
        <v>199.99999999999997</v>
      </c>
    </row>
    <row r="20" spans="6:13" x14ac:dyDescent="0.2">
      <c r="F20" t="s">
        <v>4</v>
      </c>
      <c r="G20" t="str">
        <f>'Stats G1'!B21</f>
        <v>Joyce</v>
      </c>
    </row>
    <row r="21" spans="6:13" x14ac:dyDescent="0.2">
      <c r="F21" t="s">
        <v>1</v>
      </c>
      <c r="G21" t="s">
        <v>2</v>
      </c>
      <c r="H21" t="s">
        <v>0</v>
      </c>
      <c r="I21" t="s">
        <v>266</v>
      </c>
      <c r="J21" t="s">
        <v>262</v>
      </c>
      <c r="K21" t="s">
        <v>263</v>
      </c>
      <c r="L21" t="s">
        <v>265</v>
      </c>
      <c r="M21" t="s">
        <v>274</v>
      </c>
    </row>
    <row r="22" spans="6:13" x14ac:dyDescent="0.2">
      <c r="F22" t="str">
        <f>'Stats G1'!A23</f>
        <v>Cameron</v>
      </c>
      <c r="G22" t="str">
        <f>'Stats G1'!B23</f>
        <v>Delany</v>
      </c>
      <c r="H22">
        <f>'Stats G1'!C23</f>
        <v>0</v>
      </c>
      <c r="I22">
        <f>'Stats G1'!E23</f>
        <v>4</v>
      </c>
      <c r="J22">
        <f>'Stats G1'!H23</f>
        <v>2</v>
      </c>
      <c r="K22">
        <f>'Stats G1'!K23</f>
        <v>0</v>
      </c>
      <c r="M22">
        <f>'Stats G1'!N23/60</f>
        <v>30.533333333333335</v>
      </c>
    </row>
    <row r="23" spans="6:13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  <c r="M23">
        <f>'Stats G1'!N24/60</f>
        <v>5.9333333333333336</v>
      </c>
    </row>
    <row r="24" spans="6:13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G1'!E25</f>
        <v>12</v>
      </c>
      <c r="J24">
        <f>'Stats G1'!H25</f>
        <v>2</v>
      </c>
      <c r="K24">
        <f>'Stats G1'!K25</f>
        <v>0</v>
      </c>
      <c r="M24">
        <f>'Stats G1'!N25/60</f>
        <v>34.049999999999997</v>
      </c>
    </row>
    <row r="25" spans="6:13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>'Stats G1'!K26</f>
        <v>0</v>
      </c>
      <c r="M25">
        <f>'Stats G1'!N26/60</f>
        <v>0</v>
      </c>
    </row>
    <row r="26" spans="6:13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>'Stats G1'!K27</f>
        <v>0</v>
      </c>
      <c r="M26">
        <f>'Stats G1'!N27/60</f>
        <v>0</v>
      </c>
    </row>
    <row r="27" spans="6:13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0</v>
      </c>
      <c r="J27">
        <f>'Stats G1'!H28</f>
        <v>0</v>
      </c>
      <c r="K27">
        <f>'Stats G1'!K28</f>
        <v>0</v>
      </c>
      <c r="M27">
        <f>'Stats G1'!N28/60</f>
        <v>18.25</v>
      </c>
    </row>
    <row r="28" spans="6:13" x14ac:dyDescent="0.2">
      <c r="F28" t="str">
        <f>'Stats G1'!A29</f>
        <v xml:space="preserve">Jael </v>
      </c>
      <c r="G28" t="str">
        <f>'Stats G1'!B29</f>
        <v>Vaughn</v>
      </c>
      <c r="H28">
        <f>'Stats G1'!C29</f>
        <v>12</v>
      </c>
      <c r="I28">
        <f>'Stats G1'!E29</f>
        <v>2</v>
      </c>
      <c r="J28">
        <f>'Stats G1'!H29</f>
        <v>2</v>
      </c>
      <c r="K28">
        <f>'Stats G1'!K29</f>
        <v>0</v>
      </c>
      <c r="M28">
        <f>'Stats G1'!N29/60</f>
        <v>33.016666666666666</v>
      </c>
    </row>
    <row r="29" spans="6:13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3</v>
      </c>
      <c r="J29">
        <f>'Stats G1'!H30</f>
        <v>3</v>
      </c>
      <c r="K29">
        <f>'Stats G1'!K30</f>
        <v>0</v>
      </c>
      <c r="M29">
        <f>'Stats G1'!N30/60</f>
        <v>24.75</v>
      </c>
    </row>
    <row r="30" spans="6:13" x14ac:dyDescent="0.2">
      <c r="F30" t="str">
        <f>'Stats G1'!A31</f>
        <v xml:space="preserve">Yoeli </v>
      </c>
      <c r="G30" t="str">
        <f>'Stats G1'!B31</f>
        <v>Childs</v>
      </c>
      <c r="H30">
        <f>'Stats G1'!C31</f>
        <v>22</v>
      </c>
      <c r="I30">
        <f>'Stats G1'!E31</f>
        <v>2</v>
      </c>
      <c r="J30">
        <f>'Stats G1'!H31</f>
        <v>1</v>
      </c>
      <c r="K30">
        <f>'Stats G1'!K31</f>
        <v>0</v>
      </c>
      <c r="M30">
        <f>'Stats G1'!N31/60</f>
        <v>31.066666666666666</v>
      </c>
    </row>
    <row r="31" spans="6:13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0</v>
      </c>
      <c r="J31">
        <f>'Stats G1'!H32</f>
        <v>0</v>
      </c>
      <c r="K31">
        <f>'Stats G1'!K32</f>
        <v>0</v>
      </c>
      <c r="M31">
        <f>'Stats G1'!N32/60</f>
        <v>0</v>
      </c>
    </row>
    <row r="32" spans="6:13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G1'!E33</f>
        <v>0</v>
      </c>
      <c r="J32">
        <f>'Stats G1'!H33</f>
        <v>0</v>
      </c>
      <c r="K32">
        <f>'Stats G1'!K33</f>
        <v>0</v>
      </c>
      <c r="M32">
        <f>'Stats G1'!N33/60</f>
        <v>0</v>
      </c>
    </row>
    <row r="33" spans="6:13" x14ac:dyDescent="0.2">
      <c r="F33" t="str">
        <f>'Stats G1'!A34</f>
        <v>Trey</v>
      </c>
      <c r="G33" t="str">
        <f>'Stats G1'!B34</f>
        <v>Wood</v>
      </c>
      <c r="H33">
        <f>'Stats G1'!C34</f>
        <v>55</v>
      </c>
      <c r="I33">
        <f>'Stats G1'!E34</f>
        <v>2</v>
      </c>
      <c r="J33">
        <f>'Stats G1'!H34</f>
        <v>2</v>
      </c>
      <c r="K33">
        <f>'Stats G1'!K34</f>
        <v>0</v>
      </c>
      <c r="M33">
        <f>'Stats G1'!N34/60</f>
        <v>22.4</v>
      </c>
    </row>
    <row r="34" spans="6:13" x14ac:dyDescent="0.2">
      <c r="F34" t="str">
        <f>'Stats G1'!A35</f>
        <v>?</v>
      </c>
      <c r="G34" t="str">
        <f>'Stats G1'!B35</f>
        <v>?</v>
      </c>
      <c r="I34">
        <f>'Stats G1'!E35</f>
        <v>0</v>
      </c>
      <c r="J34">
        <f>'Stats G1'!H35</f>
        <v>1</v>
      </c>
      <c r="K34">
        <f>'Stats G1'!K35</f>
        <v>0</v>
      </c>
      <c r="M34">
        <f>'Stats G1'!N35/60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  <c r="M35">
        <f>'Stats G1'!N36/60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M36">
        <f>'Stats G1'!N37/60</f>
        <v>0</v>
      </c>
    </row>
    <row r="37" spans="6:13" x14ac:dyDescent="0.2">
      <c r="H37" s="2" t="s">
        <v>5</v>
      </c>
      <c r="I37">
        <f>SUM(I22:I36)</f>
        <v>25</v>
      </c>
      <c r="J37">
        <f>SUM(J22:J36)</f>
        <v>13</v>
      </c>
      <c r="K37">
        <f>SUM(K22:K36)</f>
        <v>0</v>
      </c>
      <c r="L37">
        <f>'Stats G1'!W23</f>
        <v>0</v>
      </c>
      <c r="M37">
        <f>SUM(M22:M36)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14" workbookViewId="0">
      <selection activeCell="N25" sqref="N25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22</v>
      </c>
    </row>
    <row r="4" spans="1:23" x14ac:dyDescent="0.2">
      <c r="A4" t="s">
        <v>1</v>
      </c>
      <c r="B4" t="s">
        <v>2</v>
      </c>
      <c r="C4" t="s">
        <v>0</v>
      </c>
      <c r="E4" t="s">
        <v>266</v>
      </c>
      <c r="H4" t="s">
        <v>262</v>
      </c>
      <c r="K4" t="s">
        <v>263</v>
      </c>
      <c r="N4" t="s">
        <v>275</v>
      </c>
    </row>
    <row r="5" spans="1:23" s="6" customFormat="1" x14ac:dyDescent="0.2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602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264</v>
      </c>
      <c r="W5" s="6">
        <v>2</v>
      </c>
    </row>
    <row r="6" spans="1:23" s="6" customFormat="1" x14ac:dyDescent="0.2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610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3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1770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1</v>
      </c>
      <c r="H8" s="6">
        <v>0</v>
      </c>
      <c r="K8" s="6">
        <v>0</v>
      </c>
      <c r="N8" s="6">
        <v>1104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2</v>
      </c>
      <c r="F9" s="5"/>
      <c r="G9" s="5"/>
      <c r="H9" s="5">
        <v>0</v>
      </c>
      <c r="I9" s="5"/>
      <c r="J9" s="5"/>
      <c r="K9" s="5">
        <v>2</v>
      </c>
      <c r="L9" s="5"/>
      <c r="M9" s="5"/>
      <c r="N9" s="5">
        <v>1403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6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1798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1</v>
      </c>
      <c r="F13" s="5"/>
      <c r="G13" s="5"/>
      <c r="H13" s="5">
        <v>1</v>
      </c>
      <c r="I13" s="5"/>
      <c r="J13" s="5"/>
      <c r="K13" s="5">
        <v>1</v>
      </c>
      <c r="L13" s="5"/>
      <c r="M13" s="5"/>
      <c r="N13" s="5">
        <v>1261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4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1230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0</v>
      </c>
      <c r="H16" s="6">
        <v>0</v>
      </c>
      <c r="K16" s="6">
        <v>2</v>
      </c>
      <c r="N16" s="6">
        <v>998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2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814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">
        <v>269</v>
      </c>
      <c r="B18" s="6" t="s">
        <v>270</v>
      </c>
      <c r="C18" s="6">
        <v>30</v>
      </c>
      <c r="E18" s="6">
        <v>0</v>
      </c>
      <c r="H18" s="6">
        <v>0</v>
      </c>
      <c r="K18" s="6">
        <v>0</v>
      </c>
      <c r="N18" s="6">
        <v>410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21</v>
      </c>
      <c r="H20">
        <f>SUM(H5:H19)</f>
        <v>9</v>
      </c>
      <c r="K20">
        <f>SUM(K5:K19)</f>
        <v>5</v>
      </c>
      <c r="N20">
        <f>SUM(N5:N19)</f>
        <v>12000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21</v>
      </c>
    </row>
    <row r="22" spans="1:22" x14ac:dyDescent="0.2">
      <c r="A22" t="s">
        <v>1</v>
      </c>
      <c r="B22" t="s">
        <v>2</v>
      </c>
      <c r="C22" t="s">
        <v>0</v>
      </c>
      <c r="E22" t="s">
        <v>266</v>
      </c>
      <c r="H22" t="s">
        <v>262</v>
      </c>
      <c r="K22" t="s">
        <v>263</v>
      </c>
      <c r="N22" t="s">
        <v>275</v>
      </c>
    </row>
    <row r="23" spans="1:22" s="6" customFormat="1" x14ac:dyDescent="0.2">
      <c r="A23" s="5" t="s">
        <v>271</v>
      </c>
      <c r="B23" s="5" t="s">
        <v>272</v>
      </c>
      <c r="C23" s="5">
        <f>_xlfn.IFNA(VLOOKUP($B$21&amp;ROWS($C$23:C23),Rosters!$B$2:$E$162,4,0),"")</f>
        <v>0</v>
      </c>
      <c r="D23" s="5"/>
      <c r="E23" s="5">
        <v>4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1832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264</v>
      </c>
    </row>
    <row r="24" spans="1:22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356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12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2043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1095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 xml:space="preserve">Jael 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2</v>
      </c>
      <c r="F29" s="5"/>
      <c r="G29" s="5"/>
      <c r="H29" s="5">
        <v>2</v>
      </c>
      <c r="I29" s="5"/>
      <c r="J29" s="5"/>
      <c r="K29" s="5">
        <v>0</v>
      </c>
      <c r="L29" s="5"/>
      <c r="M29" s="5"/>
      <c r="N29" s="5">
        <v>1981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3</v>
      </c>
      <c r="H30" s="6">
        <v>3</v>
      </c>
      <c r="K30" s="6">
        <v>0</v>
      </c>
      <c r="N30" s="6">
        <v>1485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 xml:space="preserve">Yoeli 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2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1864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170</v>
      </c>
      <c r="B34" s="6" t="s">
        <v>273</v>
      </c>
      <c r="C34" s="6">
        <v>55</v>
      </c>
      <c r="D34"/>
      <c r="E34" s="6">
        <v>2</v>
      </c>
      <c r="F34"/>
      <c r="G34"/>
      <c r="H34" s="6">
        <v>2</v>
      </c>
      <c r="I34"/>
      <c r="J34"/>
      <c r="K34" s="6">
        <v>0</v>
      </c>
      <c r="L34"/>
      <c r="M34"/>
      <c r="N34" s="6">
        <v>1344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>
        <v>0</v>
      </c>
      <c r="D35" s="5"/>
      <c r="E35" s="5">
        <v>0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25</v>
      </c>
      <c r="H38">
        <f>SUM(H23:H37)</f>
        <v>13</v>
      </c>
      <c r="K38">
        <f>SUM(K23:K37)</f>
        <v>0</v>
      </c>
      <c r="N38">
        <f>SUM(N23:N37)</f>
        <v>12000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1" workbookViewId="0">
      <selection activeCell="B141" sqref="B141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258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261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268</v>
      </c>
      <c r="B140" t="str">
        <f>A140&amp;COUNTIF($A$2:$A140,A140)</f>
        <v>Guest1</v>
      </c>
      <c r="C140" t="s">
        <v>253</v>
      </c>
      <c r="D140" t="s">
        <v>254</v>
      </c>
      <c r="E140">
        <v>2</v>
      </c>
    </row>
    <row r="141" spans="1:5" x14ac:dyDescent="0.2">
      <c r="A141" t="s">
        <v>268</v>
      </c>
      <c r="B141" t="str">
        <f>A141&amp;COUNTIF($A$2:$A141,A141)</f>
        <v>Guest2</v>
      </c>
      <c r="C141" t="s">
        <v>80</v>
      </c>
      <c r="D141" t="s">
        <v>255</v>
      </c>
      <c r="E141">
        <v>10</v>
      </c>
    </row>
    <row r="142" spans="1:5" x14ac:dyDescent="0.2">
      <c r="A142" t="s">
        <v>268</v>
      </c>
      <c r="B142" t="str">
        <f>A142&amp;COUNTIF($A$2:$A142,A142)</f>
        <v>Guest3</v>
      </c>
      <c r="C142" t="s">
        <v>256</v>
      </c>
      <c r="D142" t="s">
        <v>257</v>
      </c>
      <c r="E142">
        <v>19</v>
      </c>
    </row>
    <row r="143" spans="1:5" x14ac:dyDescent="0.2">
      <c r="A143" t="s">
        <v>268</v>
      </c>
      <c r="B143" t="str">
        <f>A143&amp;COUNTIF($A$2:$A143,A143)</f>
        <v>Guest4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2021-07-19T23:55:25Z</dcterms:modified>
</cp:coreProperties>
</file>