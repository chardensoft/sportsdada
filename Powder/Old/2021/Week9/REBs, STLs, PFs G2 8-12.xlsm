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2DE956CC-DE9E-2841-A32B-65892FCDE688}" xr6:coauthVersionLast="47" xr6:coauthVersionMax="47" xr10:uidLastSave="{00000000-0000-0000-0000-000000000000}"/>
  <bookViews>
    <workbookView xWindow="740" yWindow="1000" windowWidth="27640" windowHeight="148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2" l="1"/>
  <c r="N17" i="2"/>
  <c r="O17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O37" i="2" s="1"/>
  <c r="N31" i="2"/>
  <c r="O31" i="2"/>
  <c r="N32" i="2"/>
  <c r="O32" i="2"/>
  <c r="N33" i="2"/>
  <c r="O33" i="2"/>
  <c r="N34" i="2"/>
  <c r="O34" i="2"/>
  <c r="N35" i="2"/>
  <c r="O35" i="2"/>
  <c r="N36" i="2"/>
  <c r="O36" i="2"/>
  <c r="O22" i="2"/>
  <c r="N22" i="2"/>
  <c r="O3" i="2"/>
  <c r="N3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M37" i="2"/>
  <c r="I23" i="2"/>
  <c r="J23" i="2"/>
  <c r="L23" i="2"/>
  <c r="M23" i="2"/>
  <c r="I24" i="2"/>
  <c r="J24" i="2"/>
  <c r="L24" i="2"/>
  <c r="M24" i="2"/>
  <c r="I25" i="2"/>
  <c r="J25" i="2"/>
  <c r="L25" i="2"/>
  <c r="M25" i="2"/>
  <c r="I26" i="2"/>
  <c r="K26" i="2" s="1"/>
  <c r="J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L29" i="2"/>
  <c r="M29" i="2"/>
  <c r="I30" i="2"/>
  <c r="J30" i="2"/>
  <c r="K30" i="2" s="1"/>
  <c r="L30" i="2"/>
  <c r="M30" i="2"/>
  <c r="I31" i="2"/>
  <c r="J31" i="2"/>
  <c r="L31" i="2"/>
  <c r="M31" i="2"/>
  <c r="I32" i="2"/>
  <c r="J32" i="2"/>
  <c r="K32" i="2"/>
  <c r="L32" i="2"/>
  <c r="M32" i="2"/>
  <c r="I33" i="2"/>
  <c r="J33" i="2"/>
  <c r="K33" i="2" s="1"/>
  <c r="L33" i="2"/>
  <c r="M33" i="2"/>
  <c r="I34" i="2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6" i="2"/>
  <c r="K7" i="2"/>
  <c r="K9" i="2"/>
  <c r="K10" i="2"/>
  <c r="K11" i="2"/>
  <c r="K12" i="2"/>
  <c r="K14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L8" i="2"/>
  <c r="I9" i="2"/>
  <c r="J9" i="2"/>
  <c r="L9" i="2"/>
  <c r="I10" i="2"/>
  <c r="J10" i="2"/>
  <c r="L10" i="2"/>
  <c r="I11" i="2"/>
  <c r="J11" i="2"/>
  <c r="L11" i="2"/>
  <c r="I12" i="2"/>
  <c r="J12" i="2"/>
  <c r="L12" i="2"/>
  <c r="I13" i="2"/>
  <c r="J13" i="2"/>
  <c r="K13" i="2" s="1"/>
  <c r="L13" i="2"/>
  <c r="I14" i="2"/>
  <c r="J14" i="2"/>
  <c r="L14" i="2"/>
  <c r="I15" i="2"/>
  <c r="J15" i="2"/>
  <c r="L15" i="2"/>
  <c r="I16" i="2"/>
  <c r="K16" i="2" s="1"/>
  <c r="J16" i="2"/>
  <c r="L16" i="2"/>
  <c r="I17" i="2"/>
  <c r="J17" i="2"/>
  <c r="K17" i="2" s="1"/>
  <c r="L17" i="2"/>
  <c r="L3" i="2"/>
  <c r="J3" i="2"/>
  <c r="I3" i="2"/>
  <c r="K3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29" i="2" l="1"/>
  <c r="K5" i="2"/>
  <c r="K25" i="2"/>
  <c r="K31" i="2"/>
  <c r="K22" i="2"/>
  <c r="K15" i="2"/>
  <c r="L37" i="2"/>
  <c r="N37" i="2"/>
  <c r="M18" i="2"/>
  <c r="N18" i="2"/>
  <c r="K8" i="2"/>
  <c r="K23" i="2"/>
  <c r="I37" i="2"/>
  <c r="D3" i="2" s="1"/>
  <c r="K34" i="2"/>
  <c r="K24" i="2"/>
  <c r="C25" i="1"/>
  <c r="H24" i="2" s="1"/>
  <c r="C32" i="1"/>
  <c r="H31" i="2" s="1"/>
  <c r="C29" i="1"/>
  <c r="H28" i="2" s="1"/>
  <c r="B33" i="1"/>
  <c r="G32" i="2" s="1"/>
  <c r="B6" i="1"/>
  <c r="G4" i="2" s="1"/>
  <c r="I18" i="2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F35" i="2"/>
  <c r="C30" i="1"/>
  <c r="H29" i="2" s="1"/>
  <c r="B12" i="1"/>
  <c r="G10" i="2" s="1"/>
  <c r="C24" i="1"/>
  <c r="H23" i="2" s="1"/>
  <c r="A30" i="1"/>
  <c r="F29" i="2" s="1"/>
  <c r="G17" i="2"/>
  <c r="C10" i="1"/>
  <c r="H8" i="2" s="1"/>
  <c r="F34" i="2"/>
  <c r="G16" i="2"/>
  <c r="C9" i="1"/>
  <c r="H7" i="2" s="1"/>
  <c r="B29" i="1"/>
  <c r="G28" i="2" s="1"/>
  <c r="F16" i="2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G34" i="2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F17" i="2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J37" i="2"/>
  <c r="L18" i="2"/>
  <c r="B3" i="2"/>
  <c r="K18" i="2" l="1"/>
  <c r="K37" i="2"/>
</calcChain>
</file>

<file path=xl/sharedStrings.xml><?xml version="1.0" encoding="utf-8"?>
<sst xmlns="http://schemas.openxmlformats.org/spreadsheetml/2006/main" count="506" uniqueCount="273">
  <si>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</si>
  <si>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</si>
  <si>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</si>
  <si>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</si>
  <si>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</si>
  <si>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</si>
  <si>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</si>
  <si>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</si>
  <si>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</si>
  <si>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</si>
  <si>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</si>
  <si>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</si>
  <si>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</si>
  <si>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</si>
  <si>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</si>
  <si>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</si>
  <si>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</si>
  <si>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</si>
  <si>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</si>
  <si>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</si>
  <si>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</si>
  <si>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</si>
  <si>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</si>
  <si>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</si>
  <si>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</si>
  <si>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</si>
  <si>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</si>
  <si>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</si>
  <si>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</si>
  <si>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</si>
  <si>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</si>
  <si>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</si>
  <si>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</si>
  <si>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</si>
  <si>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</si>
  <si>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</si>
  <si>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</si>
  <si>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</si>
  <si>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</si>
  <si>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</si>
  <si>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</si>
  <si>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</si>
  <si>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</si>
  <si>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</si>
  <si>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</si>
  <si>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</si>
  <si>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</si>
  <si>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</si>
  <si>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</si>
  <si>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</si>
  <si>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</si>
  <si>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</si>
  <si>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</si>
  <si>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</si>
  <si>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</si>
  <si>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</si>
  <si>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</si>
  <si>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</si>
  <si>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</si>
  <si>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</si>
  <si>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</si>
  <si>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</si>
  <si>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</si>
  <si>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</si>
  <si>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</si>
  <si>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</si>
  <si>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</si>
  <si>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</si>
  <si>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</si>
  <si>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</si>
  <si>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</si>
  <si>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</si>
  <si>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</si>
  <si>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</si>
  <si>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</si>
  <si>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</si>
  <si>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</si>
  <si>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</si>
  <si>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</si>
  <si>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</si>
  <si>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</si>
  <si>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</si>
  <si>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</si>
  <si>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</si>
  <si>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</si>
  <si>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</si>
  <si>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</si>
  <si>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</si>
  <si>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</si>
  <si>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</si>
  <si>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</si>
  <si>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</si>
  <si>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</si>
  <si>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</si>
  <si>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</si>
  <si>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</si>
  <si>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</si>
  <si>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</si>
  <si>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</si>
  <si>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</si>
  <si>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</si>
  <si>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</si>
  <si>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</si>
  <si>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</si>
  <si>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</si>
  <si>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</si>
  <si>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</si>
  <si>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</si>
  <si>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</si>
  <si>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</si>
  <si>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</si>
  <si>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</si>
  <si>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</si>
  <si>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</si>
  <si>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</si>
  <si>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</si>
  <si>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</si>
  <si>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</si>
  <si>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</si>
  <si>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</si>
  <si>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</si>
  <si>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</si>
  <si>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</si>
  <si>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</si>
  <si>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</si>
  <si>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</si>
  <si>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</si>
  <si>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</si>
  <si>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</si>
  <si>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</si>
  <si>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</si>
  <si>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</si>
  <si>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</si>
  <si>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</si>
  <si>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</si>
  <si>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</si>
  <si>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</si>
  <si>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</si>
  <si>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</si>
  <si>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</si>
  <si>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</si>
  <si>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</si>
  <si>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</si>
  <si>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</si>
  <si>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</si>
  <si>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</si>
  <si>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</si>
  <si>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</si>
  <si>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</si>
  <si>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</si>
  <si>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</si>
  <si>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</si>
  <si>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</si>
  <si>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</si>
  <si>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</si>
  <si>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</si>
  <si>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</si>
  <si>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</si>
  <si>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</si>
  <si>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</si>
  <si>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</si>
  <si>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</si>
  <si>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</si>
  <si>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</si>
  <si>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</si>
  <si>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</si>
  <si>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</si>
  <si>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</si>
  <si>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</si>
  <si>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</si>
  <si>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</si>
  <si>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</si>
  <si>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</si>
  <si>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</si>
  <si>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</si>
  <si>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</si>
  <si>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</si>
  <si>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</si>
  <si>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</si>
  <si>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</si>
  <si>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</si>
  <si>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</si>
  <si>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</si>
  <si>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</si>
  <si>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</si>
  <si>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</si>
  <si>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</si>
  <si>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</si>
  <si>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</si>
  <si>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</si>
  <si>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</si>
  <si>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</si>
  <si>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</si>
  <si>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</si>
  <si>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</si>
  <si>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</si>
  <si>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</si>
  <si>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</si>
  <si>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</si>
  <si>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</si>
  <si>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</si>
  <si>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</si>
  <si>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</si>
  <si>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</si>
  <si>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</si>
  <si>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</si>
  <si>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</si>
  <si>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</si>
  <si>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</si>
  <si>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</si>
  <si>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</si>
  <si>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</si>
  <si>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</si>
  <si>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</si>
  <si>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</si>
  <si>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</si>
  <si>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</si>
  <si>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</si>
  <si>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</si>
  <si>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</si>
  <si>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</si>
  <si>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</si>
  <si>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</si>
  <si>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</si>
  <si>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</si>
  <si>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</si>
  <si>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</si>
  <si>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</si>
  <si>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</si>
  <si>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</si>
  <si>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</si>
  <si>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</si>
  <si>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</si>
  <si>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</si>
  <si>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</si>
  <si>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</si>
  <si>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</si>
  <si>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</si>
  <si>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</si>
  <si>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</si>
  <si>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</si>
  <si>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</si>
  <si>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</si>
  <si>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</si>
  <si>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OREB</t>
  </si>
  <si>
    <t>DREB</t>
  </si>
  <si>
    <t>TREB</t>
  </si>
  <si>
    <t>GAME 2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</si>
  <si>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</si>
  <si>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</si>
  <si>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</si>
  <si>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</si>
  <si>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</si>
  <si>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</si>
  <si>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</si>
  <si>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</si>
  <si>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</si>
  <si>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</si>
  <si>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</si>
  <si>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</si>
  <si>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</si>
  <si>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</si>
  <si>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</si>
  <si>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</si>
  <si>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</si>
  <si>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</si>
  <si>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Brekkott</t>
  </si>
  <si>
    <t>Dwayne</t>
  </si>
  <si>
    <t>TOV</t>
  </si>
  <si>
    <t>AST</t>
  </si>
  <si>
    <t>BLK</t>
  </si>
  <si>
    <t>Collin</t>
  </si>
  <si>
    <t>Demps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</si>
</sst>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workbookViewId="0">
      <selection activeCell="M18" sqref="M1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247</v>
      </c>
      <c r="F1" t="s">
        <v>3</v>
      </c>
      <c r="G1" t="str">
        <f>'Stats G2'!B3</f>
        <v>Clarke</v>
      </c>
    </row>
    <row r="2" spans="2:15" x14ac:dyDescent="0.2">
      <c r="B2" t="str">
        <f>G1</f>
        <v>Clarke</v>
      </c>
      <c r="D2" t="str">
        <f>G20</f>
        <v>Drisdom</v>
      </c>
      <c r="F2" t="s">
        <v>1</v>
      </c>
      <c r="G2" t="s">
        <v>2</v>
      </c>
      <c r="H2" t="s">
        <v>0</v>
      </c>
      <c r="I2" t="s">
        <v>244</v>
      </c>
      <c r="J2" t="s">
        <v>245</v>
      </c>
      <c r="K2" t="s">
        <v>246</v>
      </c>
      <c r="L2" t="s">
        <v>243</v>
      </c>
      <c r="M2" t="s">
        <v>268</v>
      </c>
      <c r="N2" t="s">
        <v>269</v>
      </c>
      <c r="O2" t="s">
        <v>270</v>
      </c>
    </row>
    <row r="3" spans="2:15" x14ac:dyDescent="0.2">
      <c r="B3">
        <f>I18</f>
        <v>13</v>
      </c>
      <c r="C3" s="3" t="s">
        <v>6</v>
      </c>
      <c r="D3" s="4">
        <f>I37</f>
        <v>27</v>
      </c>
      <c r="F3" t="str">
        <f>'Stats G2'!A5</f>
        <v>Marquis</v>
      </c>
      <c r="G3" t="str">
        <f>'Stats G2'!B5</f>
        <v>OShea</v>
      </c>
      <c r="H3">
        <f>'Stats G2'!C5</f>
        <v>0</v>
      </c>
      <c r="I3">
        <f>'Stats G2'!E5</f>
        <v>1</v>
      </c>
      <c r="J3">
        <f>'Stats G2'!H5</f>
        <v>1</v>
      </c>
      <c r="K3">
        <f>J3+I3</f>
        <v>2</v>
      </c>
      <c r="L3">
        <f>'Stats G2'!K5</f>
        <v>0</v>
      </c>
      <c r="M3">
        <f>'Stats G2'!N5</f>
        <v>0</v>
      </c>
      <c r="N3">
        <f>'Stats G2'!Q5</f>
        <v>1</v>
      </c>
      <c r="O3">
        <f>'Stats G2'!T5</f>
        <v>0</v>
      </c>
    </row>
    <row r="4" spans="2:15" x14ac:dyDescent="0.2">
      <c r="F4" t="str">
        <f>'Stats G2'!A6</f>
        <v>Jaren</v>
      </c>
      <c r="G4" t="str">
        <f>'Stats G2'!B6</f>
        <v>McKnight</v>
      </c>
      <c r="H4">
        <f>'Stats G2'!C6</f>
        <v>1</v>
      </c>
      <c r="I4">
        <f>'Stats G2'!E6</f>
        <v>0</v>
      </c>
      <c r="J4">
        <f>'Stats G2'!H6</f>
        <v>0</v>
      </c>
      <c r="K4">
        <f t="shared" ref="K4:K17" si="0">J4+I4</f>
        <v>0</v>
      </c>
      <c r="L4">
        <f>'Stats G2'!K6</f>
        <v>0</v>
      </c>
      <c r="M4">
        <f>'Stats G2'!N6</f>
        <v>0</v>
      </c>
      <c r="N4">
        <f>'Stats G2'!Q6</f>
        <v>0</v>
      </c>
      <c r="O4">
        <f>'Stats G2'!T6</f>
        <v>0</v>
      </c>
    </row>
    <row r="5" spans="2:15" x14ac:dyDescent="0.2">
      <c r="F5" t="str">
        <f>'Stats G2'!A7</f>
        <v>Elijah</v>
      </c>
      <c r="G5" t="str">
        <f>'Stats G2'!B7</f>
        <v>Davy</v>
      </c>
      <c r="H5">
        <f>'Stats G2'!C7</f>
        <v>4</v>
      </c>
      <c r="I5">
        <f>'Stats G2'!E7</f>
        <v>2</v>
      </c>
      <c r="J5">
        <f>'Stats G2'!H7</f>
        <v>8</v>
      </c>
      <c r="K5">
        <f t="shared" si="0"/>
        <v>10</v>
      </c>
      <c r="L5">
        <f>'Stats G2'!K7</f>
        <v>2</v>
      </c>
      <c r="M5">
        <f>'Stats G2'!N7</f>
        <v>6</v>
      </c>
      <c r="N5">
        <f>'Stats G2'!Q7</f>
        <v>5</v>
      </c>
      <c r="O5">
        <f>'Stats G2'!T7</f>
        <v>0</v>
      </c>
    </row>
    <row r="6" spans="2:15" x14ac:dyDescent="0.2">
      <c r="F6" t="str">
        <f>'Stats G2'!A8</f>
        <v>Jaxon</v>
      </c>
      <c r="G6" t="str">
        <f>'Stats G2'!B8</f>
        <v>Brenchley</v>
      </c>
      <c r="H6">
        <f>'Stats G2'!C8</f>
        <v>5</v>
      </c>
      <c r="I6">
        <f>'Stats G2'!E8</f>
        <v>0</v>
      </c>
      <c r="J6">
        <f>'Stats G2'!H8</f>
        <v>0</v>
      </c>
      <c r="K6">
        <f t="shared" si="0"/>
        <v>0</v>
      </c>
      <c r="L6">
        <f>'Stats G2'!K8</f>
        <v>0</v>
      </c>
      <c r="M6">
        <f>'Stats G2'!N8</f>
        <v>0</v>
      </c>
      <c r="N6">
        <f>'Stats G2'!Q8</f>
        <v>0</v>
      </c>
      <c r="O6">
        <f>'Stats G2'!T8</f>
        <v>0</v>
      </c>
    </row>
    <row r="7" spans="2:15" x14ac:dyDescent="0.2">
      <c r="F7" t="str">
        <f>'Stats G2'!A9</f>
        <v>Jay</v>
      </c>
      <c r="G7" t="str">
        <f>'Stats G2'!B9</f>
        <v>Payne</v>
      </c>
      <c r="H7">
        <f>'Stats G2'!C9</f>
        <v>10</v>
      </c>
      <c r="I7">
        <f>'Stats G2'!E9</f>
        <v>0</v>
      </c>
      <c r="J7">
        <f>'Stats G2'!H9</f>
        <v>0</v>
      </c>
      <c r="K7">
        <f t="shared" si="0"/>
        <v>0</v>
      </c>
      <c r="L7">
        <f>'Stats G2'!K9</f>
        <v>0</v>
      </c>
      <c r="M7">
        <f>'Stats G2'!N9</f>
        <v>0</v>
      </c>
      <c r="N7">
        <f>'Stats G2'!Q9</f>
        <v>0</v>
      </c>
      <c r="O7">
        <f>'Stats G2'!T9</f>
        <v>0</v>
      </c>
    </row>
    <row r="8" spans="2:15" x14ac:dyDescent="0.2">
      <c r="F8" t="str">
        <f>'Stats G2'!A10</f>
        <v>Jaden</v>
      </c>
      <c r="G8" t="str">
        <f>'Stats G2'!B10</f>
        <v>Vaughn</v>
      </c>
      <c r="H8">
        <f>'Stats G2'!C10</f>
        <v>11</v>
      </c>
      <c r="I8">
        <f>'Stats G2'!E10</f>
        <v>2</v>
      </c>
      <c r="J8">
        <f>'Stats G2'!H10</f>
        <v>6</v>
      </c>
      <c r="K8">
        <f t="shared" si="0"/>
        <v>8</v>
      </c>
      <c r="L8">
        <f>'Stats G2'!K10</f>
        <v>0</v>
      </c>
      <c r="M8">
        <f>'Stats G2'!N10</f>
        <v>3</v>
      </c>
      <c r="N8">
        <f>'Stats G2'!Q10</f>
        <v>3</v>
      </c>
      <c r="O8">
        <f>'Stats G2'!T10</f>
        <v>0</v>
      </c>
    </row>
    <row r="9" spans="2:15" x14ac:dyDescent="0.2">
      <c r="F9" t="str">
        <f>'Stats G2'!A11</f>
        <v>Dason</v>
      </c>
      <c r="G9" t="str">
        <f>'Stats G2'!B11</f>
        <v>Youngblood</v>
      </c>
      <c r="H9">
        <f>'Stats G2'!C11</f>
        <v>14</v>
      </c>
      <c r="I9">
        <f>'Stats G2'!E11</f>
        <v>0</v>
      </c>
      <c r="J9">
        <f>'Stats G2'!H11</f>
        <v>0</v>
      </c>
      <c r="K9">
        <f t="shared" si="0"/>
        <v>0</v>
      </c>
      <c r="L9">
        <f>'Stats G2'!K11</f>
        <v>0</v>
      </c>
      <c r="M9">
        <f>'Stats G2'!N11</f>
        <v>0</v>
      </c>
      <c r="N9">
        <f>'Stats G2'!Q11</f>
        <v>0</v>
      </c>
      <c r="O9">
        <f>'Stats G2'!T11</f>
        <v>0</v>
      </c>
    </row>
    <row r="10" spans="2:15" x14ac:dyDescent="0.2">
      <c r="F10" t="str">
        <f>'Stats G2'!A12</f>
        <v>Hunter</v>
      </c>
      <c r="G10" t="str">
        <f>'Stats G2'!B12</f>
        <v>Clarke</v>
      </c>
      <c r="H10">
        <f>'Stats G2'!C12</f>
        <v>15</v>
      </c>
      <c r="I10">
        <f>'Stats G2'!E12</f>
        <v>0</v>
      </c>
      <c r="J10">
        <f>'Stats G2'!H12</f>
        <v>0</v>
      </c>
      <c r="K10">
        <f t="shared" si="0"/>
        <v>0</v>
      </c>
      <c r="L10">
        <f>'Stats G2'!K12</f>
        <v>0</v>
      </c>
      <c r="M10">
        <f>'Stats G2'!N12</f>
        <v>0</v>
      </c>
      <c r="N10">
        <f>'Stats G2'!Q12</f>
        <v>0</v>
      </c>
      <c r="O10">
        <f>'Stats G2'!T12</f>
        <v>0</v>
      </c>
    </row>
    <row r="11" spans="2:15" x14ac:dyDescent="0.2">
      <c r="F11" t="str">
        <f>'Stats G2'!A13</f>
        <v>Trevin</v>
      </c>
      <c r="G11" t="str">
        <f>'Stats G2'!B13</f>
        <v>Knell</v>
      </c>
      <c r="H11">
        <f>'Stats G2'!C13</f>
        <v>21</v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G2'!K13</f>
        <v>0</v>
      </c>
      <c r="M11">
        <f>'Stats G2'!N13</f>
        <v>0</v>
      </c>
      <c r="N11">
        <f>'Stats G2'!Q13</f>
        <v>0</v>
      </c>
      <c r="O11">
        <f>'Stats G2'!T13</f>
        <v>0</v>
      </c>
    </row>
    <row r="12" spans="2:15" x14ac:dyDescent="0.2">
      <c r="F12" t="str">
        <f>'Stats G2'!A14</f>
        <v>Hank</v>
      </c>
      <c r="G12" t="str">
        <f>'Stats G2'!B14</f>
        <v>Bushell</v>
      </c>
      <c r="H12">
        <f>'Stats G2'!C14</f>
        <v>23</v>
      </c>
      <c r="I12">
        <f>'Stats G2'!E14</f>
        <v>0</v>
      </c>
      <c r="J12">
        <f>'Stats G2'!H14</f>
        <v>0</v>
      </c>
      <c r="K12">
        <f t="shared" si="0"/>
        <v>0</v>
      </c>
      <c r="L12">
        <f>'Stats G2'!K14</f>
        <v>0</v>
      </c>
      <c r="M12">
        <f>'Stats G2'!N14</f>
        <v>0</v>
      </c>
      <c r="N12">
        <f>'Stats G2'!Q14</f>
        <v>0</v>
      </c>
      <c r="O12">
        <f>'Stats G2'!T14</f>
        <v>0</v>
      </c>
    </row>
    <row r="13" spans="2:15" x14ac:dyDescent="0.2">
      <c r="F13" t="str">
        <f>'Stats G2'!A15</f>
        <v>Keon</v>
      </c>
      <c r="G13" t="str">
        <f>'Stats G2'!B15</f>
        <v>Burgout</v>
      </c>
      <c r="H13">
        <f>'Stats G2'!C15</f>
        <v>24</v>
      </c>
      <c r="I13">
        <f>'Stats G2'!E15</f>
        <v>0</v>
      </c>
      <c r="J13">
        <f>'Stats G2'!H15</f>
        <v>7</v>
      </c>
      <c r="K13">
        <f t="shared" si="0"/>
        <v>7</v>
      </c>
      <c r="L13">
        <f>'Stats G2'!K15</f>
        <v>1</v>
      </c>
      <c r="M13">
        <f>'Stats G2'!N15</f>
        <v>0</v>
      </c>
      <c r="N13">
        <f>'Stats G2'!Q15</f>
        <v>5</v>
      </c>
      <c r="O13">
        <f>'Stats G2'!T15</f>
        <v>0</v>
      </c>
    </row>
    <row r="14" spans="2:15" x14ac:dyDescent="0.2">
      <c r="F14" t="str">
        <f>'Stats G2'!A16</f>
        <v>Kaleb</v>
      </c>
      <c r="G14" t="str">
        <f>'Stats G2'!B16</f>
        <v>Wilborn</v>
      </c>
      <c r="H14">
        <f>'Stats G2'!C16</f>
        <v>25</v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</f>
        <v>0</v>
      </c>
      <c r="M14">
        <f>'Stats G2'!N16</f>
        <v>0</v>
      </c>
      <c r="N14">
        <f>'Stats G2'!Q16</f>
        <v>0</v>
      </c>
      <c r="O14">
        <f>'Stats G2'!T16</f>
        <v>0</v>
      </c>
    </row>
    <row r="15" spans="2:15" x14ac:dyDescent="0.2">
      <c r="F15" t="str">
        <f>'Stats G2'!A17</f>
        <v>Riley</v>
      </c>
      <c r="G15" t="str">
        <f>'Stats G2'!B17</f>
        <v>Demps</v>
      </c>
      <c r="H15">
        <f>'Stats G2'!C17</f>
        <v>30</v>
      </c>
      <c r="I15">
        <f>'Stats G2'!E17</f>
        <v>6</v>
      </c>
      <c r="J15">
        <f>'Stats G2'!H17</f>
        <v>5</v>
      </c>
      <c r="K15">
        <f t="shared" si="0"/>
        <v>11</v>
      </c>
      <c r="L15">
        <f>'Stats G2'!K17</f>
        <v>1</v>
      </c>
      <c r="M15">
        <f>'Stats G2'!N17</f>
        <v>0</v>
      </c>
      <c r="N15">
        <f>'Stats G2'!Q17</f>
        <v>4</v>
      </c>
      <c r="O15">
        <f>'Stats G2'!T17</f>
        <v>0</v>
      </c>
    </row>
    <row r="16" spans="2:15" x14ac:dyDescent="0.2">
      <c r="F16" t="str">
        <f>'Stats G2'!A18</f>
        <v>Zach</v>
      </c>
      <c r="G16" t="str">
        <f>'Stats G2'!B18</f>
        <v>Mogbo</v>
      </c>
      <c r="H16">
        <f>'Stats G2'!C18</f>
        <v>4</v>
      </c>
      <c r="I16">
        <f>'Stats G2'!E18</f>
        <v>2</v>
      </c>
      <c r="J16">
        <f>'Stats G2'!H18</f>
        <v>1</v>
      </c>
      <c r="K16">
        <f t="shared" si="0"/>
        <v>3</v>
      </c>
      <c r="L16">
        <f>'Stats G2'!K18</f>
        <v>0</v>
      </c>
      <c r="M16">
        <f>'Stats G2'!N18</f>
        <v>0</v>
      </c>
      <c r="N16">
        <f>'Stats G2'!Q18</f>
        <v>0</v>
      </c>
      <c r="O16">
        <f>'Stats G2'!T18</f>
        <v>0</v>
      </c>
    </row>
    <row r="17" spans="6:15" x14ac:dyDescent="0.2">
      <c r="F17" t="str">
        <f>'Stats G2'!A19</f>
        <v>Marcus</v>
      </c>
      <c r="G17" t="str">
        <f>'Stats G2'!B19</f>
        <v>Draney</v>
      </c>
      <c r="H17">
        <f>'Stats G2'!C19</f>
        <v>4</v>
      </c>
      <c r="I17">
        <f>'Stats G2'!E19</f>
        <v>0</v>
      </c>
      <c r="J17">
        <f>'Stats G2'!H19</f>
        <v>1</v>
      </c>
      <c r="K17">
        <f t="shared" si="0"/>
        <v>1</v>
      </c>
      <c r="L17">
        <f>'Stats G2'!K19</f>
        <v>0</v>
      </c>
      <c r="M17">
        <f>'Stats G2'!N19</f>
        <v>0</v>
      </c>
      <c r="N17">
        <f>'Stats G2'!Q19</f>
        <v>0</v>
      </c>
      <c r="O17">
        <f>'Stats G2'!T19</f>
        <v>0</v>
      </c>
    </row>
    <row r="18" spans="6:15" x14ac:dyDescent="0.2">
      <c r="H18" s="2" t="s">
        <v>5</v>
      </c>
      <c r="I18">
        <f t="shared" ref="I18:O18" si="1">SUM(I3:I17)</f>
        <v>13</v>
      </c>
      <c r="J18">
        <f t="shared" si="1"/>
        <v>29</v>
      </c>
      <c r="K18">
        <f t="shared" si="1"/>
        <v>42</v>
      </c>
      <c r="L18">
        <f t="shared" si="1"/>
        <v>4</v>
      </c>
      <c r="M18">
        <f t="shared" si="1"/>
        <v>9</v>
      </c>
      <c r="N18">
        <f t="shared" si="1"/>
        <v>18</v>
      </c>
      <c r="O18">
        <f t="shared" si="1"/>
        <v>0</v>
      </c>
    </row>
    <row r="20" spans="6:15" x14ac:dyDescent="0.2">
      <c r="F20" t="s">
        <v>4</v>
      </c>
      <c r="G20" t="str">
        <f>'Stats G2'!B21</f>
        <v>Drisdom</v>
      </c>
    </row>
    <row r="21" spans="6:15" x14ac:dyDescent="0.2">
      <c r="F21" t="s">
        <v>1</v>
      </c>
      <c r="G21" t="s">
        <v>2</v>
      </c>
      <c r="H21" t="s">
        <v>0</v>
      </c>
      <c r="I21" t="s">
        <v>244</v>
      </c>
      <c r="J21" t="s">
        <v>245</v>
      </c>
      <c r="K21" t="s">
        <v>246</v>
      </c>
      <c r="L21" t="s">
        <v>243</v>
      </c>
      <c r="M21" t="s">
        <v>268</v>
      </c>
      <c r="N21" t="s">
        <v>269</v>
      </c>
      <c r="O21" t="s">
        <v>270</v>
      </c>
    </row>
    <row r="22" spans="6:15" x14ac:dyDescent="0.2">
      <c r="F22" t="str">
        <f>'Stats G2'!A23</f>
        <v>Terrence</v>
      </c>
      <c r="G22" t="str">
        <f>'Stats G2'!B23</f>
        <v>Drisdom</v>
      </c>
      <c r="H22">
        <f>'Stats G2'!C23</f>
        <v>0</v>
      </c>
      <c r="I22">
        <f>'Stats G2'!E23</f>
        <v>7</v>
      </c>
      <c r="J22">
        <f>'Stats G2'!H23</f>
        <v>4</v>
      </c>
      <c r="K22">
        <f>J22+I22</f>
        <v>11</v>
      </c>
      <c r="L22">
        <f>'Stats G2'!K23</f>
        <v>1</v>
      </c>
      <c r="M22">
        <f>'Stats G2'!N23</f>
        <v>0</v>
      </c>
      <c r="N22">
        <f>'Stats G2'!Q23</f>
        <v>4</v>
      </c>
      <c r="O22">
        <f>'Stats G2'!T23</f>
        <v>0</v>
      </c>
    </row>
    <row r="23" spans="6:15" x14ac:dyDescent="0.2">
      <c r="F23" t="str">
        <f>'Stats G2'!A24</f>
        <v>Shaun</v>
      </c>
      <c r="G23" t="str">
        <f>'Stats G2'!B24</f>
        <v>Green</v>
      </c>
      <c r="H23">
        <f>'Stats G2'!C24</f>
        <v>1</v>
      </c>
      <c r="I23">
        <f>'Stats G2'!E24</f>
        <v>4</v>
      </c>
      <c r="J23">
        <f>'Stats G2'!H24</f>
        <v>2</v>
      </c>
      <c r="K23">
        <f t="shared" ref="K23:K36" si="2">J23+I23</f>
        <v>6</v>
      </c>
      <c r="L23">
        <f>'Stats G2'!K24</f>
        <v>0</v>
      </c>
      <c r="M23">
        <f>'Stats G2'!N24</f>
        <v>0</v>
      </c>
      <c r="N23">
        <f>'Stats G2'!Q24</f>
        <v>1</v>
      </c>
      <c r="O23">
        <f>'Stats G2'!T24</f>
        <v>0</v>
      </c>
    </row>
    <row r="24" spans="6:15" x14ac:dyDescent="0.2">
      <c r="F24" t="str">
        <f>'Stats G2'!A25</f>
        <v>Dwayne</v>
      </c>
      <c r="G24" t="str">
        <f>'Stats G2'!B25</f>
        <v>Brown</v>
      </c>
      <c r="H24">
        <f>'Stats G2'!C25</f>
        <v>2</v>
      </c>
      <c r="I24">
        <f>'Stats G2'!E25</f>
        <v>5</v>
      </c>
      <c r="J24">
        <f>'Stats G2'!H25</f>
        <v>3</v>
      </c>
      <c r="K24">
        <f t="shared" si="2"/>
        <v>8</v>
      </c>
      <c r="L24">
        <f>'Stats G2'!K25</f>
        <v>1</v>
      </c>
      <c r="M24">
        <f>'Stats G2'!N25</f>
        <v>0</v>
      </c>
      <c r="N24">
        <f>'Stats G2'!Q25</f>
        <v>2</v>
      </c>
      <c r="O24">
        <f>'Stats G2'!T25</f>
        <v>1</v>
      </c>
    </row>
    <row r="25" spans="6:15" x14ac:dyDescent="0.2">
      <c r="F25" t="str">
        <f>'Stats G2'!A26</f>
        <v>Tre</v>
      </c>
      <c r="G25" t="str">
        <f>'Stats G2'!B26</f>
        <v>Smith</v>
      </c>
      <c r="H25">
        <f>'Stats G2'!C26</f>
        <v>3</v>
      </c>
      <c r="I25">
        <f>'Stats G2'!E26</f>
        <v>1</v>
      </c>
      <c r="J25">
        <f>'Stats G2'!H26</f>
        <v>2</v>
      </c>
      <c r="K25">
        <f t="shared" si="2"/>
        <v>3</v>
      </c>
      <c r="L25">
        <f>'Stats G2'!K26</f>
        <v>0</v>
      </c>
      <c r="M25">
        <f>'Stats G2'!N26</f>
        <v>1</v>
      </c>
      <c r="N25">
        <f>'Stats G2'!Q26</f>
        <v>3</v>
      </c>
      <c r="O25">
        <f>'Stats G2'!T26</f>
        <v>0</v>
      </c>
    </row>
    <row r="26" spans="6:15" x14ac:dyDescent="0.2">
      <c r="F26" t="str">
        <f>'Stats G2'!A27</f>
        <v>Brekkott</v>
      </c>
      <c r="G26" t="str">
        <f>'Stats G2'!B27</f>
        <v>Chapman</v>
      </c>
      <c r="H26">
        <f>'Stats G2'!C27</f>
        <v>6</v>
      </c>
      <c r="I26">
        <f>'Stats G2'!E27</f>
        <v>0</v>
      </c>
      <c r="J26">
        <f>'Stats G2'!H27</f>
        <v>0</v>
      </c>
      <c r="K26">
        <f t="shared" si="2"/>
        <v>0</v>
      </c>
      <c r="L26">
        <f>'Stats G2'!K27</f>
        <v>0</v>
      </c>
      <c r="M26">
        <f>'Stats G2'!N27</f>
        <v>0</v>
      </c>
      <c r="N26">
        <f>'Stats G2'!Q27</f>
        <v>0</v>
      </c>
      <c r="O26">
        <f>'Stats G2'!T27</f>
        <v>0</v>
      </c>
    </row>
    <row r="27" spans="6:15" x14ac:dyDescent="0.2">
      <c r="F27" t="str">
        <f>'Stats G2'!A28</f>
        <v>Ronnie</v>
      </c>
      <c r="G27" t="str">
        <f>'Stats G2'!B28</f>
        <v>Price</v>
      </c>
      <c r="H27">
        <f>'Stats G2'!C28</f>
        <v>7</v>
      </c>
      <c r="I27">
        <f>'Stats G2'!E28</f>
        <v>0</v>
      </c>
      <c r="J27">
        <f>'Stats G2'!H28</f>
        <v>0</v>
      </c>
      <c r="K27">
        <f t="shared" si="2"/>
        <v>0</v>
      </c>
      <c r="L27">
        <f>'Stats G2'!K28</f>
        <v>0</v>
      </c>
      <c r="M27">
        <f>'Stats G2'!N28</f>
        <v>0</v>
      </c>
      <c r="N27">
        <f>'Stats G2'!Q28</f>
        <v>0</v>
      </c>
      <c r="O27">
        <f>'Stats G2'!T28</f>
        <v>0</v>
      </c>
    </row>
    <row r="28" spans="6:15" x14ac:dyDescent="0.2">
      <c r="F28" t="str">
        <f>'Stats G2'!A29</f>
        <v>Isaiah</v>
      </c>
      <c r="G28" t="str">
        <f>'Stats G2'!B29</f>
        <v>Wright</v>
      </c>
      <c r="H28">
        <f>'Stats G2'!C29</f>
        <v>8</v>
      </c>
      <c r="I28">
        <f>'Stats G2'!E29</f>
        <v>0</v>
      </c>
      <c r="J28">
        <f>'Stats G2'!H29</f>
        <v>0</v>
      </c>
      <c r="K28">
        <f t="shared" si="2"/>
        <v>0</v>
      </c>
      <c r="L28">
        <f>'Stats G2'!K29</f>
        <v>0</v>
      </c>
      <c r="M28">
        <f>'Stats G2'!N29</f>
        <v>0</v>
      </c>
      <c r="N28">
        <f>'Stats G2'!Q29</f>
        <v>0</v>
      </c>
      <c r="O28">
        <f>'Stats G2'!T29</f>
        <v>0</v>
      </c>
    </row>
    <row r="29" spans="6:15" x14ac:dyDescent="0.2">
      <c r="F29" t="str">
        <f>'Stats G2'!A30</f>
        <v>Tim</v>
      </c>
      <c r="G29" t="str">
        <f>'Stats G2'!B30</f>
        <v>Drisdom</v>
      </c>
      <c r="H29">
        <f>'Stats G2'!C30</f>
        <v>11</v>
      </c>
      <c r="I29">
        <f>'Stats G2'!E30</f>
        <v>1</v>
      </c>
      <c r="J29">
        <f>'Stats G2'!H30</f>
        <v>2</v>
      </c>
      <c r="K29">
        <f t="shared" si="2"/>
        <v>3</v>
      </c>
      <c r="L29">
        <f>'Stats G2'!K30</f>
        <v>1</v>
      </c>
      <c r="M29">
        <f>'Stats G2'!N30</f>
        <v>0</v>
      </c>
      <c r="N29">
        <f>'Stats G2'!Q30</f>
        <v>3</v>
      </c>
      <c r="O29">
        <f>'Stats G2'!T30</f>
        <v>0</v>
      </c>
    </row>
    <row r="30" spans="6:15" x14ac:dyDescent="0.2">
      <c r="F30" t="str">
        <f>'Stats G2'!A31</f>
        <v>Dakarai</v>
      </c>
      <c r="G30" t="str">
        <f>'Stats G2'!B31</f>
        <v>Tucker</v>
      </c>
      <c r="H30">
        <f>'Stats G2'!C31</f>
        <v>14</v>
      </c>
      <c r="I30">
        <f>'Stats G2'!E31</f>
        <v>1</v>
      </c>
      <c r="J30">
        <f>'Stats G2'!H31</f>
        <v>3</v>
      </c>
      <c r="K30">
        <f t="shared" si="2"/>
        <v>4</v>
      </c>
      <c r="L30">
        <f>'Stats G2'!K31</f>
        <v>1</v>
      </c>
      <c r="M30">
        <f>'Stats G2'!N31</f>
        <v>1</v>
      </c>
      <c r="N30">
        <f>'Stats G2'!Q31</f>
        <v>1</v>
      </c>
      <c r="O30">
        <f>'Stats G2'!T31</f>
        <v>2</v>
      </c>
    </row>
    <row r="31" spans="6:15" x14ac:dyDescent="0.2">
      <c r="F31" t="str">
        <f>'Stats G2'!A32</f>
        <v>AJ</v>
      </c>
      <c r="G31" t="str">
        <f>'Stats G2'!B32</f>
        <v>Hodges</v>
      </c>
      <c r="H31">
        <f>'Stats G2'!C32</f>
        <v>15</v>
      </c>
      <c r="I31">
        <f>'Stats G2'!E32</f>
        <v>4</v>
      </c>
      <c r="J31">
        <f>'Stats G2'!H32</f>
        <v>1</v>
      </c>
      <c r="K31">
        <f t="shared" si="2"/>
        <v>5</v>
      </c>
      <c r="L31">
        <f>'Stats G2'!K32</f>
        <v>1</v>
      </c>
      <c r="M31">
        <f>'Stats G2'!N32</f>
        <v>0</v>
      </c>
      <c r="N31">
        <f>'Stats G2'!Q32</f>
        <v>0</v>
      </c>
      <c r="O31">
        <f>'Stats G2'!T32</f>
        <v>0</v>
      </c>
    </row>
    <row r="32" spans="6:15" x14ac:dyDescent="0.2">
      <c r="F32" t="str">
        <f>'Stats G2'!A33</f>
        <v>Makol</v>
      </c>
      <c r="G32" t="str">
        <f>'Stats G2'!B33</f>
        <v>Mawien</v>
      </c>
      <c r="H32">
        <f>'Stats G2'!C33</f>
        <v>34</v>
      </c>
      <c r="I32">
        <f>'Stats G2'!E33</f>
        <v>0</v>
      </c>
      <c r="J32">
        <f>'Stats G2'!H33</f>
        <v>0</v>
      </c>
      <c r="K32">
        <f t="shared" si="2"/>
        <v>0</v>
      </c>
      <c r="L32">
        <f>'Stats G2'!K33</f>
        <v>0</v>
      </c>
      <c r="M32">
        <f>'Stats G2'!N33</f>
        <v>0</v>
      </c>
      <c r="N32">
        <f>'Stats G2'!Q33</f>
        <v>0</v>
      </c>
      <c r="O32">
        <f>'Stats G2'!T33</f>
        <v>0</v>
      </c>
    </row>
    <row r="33" spans="6:15" x14ac:dyDescent="0.2">
      <c r="F33" t="str">
        <f>'Stats G2'!A34</f>
        <v>Corbin</v>
      </c>
      <c r="G33" t="str">
        <f>'Stats G2'!B34</f>
        <v>Green</v>
      </c>
      <c r="H33">
        <f>'Stats G2'!C34</f>
        <v>98</v>
      </c>
      <c r="I33">
        <f>'Stats G2'!E34</f>
        <v>0</v>
      </c>
      <c r="J33">
        <f>'Stats G2'!H34</f>
        <v>4</v>
      </c>
      <c r="K33">
        <f t="shared" si="2"/>
        <v>4</v>
      </c>
      <c r="L33">
        <f>'Stats G2'!K34</f>
        <v>1</v>
      </c>
      <c r="M33">
        <f>'Stats G2'!N34</f>
        <v>1</v>
      </c>
      <c r="N33">
        <f>'Stats G2'!Q34</f>
        <v>2</v>
      </c>
      <c r="O33">
        <f>'Stats G2'!T34</f>
        <v>1</v>
      </c>
    </row>
    <row r="34" spans="6:15" x14ac:dyDescent="0.2">
      <c r="F34" t="str">
        <f>'Stats G2'!A35</f>
        <v>Isaiah</v>
      </c>
      <c r="G34" t="str">
        <f>'Stats G2'!B35</f>
        <v>Wright</v>
      </c>
      <c r="H34">
        <f>'Stats G2'!C35</f>
        <v>12</v>
      </c>
      <c r="I34">
        <f>'Stats G2'!E35</f>
        <v>2</v>
      </c>
      <c r="J34">
        <f>'Stats G2'!H35</f>
        <v>8</v>
      </c>
      <c r="K34">
        <f t="shared" si="2"/>
        <v>10</v>
      </c>
      <c r="L34">
        <f>'Stats G2'!K35</f>
        <v>1</v>
      </c>
      <c r="M34">
        <f>'Stats G2'!N35</f>
        <v>1</v>
      </c>
      <c r="N34">
        <f>'Stats G2'!Q35</f>
        <v>6</v>
      </c>
      <c r="O34">
        <f>'Stats G2'!T35</f>
        <v>1</v>
      </c>
    </row>
    <row r="35" spans="6:15" x14ac:dyDescent="0.2">
      <c r="F35" t="str">
        <f>'Stats G2'!A36</f>
        <v>Collin</v>
      </c>
      <c r="G35" t="str">
        <f>'Stats G2'!B36</f>
        <v>Chandler</v>
      </c>
      <c r="H35">
        <f>'Stats G2'!C36</f>
        <v>20</v>
      </c>
      <c r="I35">
        <f>'Stats G2'!E36</f>
        <v>2</v>
      </c>
      <c r="J35">
        <f>'Stats G2'!H36</f>
        <v>5</v>
      </c>
      <c r="K35">
        <f t="shared" si="2"/>
        <v>7</v>
      </c>
      <c r="L35">
        <f>'Stats G2'!K36</f>
        <v>0</v>
      </c>
      <c r="M35">
        <f>'Stats G2'!N36</f>
        <v>2</v>
      </c>
      <c r="N35">
        <f>'Stats G2'!Q36</f>
        <v>7</v>
      </c>
      <c r="O35">
        <f>'Stats G2'!T36</f>
        <v>0</v>
      </c>
    </row>
    <row r="36" spans="6:15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2"/>
        <v>0</v>
      </c>
      <c r="L36">
        <f>'Stats G2'!K37</f>
        <v>0</v>
      </c>
      <c r="M36">
        <f>'Stats G2'!N37</f>
        <v>0</v>
      </c>
      <c r="N36">
        <f>'Stats G2'!Q37</f>
        <v>0</v>
      </c>
      <c r="O36">
        <f>'Stats G2'!T37</f>
        <v>0</v>
      </c>
    </row>
    <row r="37" spans="6:15" x14ac:dyDescent="0.2">
      <c r="H37" s="2" t="s">
        <v>5</v>
      </c>
      <c r="I37">
        <f t="shared" ref="I37:O37" si="3">SUM(I22:I36)</f>
        <v>27</v>
      </c>
      <c r="J37">
        <f t="shared" si="3"/>
        <v>34</v>
      </c>
      <c r="K37">
        <f t="shared" si="3"/>
        <v>61</v>
      </c>
      <c r="L37">
        <f t="shared" si="3"/>
        <v>7</v>
      </c>
      <c r="M37">
        <f t="shared" si="3"/>
        <v>6</v>
      </c>
      <c r="N37">
        <f t="shared" si="3"/>
        <v>29</v>
      </c>
      <c r="O37">
        <f t="shared" si="3"/>
        <v>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abSelected="1" topLeftCell="A6" workbookViewId="0">
      <selection activeCell="H21" sqref="H2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13</v>
      </c>
    </row>
    <row r="4" spans="1:21" x14ac:dyDescent="0.2">
      <c r="A4" t="s">
        <v>1</v>
      </c>
      <c r="B4" t="s">
        <v>2</v>
      </c>
      <c r="C4" t="s">
        <v>0</v>
      </c>
      <c r="E4" t="s">
        <v>244</v>
      </c>
      <c r="H4" t="s">
        <v>245</v>
      </c>
      <c r="K4" t="s">
        <v>243</v>
      </c>
      <c r="N4" t="s">
        <v>268</v>
      </c>
      <c r="Q4" t="s">
        <v>269</v>
      </c>
      <c r="T4" t="s">
        <v>270</v>
      </c>
    </row>
    <row r="5" spans="1:21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OShea</v>
      </c>
      <c r="C5" s="5">
        <f>_xlfn.IFNA(VLOOKUP($B$3&amp;ROWS($C$5:C5),Rosters!$B$2:$E$162,4,0),"")</f>
        <v>0</v>
      </c>
      <c r="D5" s="5"/>
      <c r="E5" s="5">
        <v>1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1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2</v>
      </c>
      <c r="F7" s="5"/>
      <c r="G7" s="5"/>
      <c r="H7" s="5">
        <v>8</v>
      </c>
      <c r="I7" s="5"/>
      <c r="J7" s="5"/>
      <c r="K7" s="5">
        <v>2</v>
      </c>
      <c r="L7" s="5"/>
      <c r="M7" s="5"/>
      <c r="N7" s="5">
        <v>6</v>
      </c>
      <c r="O7" s="5"/>
      <c r="P7" s="5"/>
      <c r="Q7" s="5">
        <v>5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Jay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2</v>
      </c>
      <c r="H10" s="6">
        <v>6</v>
      </c>
      <c r="K10" s="6">
        <v>0</v>
      </c>
      <c r="N10" s="6">
        <v>3</v>
      </c>
      <c r="Q10" s="6">
        <v>3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0</v>
      </c>
      <c r="F15" s="5"/>
      <c r="G15" s="5"/>
      <c r="H15" s="5">
        <v>7</v>
      </c>
      <c r="I15" s="5"/>
      <c r="J15" s="5"/>
      <c r="K15" s="5">
        <v>1</v>
      </c>
      <c r="L15" s="5"/>
      <c r="M15" s="5"/>
      <c r="N15" s="5">
        <v>0</v>
      </c>
      <c r="O15" s="5"/>
      <c r="P15" s="5"/>
      <c r="Q15" s="5">
        <v>5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201</v>
      </c>
      <c r="B17" s="5" t="s">
        <v>272</v>
      </c>
      <c r="C17" s="5">
        <v>30</v>
      </c>
      <c r="D17" s="5"/>
      <c r="E17" s="5">
        <v>6</v>
      </c>
      <c r="F17" s="5"/>
      <c r="G17" s="5"/>
      <c r="H17" s="5">
        <v>5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4</v>
      </c>
      <c r="R17" s="5"/>
      <c r="S17" s="5"/>
      <c r="T17" s="5">
        <v>0</v>
      </c>
      <c r="U17" s="5"/>
    </row>
    <row r="18" spans="1:21" s="6" customFormat="1" x14ac:dyDescent="0.2">
      <c r="A18" s="6" t="s">
        <v>87</v>
      </c>
      <c r="B18" s="6" t="s">
        <v>172</v>
      </c>
      <c r="C18" s="6">
        <v>4</v>
      </c>
      <c r="E18" s="6">
        <v>2</v>
      </c>
      <c r="H18" s="6">
        <v>1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">
        <v>182</v>
      </c>
      <c r="B19" s="5" t="s">
        <v>16</v>
      </c>
      <c r="C19" s="5">
        <v>4</v>
      </c>
      <c r="D19" s="5"/>
      <c r="E19" s="5">
        <v>0</v>
      </c>
      <c r="F19" s="5"/>
      <c r="G19" s="5"/>
      <c r="H19" s="5">
        <v>1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13</v>
      </c>
      <c r="H20">
        <f>SUM(H5:H19)</f>
        <v>29</v>
      </c>
      <c r="K20">
        <f>SUM(K5:K19)</f>
        <v>4</v>
      </c>
      <c r="N20">
        <f>SUM(N5:N19)</f>
        <v>9</v>
      </c>
      <c r="Q20">
        <f>SUM(Q5:Q19)</f>
        <v>18</v>
      </c>
      <c r="T20">
        <f>SUM(T5:T19)</f>
        <v>0</v>
      </c>
    </row>
    <row r="21" spans="1:21" x14ac:dyDescent="0.2">
      <c r="A21" s="2" t="s">
        <v>8</v>
      </c>
      <c r="B21" s="1" t="s">
        <v>17</v>
      </c>
    </row>
    <row r="22" spans="1:21" x14ac:dyDescent="0.2">
      <c r="A22" t="s">
        <v>1</v>
      </c>
      <c r="B22" t="s">
        <v>2</v>
      </c>
      <c r="C22" t="s">
        <v>0</v>
      </c>
      <c r="E22" t="s">
        <v>244</v>
      </c>
      <c r="H22" t="s">
        <v>245</v>
      </c>
      <c r="K22" t="s">
        <v>243</v>
      </c>
      <c r="N22" t="s">
        <v>268</v>
      </c>
      <c r="Q22" t="s">
        <v>269</v>
      </c>
      <c r="T22" t="s">
        <v>270</v>
      </c>
    </row>
    <row r="23" spans="1:21" s="6" customFormat="1" x14ac:dyDescent="0.2">
      <c r="A23" s="5" t="str">
        <f>_xlfn.IFNA(VLOOKUP($B$21&amp;ROWS($A$23:A23),Rosters!$B$2:$C$162,2,0),"?")</f>
        <v>Terrence</v>
      </c>
      <c r="B23" s="5" t="str">
        <f>_xlfn.IFNA(VLOOKUP($B$21&amp;ROWS($B$23:B23),Rosters!$B$2:$D$162,3,0),"?")</f>
        <v>Drisdom</v>
      </c>
      <c r="C23" s="5">
        <f>_xlfn.IFNA(VLOOKUP($B$21&amp;ROWS($C$23:C23),Rosters!$B$2:$E$162,4,0),"")</f>
        <v>0</v>
      </c>
      <c r="D23" s="5"/>
      <c r="E23" s="5">
        <v>7</v>
      </c>
      <c r="F23" s="5"/>
      <c r="G23" s="5"/>
      <c r="H23" s="5">
        <v>4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4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Shaun</v>
      </c>
      <c r="B24" s="6" t="str">
        <f>_xlfn.IFNA(VLOOKUP($B$21&amp;ROWS($B$23:B24),Rosters!$B$2:$D$162,3,0),"?")</f>
        <v>Green</v>
      </c>
      <c r="C24" s="6">
        <f>_xlfn.IFNA(VLOOKUP($B$21&amp;ROWS($C$23:C24),Rosters!$B$2:$E$162,4,0),"")</f>
        <v>1</v>
      </c>
      <c r="E24" s="6">
        <v>4</v>
      </c>
      <c r="H24" s="6">
        <v>2</v>
      </c>
      <c r="K24" s="6">
        <v>0</v>
      </c>
      <c r="N24" s="6">
        <v>0</v>
      </c>
      <c r="Q24" s="6">
        <v>1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Dwayne</v>
      </c>
      <c r="B25" s="5" t="str">
        <f>_xlfn.IFNA(VLOOKUP($B$21&amp;ROWS($B$23:B25),Rosters!$B$2:$D$162,3,0),"?")</f>
        <v>Brown</v>
      </c>
      <c r="C25" s="5">
        <f>_xlfn.IFNA(VLOOKUP($B$21&amp;ROWS($C$23:C25),Rosters!$B$2:$E$162,4,0),"")</f>
        <v>2</v>
      </c>
      <c r="D25" s="5"/>
      <c r="E25" s="5">
        <v>5</v>
      </c>
      <c r="F25" s="5"/>
      <c r="G25" s="5"/>
      <c r="H25" s="5">
        <v>3</v>
      </c>
      <c r="I25" s="5"/>
      <c r="J25" s="5"/>
      <c r="K25" s="5">
        <v>1</v>
      </c>
      <c r="L25" s="5"/>
      <c r="M25" s="5"/>
      <c r="N25" s="5">
        <v>0</v>
      </c>
      <c r="O25" s="5"/>
      <c r="P25" s="5"/>
      <c r="Q25" s="5">
        <v>2</v>
      </c>
      <c r="R25" s="5"/>
      <c r="S25" s="5"/>
      <c r="T25" s="5">
        <v>1</v>
      </c>
      <c r="U25" s="5"/>
    </row>
    <row r="26" spans="1:21" s="6" customFormat="1" x14ac:dyDescent="0.2">
      <c r="A26" s="6" t="str">
        <f>_xlfn.IFNA(VLOOKUP($B$21&amp;ROWS($A$23:A26),Rosters!$B$2:$C$162,2,0),"?")</f>
        <v>Tre</v>
      </c>
      <c r="B26" s="6" t="str">
        <f>_xlfn.IFNA(VLOOKUP($B$21&amp;ROWS($B$23:B26),Rosters!$B$2:$D$162,3,0),"?")</f>
        <v>Smith</v>
      </c>
      <c r="C26" s="6">
        <f>_xlfn.IFNA(VLOOKUP($B$21&amp;ROWS($C$23:C26),Rosters!$B$2:$E$162,4,0),"")</f>
        <v>3</v>
      </c>
      <c r="E26" s="6">
        <v>1</v>
      </c>
      <c r="H26" s="6">
        <v>2</v>
      </c>
      <c r="K26" s="6">
        <v>0</v>
      </c>
      <c r="N26" s="6">
        <v>1</v>
      </c>
      <c r="Q26" s="6">
        <v>3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Brekkott</v>
      </c>
      <c r="B27" s="5" t="str">
        <f>_xlfn.IFNA(VLOOKUP($B$21&amp;ROWS($B$23:B27),Rosters!$B$2:$D$162,3,0),"?")</f>
        <v>Chapman</v>
      </c>
      <c r="C27" s="5">
        <f>_xlfn.IFNA(VLOOKUP($B$21&amp;ROWS($C$23:C27),Rosters!$B$2:$E$162,4,0),"")</f>
        <v>6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Ronnie</v>
      </c>
      <c r="B28" s="6" t="str">
        <f>_xlfn.IFNA(VLOOKUP($B$21&amp;ROWS($B$23:B28),Rosters!$B$2:$D$162,3,0),"?")</f>
        <v>Price</v>
      </c>
      <c r="C28" s="6">
        <f>_xlfn.IFNA(VLOOKUP($B$21&amp;ROWS($C$23:C28),Rosters!$B$2:$E$162,4,0),"")</f>
        <v>7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Isaiah</v>
      </c>
      <c r="B29" s="5" t="str">
        <f>_xlfn.IFNA(VLOOKUP($B$21&amp;ROWS($B$23:B29),Rosters!$B$2:$D$162,3,0),"?")</f>
        <v>Wright</v>
      </c>
      <c r="C29" s="5">
        <f>_xlfn.IFNA(VLOOKUP($B$21&amp;ROWS($C$23:C29),Rosters!$B$2:$E$162,4,0),"")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Tim</v>
      </c>
      <c r="B30" s="6" t="str">
        <f>_xlfn.IFNA(VLOOKUP($B$21&amp;ROWS($B$23:B30),Rosters!$B$2:$D$162,3,0),"?")</f>
        <v>Drisdom</v>
      </c>
      <c r="C30" s="6">
        <f>_xlfn.IFNA(VLOOKUP($B$21&amp;ROWS($C$23:C30),Rosters!$B$2:$E$162,4,0),"")</f>
        <v>11</v>
      </c>
      <c r="E30" s="6">
        <v>1</v>
      </c>
      <c r="H30" s="6">
        <v>2</v>
      </c>
      <c r="K30" s="6">
        <v>1</v>
      </c>
      <c r="N30" s="6">
        <v>0</v>
      </c>
      <c r="Q30" s="6">
        <v>3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Dakarai</v>
      </c>
      <c r="B31" s="5" t="str">
        <f>_xlfn.IFNA(VLOOKUP($B$21&amp;ROWS($B$23:B31),Rosters!$B$2:$D$162,3,0),"?")</f>
        <v>Tucker</v>
      </c>
      <c r="C31" s="5">
        <f>_xlfn.IFNA(VLOOKUP($B$21&amp;ROWS($C$23:C31),Rosters!$B$2:$E$162,4,0),"")</f>
        <v>14</v>
      </c>
      <c r="D31" s="5"/>
      <c r="E31" s="5">
        <v>1</v>
      </c>
      <c r="F31" s="5"/>
      <c r="G31" s="5"/>
      <c r="H31" s="5">
        <v>3</v>
      </c>
      <c r="I31" s="5"/>
      <c r="J31" s="5"/>
      <c r="K31" s="5">
        <v>1</v>
      </c>
      <c r="L31" s="5"/>
      <c r="M31" s="5"/>
      <c r="N31" s="5">
        <v>1</v>
      </c>
      <c r="O31" s="5"/>
      <c r="P31" s="5"/>
      <c r="Q31" s="5">
        <v>1</v>
      </c>
      <c r="R31" s="5"/>
      <c r="S31" s="5"/>
      <c r="T31" s="5">
        <v>2</v>
      </c>
      <c r="U31" s="5"/>
    </row>
    <row r="32" spans="1:21" s="6" customFormat="1" x14ac:dyDescent="0.2">
      <c r="A32" s="6" t="str">
        <f>_xlfn.IFNA(VLOOKUP($B$21&amp;ROWS($A$23:A32),Rosters!$B$2:$C$162,2,0),"?")</f>
        <v>AJ</v>
      </c>
      <c r="B32" s="6" t="str">
        <f>_xlfn.IFNA(VLOOKUP($B$21&amp;ROWS($B$23:B32),Rosters!$B$2:$D$162,3,0),"?")</f>
        <v>Hodges</v>
      </c>
      <c r="C32" s="6">
        <f>_xlfn.IFNA(VLOOKUP($B$21&amp;ROWS($C$23:C32),Rosters!$B$2:$E$162,4,0),"")</f>
        <v>15</v>
      </c>
      <c r="E32" s="6">
        <v>4</v>
      </c>
      <c r="H32" s="6">
        <v>1</v>
      </c>
      <c r="K32" s="6">
        <v>1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Makol</v>
      </c>
      <c r="B33" s="5" t="str">
        <f>_xlfn.IFNA(VLOOKUP($B$21&amp;ROWS($B$23:B33),Rosters!$B$2:$D$162,3,0),"?")</f>
        <v>Mawien</v>
      </c>
      <c r="C33" s="5">
        <f>_xlfn.IFNA(VLOOKUP($B$21&amp;ROWS($C$23:C33),Rosters!$B$2:$E$162,4,0),"")</f>
        <v>34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Corbin</v>
      </c>
      <c r="B34" s="6" t="str">
        <f>_xlfn.IFNA(VLOOKUP($B$21&amp;ROWS($B$23:B34),Rosters!$B$2:$D$162,3,0),"?")</f>
        <v>Green</v>
      </c>
      <c r="C34" s="6">
        <f>_xlfn.IFNA(VLOOKUP($B$21&amp;ROWS($C$23:C34),Rosters!$B$2:$E$162,4,0),"")</f>
        <v>98</v>
      </c>
      <c r="D34"/>
      <c r="E34" s="6">
        <v>0</v>
      </c>
      <c r="F34"/>
      <c r="G34"/>
      <c r="H34" s="6">
        <v>4</v>
      </c>
      <c r="I34"/>
      <c r="J34"/>
      <c r="K34" s="6">
        <v>1</v>
      </c>
      <c r="L34"/>
      <c r="M34"/>
      <c r="N34" s="6">
        <v>1</v>
      </c>
      <c r="O34"/>
      <c r="P34"/>
      <c r="Q34" s="6">
        <v>2</v>
      </c>
      <c r="R34"/>
      <c r="S34"/>
      <c r="T34" s="6">
        <v>1</v>
      </c>
      <c r="U34"/>
    </row>
    <row r="35" spans="1:21" s="6" customFormat="1" x14ac:dyDescent="0.2">
      <c r="A35" s="5" t="s">
        <v>252</v>
      </c>
      <c r="B35" s="5" t="s">
        <v>33</v>
      </c>
      <c r="C35" s="5">
        <v>12</v>
      </c>
      <c r="D35" s="5"/>
      <c r="E35" s="5">
        <v>2</v>
      </c>
      <c r="F35" s="5"/>
      <c r="G35" s="5"/>
      <c r="H35" s="5">
        <v>8</v>
      </c>
      <c r="I35" s="5"/>
      <c r="J35" s="5"/>
      <c r="K35" s="5">
        <v>1</v>
      </c>
      <c r="L35" s="5"/>
      <c r="M35" s="5"/>
      <c r="N35" s="5">
        <v>1</v>
      </c>
      <c r="O35" s="5"/>
      <c r="P35" s="5"/>
      <c r="Q35" s="5">
        <v>6</v>
      </c>
      <c r="R35" s="5"/>
      <c r="S35" s="5"/>
      <c r="T35" s="5">
        <v>1</v>
      </c>
      <c r="U35" s="5"/>
    </row>
    <row r="36" spans="1:21" s="6" customFormat="1" x14ac:dyDescent="0.2">
      <c r="A36" s="6" t="s">
        <v>271</v>
      </c>
      <c r="B36" s="6" t="s">
        <v>173</v>
      </c>
      <c r="C36" s="6">
        <v>20</v>
      </c>
      <c r="D36"/>
      <c r="E36" s="6">
        <v>2</v>
      </c>
      <c r="F36"/>
      <c r="G36"/>
      <c r="H36" s="6">
        <v>5</v>
      </c>
      <c r="I36"/>
      <c r="J36"/>
      <c r="K36" s="6">
        <v>0</v>
      </c>
      <c r="L36"/>
      <c r="M36"/>
      <c r="N36" s="6">
        <v>2</v>
      </c>
      <c r="O36"/>
      <c r="P36"/>
      <c r="Q36" s="6">
        <v>7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27</v>
      </c>
      <c r="H38">
        <f>SUM(H23:H37)</f>
        <v>34</v>
      </c>
      <c r="K38">
        <f>SUM(K23:K37)</f>
        <v>7</v>
      </c>
      <c r="N38">
        <f>SUM(N23:N37)</f>
        <v>6</v>
      </c>
      <c r="Q38">
        <f>SUM(Q23:Q37)</f>
        <v>29</v>
      </c>
      <c r="T38">
        <f>SUM(T23:T37)</f>
        <v>5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267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250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266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251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252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249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253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254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255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256</v>
      </c>
      <c r="D50" t="s">
        <v>257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258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259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260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248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261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262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263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263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263</v>
      </c>
      <c r="B143" t="str">
        <f>A143&amp;COUNTIF($A$2:$A143,A143)</f>
        <v>Guest3</v>
      </c>
      <c r="C143" t="s">
        <v>264</v>
      </c>
      <c r="D143" t="s">
        <v>239</v>
      </c>
      <c r="E143">
        <v>19</v>
      </c>
    </row>
    <row r="144" spans="1:5" x14ac:dyDescent="0.2">
      <c r="A144" t="s">
        <v>263</v>
      </c>
      <c r="B144" t="str">
        <f>A144&amp;COUNTIF($A$2:$A144,A144)</f>
        <v>Guest4</v>
      </c>
      <c r="C144" t="s">
        <v>241</v>
      </c>
      <c r="D144" t="s">
        <v>265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2021-08-21T22:33:16Z</dcterms:modified>
</cp:coreProperties>
</file>