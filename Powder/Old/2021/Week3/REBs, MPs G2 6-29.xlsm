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B08D8838-2A6F-0F4B-84AE-A7531D23D346}" xr6:coauthVersionLast="47" xr6:coauthVersionMax="47" xr10:uidLastSave="{00000000-0000-0000-0000-000000000000}"/>
  <bookViews>
    <workbookView xWindow="0" yWindow="500" windowWidth="24420" windowHeight="15340" xr2:uid="{EE0D2CFE-D8D2-0843-8E19-49493B39F60E}"/>
  </bookViews>
  <sheets>
    <sheet name="G2 Box Score" sheetId="2" r:id="rId1"/>
    <sheet name="Stats G2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18" i="2" l="1"/>
  <c r="G20" i="2" l="1"/>
  <c r="D2" i="2" s="1"/>
  <c r="G1" i="2"/>
  <c r="B2" i="2" s="1"/>
  <c r="I23" i="2"/>
  <c r="J23" i="2"/>
  <c r="K23" i="2" s="1"/>
  <c r="I24" i="2"/>
  <c r="J24" i="2"/>
  <c r="I25" i="2"/>
  <c r="J25" i="2"/>
  <c r="I26" i="2"/>
  <c r="J26" i="2"/>
  <c r="I27" i="2"/>
  <c r="J27" i="2"/>
  <c r="K27" i="2" s="1"/>
  <c r="I28" i="2"/>
  <c r="J28" i="2"/>
  <c r="I29" i="2"/>
  <c r="J29" i="2"/>
  <c r="I30" i="2"/>
  <c r="J30" i="2"/>
  <c r="I31" i="2"/>
  <c r="J31" i="2"/>
  <c r="K31" i="2" s="1"/>
  <c r="I32" i="2"/>
  <c r="J32" i="2"/>
  <c r="I33" i="2"/>
  <c r="J33" i="2"/>
  <c r="I34" i="2"/>
  <c r="J34" i="2"/>
  <c r="I35" i="2"/>
  <c r="J35" i="2"/>
  <c r="K35" i="2" s="1"/>
  <c r="I36" i="2"/>
  <c r="J36" i="2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K15" i="2" s="1"/>
  <c r="J16" i="2"/>
  <c r="J17" i="2"/>
  <c r="J3" i="2"/>
  <c r="I4" i="2"/>
  <c r="K4" i="2" s="1"/>
  <c r="I5" i="2"/>
  <c r="I6" i="2"/>
  <c r="I7" i="2"/>
  <c r="I8" i="2"/>
  <c r="I9" i="2"/>
  <c r="I10" i="2"/>
  <c r="I11" i="2"/>
  <c r="I12" i="2"/>
  <c r="K12" i="2" s="1"/>
  <c r="I13" i="2"/>
  <c r="I14" i="2"/>
  <c r="I15" i="2"/>
  <c r="I16" i="2"/>
  <c r="I17" i="2"/>
  <c r="I3" i="2"/>
  <c r="T38" i="1"/>
  <c r="Q38" i="1"/>
  <c r="N38" i="1"/>
  <c r="K38" i="1"/>
  <c r="L37" i="2" s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7" i="2" l="1"/>
  <c r="K30" i="2"/>
  <c r="K3" i="2"/>
  <c r="K6" i="2"/>
  <c r="K14" i="2"/>
  <c r="K10" i="2"/>
  <c r="K11" i="2"/>
  <c r="K33" i="2"/>
  <c r="K29" i="2"/>
  <c r="K25" i="2"/>
  <c r="K32" i="2"/>
  <c r="K24" i="2"/>
  <c r="K22" i="2"/>
  <c r="K17" i="2"/>
  <c r="K9" i="2"/>
  <c r="K36" i="2"/>
  <c r="K28" i="2"/>
  <c r="K16" i="2"/>
  <c r="K8" i="2"/>
  <c r="K13" i="2"/>
  <c r="K5" i="2"/>
  <c r="K34" i="2"/>
  <c r="K26" i="2"/>
  <c r="J37" i="2"/>
  <c r="I37" i="2"/>
  <c r="I18" i="2"/>
  <c r="J18" i="2"/>
  <c r="H3" i="2"/>
  <c r="G3" i="2"/>
  <c r="F3" i="2"/>
  <c r="K18" i="2" l="1"/>
  <c r="B3" i="2" s="1"/>
  <c r="K37" i="2"/>
  <c r="D3" i="2" s="1"/>
</calcChain>
</file>

<file path=xl/sharedStrings.xml><?xml version="1.0" encoding="utf-8"?>
<sst xmlns="http://schemas.openxmlformats.org/spreadsheetml/2006/main" count="108" uniqueCount="73">
  <si>
    <t>#</t>
  </si>
  <si>
    <t>First</t>
  </si>
  <si>
    <t>Last</t>
  </si>
  <si>
    <t>?</t>
  </si>
  <si>
    <t>Home Team (Gray)</t>
  </si>
  <si>
    <t>OREB</t>
  </si>
  <si>
    <t>DREB</t>
  </si>
  <si>
    <t>TREB</t>
  </si>
  <si>
    <t>Away Team (Black)</t>
  </si>
  <si>
    <t>Total:</t>
  </si>
  <si>
    <t>-</t>
  </si>
  <si>
    <t>Gray Team</t>
  </si>
  <si>
    <t>Black Team</t>
  </si>
  <si>
    <t>GAME 2 REBs</t>
  </si>
  <si>
    <t>Select Team Name</t>
  </si>
  <si>
    <t>Arok</t>
  </si>
  <si>
    <t>Berger</t>
  </si>
  <si>
    <t>Clarke</t>
  </si>
  <si>
    <t>Covington</t>
  </si>
  <si>
    <t>Dastrop</t>
  </si>
  <si>
    <t>Draney</t>
  </si>
  <si>
    <t>Drisdom</t>
  </si>
  <si>
    <t>Egan</t>
  </si>
  <si>
    <t>Humphries</t>
  </si>
  <si>
    <t>Joyce</t>
  </si>
  <si>
    <t>Roberts</t>
  </si>
  <si>
    <t>Dom</t>
  </si>
  <si>
    <t>Phillip</t>
  </si>
  <si>
    <t>Dillon</t>
  </si>
  <si>
    <t>Jones</t>
  </si>
  <si>
    <t>Mark</t>
  </si>
  <si>
    <t>Burton</t>
  </si>
  <si>
    <t>Cole</t>
  </si>
  <si>
    <t>Kadoguchi</t>
  </si>
  <si>
    <t>Deng</t>
  </si>
  <si>
    <t>Mayar</t>
  </si>
  <si>
    <t>Zach</t>
  </si>
  <si>
    <t>Cassita</t>
  </si>
  <si>
    <t>Zeus</t>
  </si>
  <si>
    <t>Martinez</t>
  </si>
  <si>
    <t>Gerad</t>
  </si>
  <si>
    <t>David</t>
  </si>
  <si>
    <t>Steven</t>
  </si>
  <si>
    <t>Adeyemi</t>
  </si>
  <si>
    <t>Lual</t>
  </si>
  <si>
    <t>Neema</t>
  </si>
  <si>
    <t>Namdar</t>
  </si>
  <si>
    <t>Sam</t>
  </si>
  <si>
    <t>Velez</t>
  </si>
  <si>
    <t>Tyus</t>
  </si>
  <si>
    <t>Jefferson</t>
  </si>
  <si>
    <t>Trey</t>
  </si>
  <si>
    <t>Kennedy</t>
  </si>
  <si>
    <t>Will</t>
  </si>
  <si>
    <t>Jael</t>
  </si>
  <si>
    <t>Vaughn</t>
  </si>
  <si>
    <t>Fardaws</t>
  </si>
  <si>
    <t>Aimaq</t>
  </si>
  <si>
    <t>Yoeli</t>
  </si>
  <si>
    <t>Childs</t>
  </si>
  <si>
    <t>Nicholas</t>
  </si>
  <si>
    <t>Paulos</t>
  </si>
  <si>
    <t>Zac</t>
  </si>
  <si>
    <t>Seljaas</t>
  </si>
  <si>
    <t>Both</t>
  </si>
  <si>
    <t>Gach</t>
  </si>
  <si>
    <t>Royce</t>
  </si>
  <si>
    <t>O'Neal</t>
  </si>
  <si>
    <t>black</t>
  </si>
  <si>
    <t>Trigga</t>
  </si>
  <si>
    <t>Trei</t>
  </si>
  <si>
    <t>MP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</si>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</sst>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164" fontId="0" fillId="0" borderId="0" xfId="0" applyNumberForma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REBs%20G2%206: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2" workbookViewId="0">
      <selection activeCell="K33" sqref="K3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13</v>
      </c>
      <c r="F1" t="s">
        <v>4</v>
      </c>
      <c r="G1" t="str">
        <f>'Stats G2'!B3</f>
        <v>Joyce</v>
      </c>
    </row>
    <row r="2" spans="2:12" x14ac:dyDescent="0.2">
      <c r="B2" t="str">
        <f>G1</f>
        <v>Joyce</v>
      </c>
      <c r="D2" t="str">
        <f>G20</f>
        <v>Arok</v>
      </c>
      <c r="F2" t="s">
        <v>1</v>
      </c>
      <c r="G2" t="s">
        <v>2</v>
      </c>
      <c r="H2" t="s">
        <v>0</v>
      </c>
      <c r="I2" t="s">
        <v>5</v>
      </c>
      <c r="J2" t="s">
        <v>6</v>
      </c>
      <c r="K2" t="s">
        <v>7</v>
      </c>
      <c r="L2" t="s">
        <v>71</v>
      </c>
    </row>
    <row r="3" spans="2:12" x14ac:dyDescent="0.2">
      <c r="B3">
        <f>K18</f>
        <v>64</v>
      </c>
      <c r="C3" s="3" t="s">
        <v>10</v>
      </c>
      <c r="D3" s="4">
        <f>K37</f>
        <v>51</v>
      </c>
      <c r="F3" t="str">
        <f>'Stats G2'!A5</f>
        <v>Neema</v>
      </c>
      <c r="G3" t="str">
        <f>'Stats G2'!B5</f>
        <v>Namdar</v>
      </c>
      <c r="H3">
        <f>'Stats G2'!C5</f>
        <v>0</v>
      </c>
      <c r="I3">
        <f>'Stats G2'!E5</f>
        <v>1</v>
      </c>
      <c r="J3">
        <f>'Stats G2'!H5</f>
        <v>1</v>
      </c>
      <c r="K3">
        <f>J3+I3</f>
        <v>2</v>
      </c>
      <c r="L3" s="7">
        <f>'Stats G2'!K5/60</f>
        <v>17.55</v>
      </c>
    </row>
    <row r="4" spans="2:12" x14ac:dyDescent="0.2">
      <c r="F4" t="str">
        <f>'Stats G2'!A6</f>
        <v>Sam</v>
      </c>
      <c r="G4" t="str">
        <f>'Stats G2'!B6</f>
        <v>Velez</v>
      </c>
      <c r="H4">
        <f>'Stats G2'!C6</f>
        <v>1</v>
      </c>
      <c r="I4">
        <f>'Stats G2'!E6</f>
        <v>0</v>
      </c>
      <c r="J4">
        <f>'Stats G2'!H6</f>
        <v>0</v>
      </c>
      <c r="K4">
        <f t="shared" ref="K4:K17" si="0">J4+I4</f>
        <v>0</v>
      </c>
      <c r="L4" s="7">
        <f>'Stats G2'!K6/60</f>
        <v>0</v>
      </c>
    </row>
    <row r="5" spans="2:12" x14ac:dyDescent="0.2">
      <c r="F5" t="str">
        <f>'Stats G2'!A7</f>
        <v>Tyus</v>
      </c>
      <c r="G5" t="str">
        <f>'Stats G2'!B7</f>
        <v>Jefferson</v>
      </c>
      <c r="H5">
        <f>'Stats G2'!C7</f>
        <v>3</v>
      </c>
      <c r="I5">
        <f>'Stats G2'!E7</f>
        <v>0</v>
      </c>
      <c r="J5">
        <f>'Stats G2'!H7</f>
        <v>6</v>
      </c>
      <c r="K5">
        <f t="shared" si="0"/>
        <v>6</v>
      </c>
      <c r="L5" s="7">
        <f>'Stats G2'!K7/60</f>
        <v>24.85</v>
      </c>
    </row>
    <row r="6" spans="2:12" x14ac:dyDescent="0.2">
      <c r="F6" t="str">
        <f>'Stats G2'!A8</f>
        <v>Trey</v>
      </c>
      <c r="G6" t="str">
        <f>'Stats G2'!B8</f>
        <v>Kennedy</v>
      </c>
      <c r="H6">
        <f>'Stats G2'!C8</f>
        <v>10</v>
      </c>
      <c r="I6">
        <f>'Stats G2'!E8</f>
        <v>0</v>
      </c>
      <c r="J6">
        <f>'Stats G2'!H8</f>
        <v>0</v>
      </c>
      <c r="K6">
        <f t="shared" si="0"/>
        <v>0</v>
      </c>
      <c r="L6" s="7">
        <f>'Stats G2'!K8/60</f>
        <v>0</v>
      </c>
    </row>
    <row r="7" spans="2:12" x14ac:dyDescent="0.2">
      <c r="F7" t="str">
        <f>'Stats G2'!A9</f>
        <v>Will</v>
      </c>
      <c r="G7" t="str">
        <f>'Stats G2'!B9</f>
        <v>Joyce</v>
      </c>
      <c r="H7">
        <f>'Stats G2'!C9</f>
        <v>11</v>
      </c>
      <c r="I7">
        <f>'Stats G2'!E9</f>
        <v>4</v>
      </c>
      <c r="J7">
        <f>'Stats G2'!H9</f>
        <v>1</v>
      </c>
      <c r="K7">
        <f t="shared" si="0"/>
        <v>5</v>
      </c>
      <c r="L7" s="7">
        <f>'Stats G2'!K9/60</f>
        <v>9.35</v>
      </c>
    </row>
    <row r="8" spans="2:12" x14ac:dyDescent="0.2">
      <c r="F8" t="str">
        <f>'Stats G2'!A10</f>
        <v>Jael</v>
      </c>
      <c r="G8" t="str">
        <f>'Stats G2'!B10</f>
        <v>Vaughn</v>
      </c>
      <c r="H8">
        <f>'Stats G2'!C10</f>
        <v>12</v>
      </c>
      <c r="I8">
        <f>'Stats G2'!E10</f>
        <v>0</v>
      </c>
      <c r="J8">
        <f>'Stats G2'!H10</f>
        <v>4</v>
      </c>
      <c r="K8">
        <f t="shared" si="0"/>
        <v>4</v>
      </c>
      <c r="L8" s="7">
        <f>'Stats G2'!K10/60</f>
        <v>24.8</v>
      </c>
    </row>
    <row r="9" spans="2:12" x14ac:dyDescent="0.2">
      <c r="F9" t="str">
        <f>'Stats G2'!A11</f>
        <v>Fardaws</v>
      </c>
      <c r="G9" t="str">
        <f>'Stats G2'!B11</f>
        <v>Aimaq</v>
      </c>
      <c r="H9">
        <f>'Stats G2'!C11</f>
        <v>21</v>
      </c>
      <c r="I9">
        <f>'Stats G2'!E11</f>
        <v>6</v>
      </c>
      <c r="J9">
        <f>'Stats G2'!H11</f>
        <v>7</v>
      </c>
      <c r="K9">
        <f t="shared" si="0"/>
        <v>13</v>
      </c>
      <c r="L9" s="7">
        <f>'Stats G2'!K11/60</f>
        <v>30.4</v>
      </c>
    </row>
    <row r="10" spans="2:12" x14ac:dyDescent="0.2">
      <c r="F10" t="str">
        <f>'Stats G2'!A12</f>
        <v>Yoeli</v>
      </c>
      <c r="G10" t="str">
        <f>'Stats G2'!B12</f>
        <v>Childs</v>
      </c>
      <c r="H10">
        <f>'Stats G2'!C12</f>
        <v>22</v>
      </c>
      <c r="I10">
        <f>'Stats G2'!E12</f>
        <v>7</v>
      </c>
      <c r="J10">
        <f>'Stats G2'!H12</f>
        <v>9</v>
      </c>
      <c r="K10">
        <f t="shared" si="0"/>
        <v>16</v>
      </c>
      <c r="L10" s="7">
        <f>'Stats G2'!K12/60</f>
        <v>33.266666666666666</v>
      </c>
    </row>
    <row r="11" spans="2:12" x14ac:dyDescent="0.2">
      <c r="F11" t="str">
        <f>'Stats G2'!A13</f>
        <v>Royce</v>
      </c>
      <c r="G11" t="str">
        <f>'Stats G2'!B13</f>
        <v>O'Neal</v>
      </c>
      <c r="H11">
        <f>'Stats G2'!C13</f>
        <v>23</v>
      </c>
      <c r="I11">
        <f>'Stats G2'!E13</f>
        <v>2</v>
      </c>
      <c r="J11">
        <f>'Stats G2'!H13</f>
        <v>6</v>
      </c>
      <c r="K11">
        <f t="shared" si="0"/>
        <v>8</v>
      </c>
      <c r="L11" s="7">
        <f>'Stats G2'!K13/60</f>
        <v>20</v>
      </c>
    </row>
    <row r="12" spans="2:12" x14ac:dyDescent="0.2">
      <c r="F12" t="str">
        <f>'Stats G2'!A14</f>
        <v>Nicholas</v>
      </c>
      <c r="G12" t="str">
        <f>'Stats G2'!B14</f>
        <v>Paulos</v>
      </c>
      <c r="H12">
        <f>'Stats G2'!C14</f>
        <v>31</v>
      </c>
      <c r="I12">
        <f>'Stats G2'!E14</f>
        <v>1</v>
      </c>
      <c r="J12">
        <f>'Stats G2'!H14</f>
        <v>1</v>
      </c>
      <c r="K12">
        <f t="shared" si="0"/>
        <v>2</v>
      </c>
      <c r="L12" s="7">
        <f>'Stats G2'!K14/60</f>
        <v>15.166666666666666</v>
      </c>
    </row>
    <row r="13" spans="2:12" x14ac:dyDescent="0.2">
      <c r="F13" t="str">
        <f>'Stats G2'!A15</f>
        <v>Zac</v>
      </c>
      <c r="G13" t="str">
        <f>'Stats G2'!B15</f>
        <v>Seljaas</v>
      </c>
      <c r="H13">
        <f>'Stats G2'!C15</f>
        <v>99</v>
      </c>
      <c r="I13">
        <f>'Stats G2'!E15</f>
        <v>1</v>
      </c>
      <c r="J13">
        <f>'Stats G2'!H15</f>
        <v>7</v>
      </c>
      <c r="K13">
        <f t="shared" si="0"/>
        <v>8</v>
      </c>
      <c r="L13" s="7">
        <f>'Stats G2'!K15/60</f>
        <v>20.55</v>
      </c>
    </row>
    <row r="14" spans="2:12" x14ac:dyDescent="0.2">
      <c r="F14" t="str">
        <f>'Stats G2'!A16</f>
        <v>?</v>
      </c>
      <c r="G14" t="str">
        <f>'Stats G2'!B16</f>
        <v>black</v>
      </c>
      <c r="H14">
        <f>'Stats G2'!C16</f>
        <v>22</v>
      </c>
      <c r="I14">
        <f>'Stats G2'!E16</f>
        <v>0</v>
      </c>
      <c r="J14">
        <f>'Stats G2'!H16</f>
        <v>0</v>
      </c>
      <c r="K14">
        <f t="shared" si="0"/>
        <v>0</v>
      </c>
      <c r="L14" s="7">
        <f>'Stats G2'!K16/60</f>
        <v>4.0666666666666664</v>
      </c>
    </row>
    <row r="15" spans="2:12" x14ac:dyDescent="0.2">
      <c r="F15" t="str">
        <f>'Stats G2'!A17</f>
        <v>?</v>
      </c>
      <c r="G15" t="str">
        <f>'Stats G2'!B17</f>
        <v>?</v>
      </c>
      <c r="H15">
        <f>'Stats G2'!C17</f>
        <v>0</v>
      </c>
      <c r="I15">
        <f>'Stats G2'!E17</f>
        <v>0</v>
      </c>
      <c r="J15">
        <f>'Stats G2'!H17</f>
        <v>0</v>
      </c>
      <c r="K15">
        <f t="shared" si="0"/>
        <v>0</v>
      </c>
      <c r="L15" s="7">
        <f>'Stats G2'!K17/60</f>
        <v>0</v>
      </c>
    </row>
    <row r="16" spans="2:12" x14ac:dyDescent="0.2">
      <c r="F16" t="str">
        <f>'Stats G2'!A18</f>
        <v>?</v>
      </c>
      <c r="G16" t="str">
        <f>'Stats G2'!B18</f>
        <v>?</v>
      </c>
      <c r="H16">
        <f>'Stats G2'!C18</f>
        <v>0</v>
      </c>
      <c r="I16">
        <f>'Stats G2'!E18</f>
        <v>0</v>
      </c>
      <c r="J16">
        <f>'Stats G2'!H18</f>
        <v>0</v>
      </c>
      <c r="K16">
        <f t="shared" si="0"/>
        <v>0</v>
      </c>
      <c r="L16" s="7">
        <f>'Stats G2'!K18/60</f>
        <v>0</v>
      </c>
    </row>
    <row r="17" spans="6:12" x14ac:dyDescent="0.2">
      <c r="F17" t="str">
        <f>'Stats G2'!A19</f>
        <v>?</v>
      </c>
      <c r="G17" t="str">
        <f>'Stats G2'!B19</f>
        <v>?</v>
      </c>
      <c r="H17">
        <f>'Stats G2'!C19</f>
        <v>0</v>
      </c>
      <c r="I17">
        <f>'Stats G2'!E19</f>
        <v>0</v>
      </c>
      <c r="J17">
        <f>'Stats G2'!H19</f>
        <v>0</v>
      </c>
      <c r="K17">
        <f t="shared" si="0"/>
        <v>0</v>
      </c>
      <c r="L17" s="7">
        <f>'Stats G2'!K19/60</f>
        <v>0</v>
      </c>
    </row>
    <row r="18" spans="6:12" x14ac:dyDescent="0.2">
      <c r="H18" s="2" t="s">
        <v>9</v>
      </c>
      <c r="I18">
        <f>SUM(I3:I17)</f>
        <v>22</v>
      </c>
      <c r="J18">
        <f>SUM(J3:J17)</f>
        <v>42</v>
      </c>
      <c r="K18">
        <f>SUM(K3:K17)</f>
        <v>64</v>
      </c>
      <c r="L18">
        <f>SUM(L3:L17)</f>
        <v>200.00000000000003</v>
      </c>
    </row>
    <row r="20" spans="6:12" x14ac:dyDescent="0.2">
      <c r="F20" t="s">
        <v>8</v>
      </c>
      <c r="G20" t="str">
        <f>'Stats G2'!B21</f>
        <v>Arok</v>
      </c>
    </row>
    <row r="21" spans="6:12" x14ac:dyDescent="0.2">
      <c r="F21" t="s">
        <v>1</v>
      </c>
      <c r="G21" t="s">
        <v>2</v>
      </c>
      <c r="H21" t="s">
        <v>0</v>
      </c>
      <c r="I21" t="s">
        <v>5</v>
      </c>
      <c r="J21" t="s">
        <v>6</v>
      </c>
      <c r="K21" t="s">
        <v>7</v>
      </c>
      <c r="L21" t="s">
        <v>71</v>
      </c>
    </row>
    <row r="22" spans="6:12" x14ac:dyDescent="0.2">
      <c r="F22" t="str">
        <f>'Stats G2'!A23</f>
        <v>Dillon</v>
      </c>
      <c r="G22" t="str">
        <f>'Stats G2'!B23</f>
        <v>Jones</v>
      </c>
      <c r="H22">
        <f>'Stats G2'!C23</f>
        <v>1</v>
      </c>
      <c r="I22">
        <f>'Stats G2'!E23</f>
        <v>0</v>
      </c>
      <c r="J22">
        <f>'Stats G2'!H23</f>
        <v>0</v>
      </c>
      <c r="K22">
        <f t="shared" ref="K22:K36" si="1">J22+I22</f>
        <v>0</v>
      </c>
      <c r="L22" s="7">
        <f>'Stats G2'!K23/60</f>
        <v>0</v>
      </c>
    </row>
    <row r="23" spans="6:12" x14ac:dyDescent="0.2">
      <c r="F23" t="str">
        <f>'Stats G2'!A24</f>
        <v>Mark</v>
      </c>
      <c r="G23" t="str">
        <f>'Stats G2'!B24</f>
        <v>Burton</v>
      </c>
      <c r="H23">
        <f>'Stats G2'!C24</f>
        <v>3</v>
      </c>
      <c r="I23">
        <f>'Stats G2'!E24</f>
        <v>0</v>
      </c>
      <c r="J23">
        <f>'Stats G2'!H24</f>
        <v>2</v>
      </c>
      <c r="K23">
        <f t="shared" si="1"/>
        <v>2</v>
      </c>
      <c r="L23" s="7">
        <f>'Stats G2'!K24/60</f>
        <v>31.383333333333333</v>
      </c>
    </row>
    <row r="24" spans="6:12" x14ac:dyDescent="0.2">
      <c r="F24" t="str">
        <f>'Stats G2'!A25</f>
        <v>Cole</v>
      </c>
      <c r="G24" t="str">
        <f>'Stats G2'!B25</f>
        <v>Kadoguchi</v>
      </c>
      <c r="H24">
        <f>'Stats G2'!C25</f>
        <v>4</v>
      </c>
      <c r="I24">
        <f>'Stats G2'!E25</f>
        <v>1</v>
      </c>
      <c r="J24">
        <f>'Stats G2'!H25</f>
        <v>3</v>
      </c>
      <c r="K24">
        <f t="shared" si="1"/>
        <v>4</v>
      </c>
      <c r="L24" s="7">
        <f>'Stats G2'!K25/60</f>
        <v>21.283333333333335</v>
      </c>
    </row>
    <row r="25" spans="6:12" x14ac:dyDescent="0.2">
      <c r="F25" t="str">
        <f>'Stats G2'!A26</f>
        <v>Deng</v>
      </c>
      <c r="G25" t="str">
        <f>'Stats G2'!B26</f>
        <v>Mayar</v>
      </c>
      <c r="H25">
        <f>'Stats G2'!C26</f>
        <v>5</v>
      </c>
      <c r="I25">
        <f>'Stats G2'!E26</f>
        <v>3</v>
      </c>
      <c r="J25">
        <f>'Stats G2'!H26</f>
        <v>3</v>
      </c>
      <c r="K25">
        <f t="shared" si="1"/>
        <v>6</v>
      </c>
      <c r="L25" s="7">
        <f>'Stats G2'!K26/60</f>
        <v>29.966666666666665</v>
      </c>
    </row>
    <row r="26" spans="6:12" x14ac:dyDescent="0.2">
      <c r="F26" t="str">
        <f>'Stats G2'!A27</f>
        <v>Zach</v>
      </c>
      <c r="G26" t="str">
        <f>'Stats G2'!B27</f>
        <v>Cassita</v>
      </c>
      <c r="H26">
        <f>'Stats G2'!C27</f>
        <v>6</v>
      </c>
      <c r="I26">
        <f>'Stats G2'!E27</f>
        <v>1</v>
      </c>
      <c r="J26">
        <f>'Stats G2'!H27</f>
        <v>4</v>
      </c>
      <c r="K26">
        <f t="shared" si="1"/>
        <v>5</v>
      </c>
      <c r="L26" s="7">
        <f>'Stats G2'!K27/60</f>
        <v>25.85</v>
      </c>
    </row>
    <row r="27" spans="6:12" x14ac:dyDescent="0.2">
      <c r="F27" t="str">
        <f>'Stats G2'!A28</f>
        <v>Zeus</v>
      </c>
      <c r="G27" t="str">
        <f>'Stats G2'!B28</f>
        <v>Martinez</v>
      </c>
      <c r="H27">
        <f>'Stats G2'!C28</f>
        <v>7</v>
      </c>
      <c r="I27">
        <f>'Stats G2'!E28</f>
        <v>1</v>
      </c>
      <c r="J27">
        <f>'Stats G2'!H28</f>
        <v>3</v>
      </c>
      <c r="K27">
        <f t="shared" si="1"/>
        <v>4</v>
      </c>
      <c r="L27" s="7">
        <f>'Stats G2'!K28/60</f>
        <v>12.616666666666667</v>
      </c>
    </row>
    <row r="28" spans="6:12" x14ac:dyDescent="0.2">
      <c r="F28" t="str">
        <f>'Stats G2'!A29</f>
        <v>Dom</v>
      </c>
      <c r="G28" t="str">
        <f>'Stats G2'!B29</f>
        <v>Phillip</v>
      </c>
      <c r="H28">
        <f>'Stats G2'!C29</f>
        <v>8</v>
      </c>
      <c r="I28">
        <f>'Stats G2'!E29</f>
        <v>1</v>
      </c>
      <c r="J28">
        <f>'Stats G2'!H29</f>
        <v>0</v>
      </c>
      <c r="K28">
        <f t="shared" si="1"/>
        <v>1</v>
      </c>
      <c r="L28" s="7">
        <f>'Stats G2'!K29/60</f>
        <v>11.416666666666666</v>
      </c>
    </row>
    <row r="29" spans="6:12" x14ac:dyDescent="0.2">
      <c r="F29" t="str">
        <f>'Stats G2'!A30</f>
        <v>Gerad</v>
      </c>
      <c r="G29" t="str">
        <f>'Stats G2'!B30</f>
        <v>David</v>
      </c>
      <c r="H29">
        <f>'Stats G2'!C30</f>
        <v>14</v>
      </c>
      <c r="I29">
        <f>'Stats G2'!E30</f>
        <v>0</v>
      </c>
      <c r="J29">
        <f>'Stats G2'!H30</f>
        <v>0</v>
      </c>
      <c r="K29">
        <f t="shared" si="1"/>
        <v>0</v>
      </c>
      <c r="L29" s="7">
        <f>'Stats G2'!K30/60</f>
        <v>0</v>
      </c>
    </row>
    <row r="30" spans="6:12" x14ac:dyDescent="0.2">
      <c r="F30" t="str">
        <f>'Stats G2'!A31</f>
        <v>Lual</v>
      </c>
      <c r="G30" t="str">
        <f>'Stats G2'!B31</f>
        <v>Arok</v>
      </c>
      <c r="H30">
        <f>'Stats G2'!C31</f>
        <v>20</v>
      </c>
      <c r="I30">
        <f>'Stats G2'!E31</f>
        <v>3</v>
      </c>
      <c r="J30">
        <f>'Stats G2'!H31</f>
        <v>3</v>
      </c>
      <c r="K30">
        <f t="shared" si="1"/>
        <v>6</v>
      </c>
      <c r="L30" s="7">
        <f>'Stats G2'!K31/60</f>
        <v>22.3</v>
      </c>
    </row>
    <row r="31" spans="6:12" x14ac:dyDescent="0.2">
      <c r="F31" t="str">
        <f>'Stats G2'!A32</f>
        <v>Steven</v>
      </c>
      <c r="G31" t="str">
        <f>'Stats G2'!B32</f>
        <v>Adeyemi</v>
      </c>
      <c r="H31">
        <f>'Stats G2'!C32</f>
        <v>9</v>
      </c>
      <c r="I31">
        <f>'Stats G2'!E32</f>
        <v>0</v>
      </c>
      <c r="J31">
        <f>'Stats G2'!H32</f>
        <v>0</v>
      </c>
      <c r="K31">
        <f t="shared" si="1"/>
        <v>0</v>
      </c>
      <c r="L31" s="7">
        <f>'Stats G2'!K32/60</f>
        <v>0</v>
      </c>
    </row>
    <row r="32" spans="6:12" x14ac:dyDescent="0.2">
      <c r="F32" t="str">
        <f>'Stats G2'!A33</f>
        <v>Trigga</v>
      </c>
      <c r="G32" t="str">
        <f>'Stats G2'!B33</f>
        <v>Trei</v>
      </c>
      <c r="H32">
        <f>'Stats G2'!C33</f>
        <v>17</v>
      </c>
      <c r="I32">
        <f>'Stats G2'!E33</f>
        <v>2</v>
      </c>
      <c r="J32">
        <f>'Stats G2'!H33</f>
        <v>1</v>
      </c>
      <c r="K32">
        <f t="shared" si="1"/>
        <v>3</v>
      </c>
      <c r="L32" s="7">
        <f>'Stats G2'!K33/60</f>
        <v>8.6833333333333336</v>
      </c>
    </row>
    <row r="33" spans="6:12" x14ac:dyDescent="0.2">
      <c r="F33" t="str">
        <f>'Stats G2'!A34</f>
        <v>Both</v>
      </c>
      <c r="G33" t="str">
        <f>'Stats G2'!B34</f>
        <v>Gach</v>
      </c>
      <c r="H33">
        <f>'Stats G2'!C34</f>
        <v>11</v>
      </c>
      <c r="I33">
        <f>'Stats G2'!E34</f>
        <v>4</v>
      </c>
      <c r="J33">
        <f>'Stats G2'!H34</f>
        <v>16</v>
      </c>
      <c r="K33">
        <f t="shared" si="1"/>
        <v>20</v>
      </c>
      <c r="L33" s="7">
        <f>'Stats G2'!K34/60</f>
        <v>36.5</v>
      </c>
    </row>
    <row r="34" spans="6:12" x14ac:dyDescent="0.2">
      <c r="F34" t="str">
        <f>'Stats G2'!A35</f>
        <v>?</v>
      </c>
      <c r="G34" t="str">
        <f>'Stats G2'!B35</f>
        <v>?</v>
      </c>
      <c r="H34">
        <f>'Stats G2'!C35</f>
        <v>0</v>
      </c>
      <c r="I34">
        <f>'Stats G2'!E35</f>
        <v>0</v>
      </c>
      <c r="J34">
        <f>'Stats G2'!H35</f>
        <v>0</v>
      </c>
      <c r="K34">
        <f t="shared" si="1"/>
        <v>0</v>
      </c>
      <c r="L34" s="7">
        <f>'Stats G2'!K35/60</f>
        <v>0</v>
      </c>
    </row>
    <row r="35" spans="6:12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G2'!E36</f>
        <v>0</v>
      </c>
      <c r="J35">
        <f>'Stats G2'!H36</f>
        <v>0</v>
      </c>
      <c r="K35">
        <f t="shared" si="1"/>
        <v>0</v>
      </c>
      <c r="L35" s="7">
        <f>'Stats G2'!K36/60</f>
        <v>0</v>
      </c>
    </row>
    <row r="36" spans="6:12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G2'!E37</f>
        <v>0</v>
      </c>
      <c r="J36">
        <f>'Stats G2'!H37</f>
        <v>0</v>
      </c>
      <c r="K36">
        <f t="shared" si="1"/>
        <v>0</v>
      </c>
      <c r="L36" s="7">
        <f>'Stats G2'!K37/60</f>
        <v>0</v>
      </c>
    </row>
    <row r="37" spans="6:12" x14ac:dyDescent="0.2">
      <c r="H37" s="2" t="s">
        <v>9</v>
      </c>
      <c r="I37">
        <f>SUM(I22:I36)</f>
        <v>16</v>
      </c>
      <c r="J37">
        <f>SUM(J22:J36)</f>
        <v>35</v>
      </c>
      <c r="K37">
        <f>SUM(K22:K36)</f>
        <v>51</v>
      </c>
      <c r="L37">
        <f>SUM(L22:L36)</f>
        <v>200.00000000000003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0" zoomScaleNormal="100" workbookViewId="0">
      <selection activeCell="K34" sqref="K34"/>
    </sheetView>
  </sheetViews>
  <sheetFormatPr baseColWidth="10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</row>
    <row r="2" spans="1:21" hidden="1" x14ac:dyDescent="0.2"/>
    <row r="3" spans="1:21" x14ac:dyDescent="0.2">
      <c r="A3" s="2" t="s">
        <v>11</v>
      </c>
      <c r="B3" s="1" t="s">
        <v>24</v>
      </c>
    </row>
    <row r="4" spans="1:21" x14ac:dyDescent="0.2">
      <c r="A4" t="s">
        <v>1</v>
      </c>
      <c r="B4" t="s">
        <v>2</v>
      </c>
      <c r="C4" t="s">
        <v>0</v>
      </c>
      <c r="E4" t="s">
        <v>5</v>
      </c>
      <c r="H4" t="s">
        <v>6</v>
      </c>
      <c r="K4" t="s">
        <v>72</v>
      </c>
    </row>
    <row r="5" spans="1:21" s="6" customFormat="1" x14ac:dyDescent="0.2">
      <c r="A5" s="5" t="s">
        <v>45</v>
      </c>
      <c r="B5" s="5" t="s">
        <v>46</v>
      </c>
      <c r="C5" s="5">
        <v>0</v>
      </c>
      <c r="D5" s="5"/>
      <c r="E5" s="5">
        <v>1</v>
      </c>
      <c r="F5" s="5"/>
      <c r="G5" s="5"/>
      <c r="H5" s="5">
        <v>1</v>
      </c>
      <c r="I5" s="5"/>
      <c r="J5" s="5"/>
      <c r="K5" s="5">
        <v>1053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">
        <v>47</v>
      </c>
      <c r="B6" s="6" t="s">
        <v>48</v>
      </c>
      <c r="C6" s="6"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">
        <v>49</v>
      </c>
      <c r="B7" s="5" t="s">
        <v>50</v>
      </c>
      <c r="C7" s="5">
        <v>3</v>
      </c>
      <c r="D7" s="5"/>
      <c r="E7" s="5">
        <v>0</v>
      </c>
      <c r="F7" s="5"/>
      <c r="G7" s="5"/>
      <c r="H7" s="5">
        <v>6</v>
      </c>
      <c r="I7" s="5"/>
      <c r="J7" s="5"/>
      <c r="K7" s="5">
        <v>1491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5" t="s">
        <v>51</v>
      </c>
      <c r="B8" s="5" t="s">
        <v>52</v>
      </c>
      <c r="C8" s="5">
        <v>10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6" t="s">
        <v>53</v>
      </c>
      <c r="B9" s="6" t="s">
        <v>24</v>
      </c>
      <c r="C9" s="6">
        <v>11</v>
      </c>
      <c r="D9" s="5"/>
      <c r="E9" s="5">
        <v>4</v>
      </c>
      <c r="F9" s="5"/>
      <c r="G9" s="5"/>
      <c r="H9" s="5">
        <v>1</v>
      </c>
      <c r="I9" s="5"/>
      <c r="J9" s="5"/>
      <c r="K9" s="5">
        <v>561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5" t="s">
        <v>54</v>
      </c>
      <c r="B10" s="5" t="s">
        <v>55</v>
      </c>
      <c r="C10" s="5">
        <v>12</v>
      </c>
      <c r="E10" s="6">
        <v>0</v>
      </c>
      <c r="H10" s="6">
        <v>4</v>
      </c>
      <c r="K10" s="6">
        <v>1488</v>
      </c>
      <c r="N10" s="6">
        <v>0</v>
      </c>
      <c r="Q10" s="6">
        <v>0</v>
      </c>
      <c r="T10" s="6">
        <v>0</v>
      </c>
    </row>
    <row r="11" spans="1:21" s="6" customFormat="1" x14ac:dyDescent="0.2">
      <c r="A11" s="6" t="s">
        <v>56</v>
      </c>
      <c r="B11" s="6" t="s">
        <v>57</v>
      </c>
      <c r="C11" s="6">
        <v>21</v>
      </c>
      <c r="D11" s="5"/>
      <c r="E11" s="5">
        <v>6</v>
      </c>
      <c r="F11" s="5"/>
      <c r="G11" s="5"/>
      <c r="H11" s="5">
        <v>7</v>
      </c>
      <c r="I11" s="5"/>
      <c r="J11" s="5"/>
      <c r="K11" s="5">
        <v>1824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5" t="s">
        <v>58</v>
      </c>
      <c r="B12" s="5" t="s">
        <v>59</v>
      </c>
      <c r="C12" s="5">
        <v>22</v>
      </c>
      <c r="E12" s="6">
        <v>7</v>
      </c>
      <c r="H12" s="6">
        <v>9</v>
      </c>
      <c r="K12" s="6">
        <v>1996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">
        <v>66</v>
      </c>
      <c r="B13" s="5" t="s">
        <v>67</v>
      </c>
      <c r="C13" s="5">
        <v>23</v>
      </c>
      <c r="D13" s="5"/>
      <c r="E13" s="5">
        <v>2</v>
      </c>
      <c r="F13" s="5"/>
      <c r="G13" s="5"/>
      <c r="H13" s="5">
        <v>6</v>
      </c>
      <c r="I13" s="5"/>
      <c r="J13" s="5"/>
      <c r="K13" s="5">
        <v>1200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">
        <v>60</v>
      </c>
      <c r="B14" s="6" t="s">
        <v>61</v>
      </c>
      <c r="C14" s="6">
        <v>31</v>
      </c>
      <c r="E14" s="6">
        <v>1</v>
      </c>
      <c r="H14" s="6">
        <v>1</v>
      </c>
      <c r="K14" s="6">
        <v>910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62</v>
      </c>
      <c r="B15" s="5" t="s">
        <v>63</v>
      </c>
      <c r="C15" s="5">
        <v>99</v>
      </c>
      <c r="D15" s="5"/>
      <c r="E15" s="5">
        <v>1</v>
      </c>
      <c r="F15" s="5"/>
      <c r="G15" s="5"/>
      <c r="H15" s="5">
        <v>7</v>
      </c>
      <c r="I15" s="5"/>
      <c r="J15" s="5"/>
      <c r="K15" s="5">
        <v>1233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">
        <v>3</v>
      </c>
      <c r="B16" s="6" t="s">
        <v>68</v>
      </c>
      <c r="C16" s="6">
        <v>22</v>
      </c>
      <c r="E16" s="6">
        <v>0</v>
      </c>
      <c r="H16" s="6">
        <v>0</v>
      </c>
      <c r="K16" s="6">
        <v>244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3</v>
      </c>
      <c r="B17" s="5" t="s">
        <v>3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3</v>
      </c>
      <c r="B18" s="6" t="s">
        <v>3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3</v>
      </c>
      <c r="B19" s="5" t="s">
        <v>3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22</v>
      </c>
      <c r="H20">
        <f>SUM(H5:H19)</f>
        <v>42</v>
      </c>
      <c r="K20">
        <f>SUM(K5:K19)</f>
        <v>12000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12</v>
      </c>
      <c r="B21" s="1" t="s">
        <v>15</v>
      </c>
    </row>
    <row r="22" spans="1:21" x14ac:dyDescent="0.2">
      <c r="A22" t="s">
        <v>1</v>
      </c>
      <c r="B22" t="s">
        <v>2</v>
      </c>
      <c r="C22" t="s">
        <v>0</v>
      </c>
      <c r="E22" t="s">
        <v>5</v>
      </c>
      <c r="H22" t="s">
        <v>6</v>
      </c>
      <c r="K22" t="s">
        <v>72</v>
      </c>
    </row>
    <row r="23" spans="1:21" s="6" customFormat="1" x14ac:dyDescent="0.2">
      <c r="A23" s="5" t="s">
        <v>28</v>
      </c>
      <c r="B23" s="5" t="s">
        <v>29</v>
      </c>
      <c r="C23" s="5"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30</v>
      </c>
      <c r="B24" s="6" t="s">
        <v>31</v>
      </c>
      <c r="C24" s="6">
        <v>3</v>
      </c>
      <c r="E24" s="6">
        <v>0</v>
      </c>
      <c r="H24" s="6">
        <v>2</v>
      </c>
      <c r="K24" s="6">
        <v>1883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">
        <v>32</v>
      </c>
      <c r="B25" s="5" t="s">
        <v>33</v>
      </c>
      <c r="C25" s="5">
        <v>4</v>
      </c>
      <c r="D25" s="5"/>
      <c r="E25" s="5">
        <v>1</v>
      </c>
      <c r="F25" s="5"/>
      <c r="G25" s="5"/>
      <c r="H25" s="5">
        <v>3</v>
      </c>
      <c r="I25" s="5"/>
      <c r="J25" s="5"/>
      <c r="K25" s="5">
        <v>1277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34</v>
      </c>
      <c r="B26" s="6" t="s">
        <v>35</v>
      </c>
      <c r="C26" s="6">
        <v>5</v>
      </c>
      <c r="E26" s="6">
        <v>3</v>
      </c>
      <c r="H26" s="6">
        <v>3</v>
      </c>
      <c r="K26" s="6">
        <v>1798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">
        <v>36</v>
      </c>
      <c r="B27" s="5" t="s">
        <v>37</v>
      </c>
      <c r="C27" s="5">
        <v>6</v>
      </c>
      <c r="D27" s="5"/>
      <c r="E27" s="5">
        <v>1</v>
      </c>
      <c r="F27" s="5"/>
      <c r="G27" s="5"/>
      <c r="H27" s="5">
        <v>4</v>
      </c>
      <c r="I27" s="5"/>
      <c r="J27" s="5"/>
      <c r="K27" s="5">
        <v>1551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">
        <v>38</v>
      </c>
      <c r="B28" s="6" t="s">
        <v>39</v>
      </c>
      <c r="C28" s="6">
        <v>7</v>
      </c>
      <c r="E28" s="6">
        <v>1</v>
      </c>
      <c r="H28" s="6">
        <v>3</v>
      </c>
      <c r="K28" s="6">
        <v>757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26</v>
      </c>
      <c r="B29" s="5" t="s">
        <v>27</v>
      </c>
      <c r="C29" s="5">
        <v>8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685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">
        <v>40</v>
      </c>
      <c r="B30" s="6" t="s">
        <v>41</v>
      </c>
      <c r="C30" s="6">
        <v>14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">
        <v>44</v>
      </c>
      <c r="B31" s="5" t="s">
        <v>15</v>
      </c>
      <c r="C31" s="5">
        <v>20</v>
      </c>
      <c r="D31" s="5"/>
      <c r="E31" s="5">
        <v>3</v>
      </c>
      <c r="F31" s="5"/>
      <c r="G31" s="5"/>
      <c r="H31" s="5">
        <v>3</v>
      </c>
      <c r="I31" s="5"/>
      <c r="J31" s="5"/>
      <c r="K31" s="5">
        <v>1338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42</v>
      </c>
      <c r="B32" s="6" t="s">
        <v>43</v>
      </c>
      <c r="C32" s="6">
        <v>9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69</v>
      </c>
      <c r="B33" s="5" t="s">
        <v>70</v>
      </c>
      <c r="C33" s="5">
        <v>17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521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64</v>
      </c>
      <c r="B34" t="s">
        <v>65</v>
      </c>
      <c r="C34" s="6">
        <v>11</v>
      </c>
      <c r="D34"/>
      <c r="E34" s="6">
        <v>4</v>
      </c>
      <c r="F34"/>
      <c r="G34"/>
      <c r="H34" s="6">
        <v>16</v>
      </c>
      <c r="I34"/>
      <c r="J34"/>
      <c r="K34" s="6">
        <v>2190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3</v>
      </c>
      <c r="B35" s="5" t="s">
        <v>3</v>
      </c>
      <c r="C35" s="5"/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3</v>
      </c>
      <c r="B36" t="s">
        <v>3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3</v>
      </c>
      <c r="B37" s="5" t="s">
        <v>3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16</v>
      </c>
      <c r="H38">
        <f>SUM(H23:H37)</f>
        <v>35</v>
      </c>
      <c r="K38">
        <f>SUM(K23:K37)</f>
        <v>12000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$A$1:$L$1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2021-07-01T05:04:07Z</dcterms:modified>
</cp:coreProperties>
</file>