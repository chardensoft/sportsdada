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l\Downloads\"/>
    </mc:Choice>
  </mc:AlternateContent>
  <xr:revisionPtr revIDLastSave="0" documentId="8_{0EC6D766-2323-4836-BD4D-1CCB069CF69E}" xr6:coauthVersionLast="47" xr6:coauthVersionMax="47" xr10:uidLastSave="{00000000-0000-0000-0000-000000000000}"/>
  <bookViews>
    <workbookView xWindow="-120" yWindow="-120" windowWidth="20730" windowHeight="111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30" i="1" s="1"/>
  <c r="B8" i="3"/>
  <c r="B7" i="3"/>
  <c r="B6" i="3"/>
  <c r="B5" i="3"/>
  <c r="B4" i="3"/>
  <c r="B3" i="3"/>
  <c r="B2" i="3"/>
  <c r="C25" i="1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15" i="1" l="1"/>
  <c r="A25" i="1"/>
  <c r="B17" i="1"/>
  <c r="G15" i="2" s="1"/>
  <c r="C18" i="1"/>
  <c r="B13" i="1"/>
  <c r="G11" i="2" s="1"/>
  <c r="A8" i="1"/>
  <c r="F6" i="2" s="1"/>
  <c r="H35" i="2"/>
  <c r="C28" i="1"/>
  <c r="A5" i="1"/>
  <c r="A18" i="1"/>
  <c r="F16" i="2" s="1"/>
  <c r="B15" i="1"/>
  <c r="C12" i="1"/>
  <c r="H10" i="2" s="1"/>
  <c r="A10" i="1"/>
  <c r="B7" i="1"/>
  <c r="G5" i="2" s="1"/>
  <c r="A24" i="1"/>
  <c r="F35" i="2"/>
  <c r="B33" i="1"/>
  <c r="G32" i="2" s="1"/>
  <c r="C30" i="1"/>
  <c r="H29" i="2" s="1"/>
  <c r="A28" i="1"/>
  <c r="F27" i="2" s="1"/>
  <c r="B25" i="1"/>
  <c r="B24" i="1"/>
  <c r="G23" i="2" s="1"/>
  <c r="A12" i="1"/>
  <c r="F10" i="2" s="1"/>
  <c r="A7" i="1"/>
  <c r="C27" i="1"/>
  <c r="H26" i="2" s="1"/>
  <c r="B9" i="1"/>
  <c r="G7" i="2" s="1"/>
  <c r="C32" i="1"/>
  <c r="H31" i="2" s="1"/>
  <c r="C19" i="1"/>
  <c r="H17" i="2" s="1"/>
  <c r="B14" i="1"/>
  <c r="G12" i="2" s="1"/>
  <c r="A9" i="1"/>
  <c r="F7" i="2" s="1"/>
  <c r="C37" i="1"/>
  <c r="H36" i="2" s="1"/>
  <c r="C29" i="1"/>
  <c r="B19" i="1"/>
  <c r="C16" i="1"/>
  <c r="H14" i="2" s="1"/>
  <c r="A14" i="1"/>
  <c r="F12" i="2" s="1"/>
  <c r="B11" i="1"/>
  <c r="G9" i="2" s="1"/>
  <c r="C8" i="1"/>
  <c r="H6" i="2" s="1"/>
  <c r="A6" i="1"/>
  <c r="F4" i="2" s="1"/>
  <c r="B37" i="1"/>
  <c r="C34" i="1"/>
  <c r="A32" i="1"/>
  <c r="B29" i="1"/>
  <c r="G28" i="2" s="1"/>
  <c r="C26" i="1"/>
  <c r="H25" i="2" s="1"/>
  <c r="B5" i="1"/>
  <c r="G3" i="2" s="1"/>
  <c r="C9" i="1"/>
  <c r="H7" i="2" s="1"/>
  <c r="A33" i="1"/>
  <c r="F32" i="2" s="1"/>
  <c r="C14" i="1"/>
  <c r="C24" i="1"/>
  <c r="B27" i="1"/>
  <c r="A17" i="1"/>
  <c r="F15" i="2" s="1"/>
  <c r="C11" i="1"/>
  <c r="H9" i="2" s="1"/>
  <c r="B6" i="1"/>
  <c r="G4" i="2" s="1"/>
  <c r="B32" i="1"/>
  <c r="G31" i="2" s="1"/>
  <c r="A27" i="1"/>
  <c r="F26" i="2" s="1"/>
  <c r="A19" i="1"/>
  <c r="B16" i="1"/>
  <c r="C13" i="1"/>
  <c r="A11" i="1"/>
  <c r="F9" i="2" s="1"/>
  <c r="B8" i="1"/>
  <c r="G6" i="2" s="1"/>
  <c r="A23" i="1"/>
  <c r="F22" i="2" s="1"/>
  <c r="A37" i="1"/>
  <c r="F36" i="2" s="1"/>
  <c r="B34" i="1"/>
  <c r="G33" i="2" s="1"/>
  <c r="C31" i="1"/>
  <c r="H30" i="2" s="1"/>
  <c r="A29" i="1"/>
  <c r="B26" i="1"/>
  <c r="C17" i="1"/>
  <c r="H15" i="2" s="1"/>
  <c r="B30" i="1"/>
  <c r="G29" i="2" s="1"/>
  <c r="C5" i="1"/>
  <c r="H3" i="2" s="1"/>
  <c r="C6" i="1"/>
  <c r="H4" i="2" s="1"/>
  <c r="A16" i="1"/>
  <c r="F14" i="2" s="1"/>
  <c r="C10" i="1"/>
  <c r="B23" i="1"/>
  <c r="A34" i="1"/>
  <c r="B31" i="1"/>
  <c r="G30" i="2" s="1"/>
  <c r="A26" i="1"/>
  <c r="F25" i="2" s="1"/>
  <c r="B18" i="1"/>
  <c r="G16" i="2" s="1"/>
  <c r="C15" i="1"/>
  <c r="H13" i="2" s="1"/>
  <c r="A13" i="1"/>
  <c r="F11" i="2" s="1"/>
  <c r="B10" i="1"/>
  <c r="C7" i="1"/>
  <c r="H5" i="2" s="1"/>
  <c r="C23" i="1"/>
  <c r="H22" i="2" s="1"/>
  <c r="G35" i="2"/>
  <c r="C33" i="1"/>
  <c r="H32" i="2" s="1"/>
  <c r="A31" i="1"/>
  <c r="F30" i="2" s="1"/>
  <c r="B28" i="1"/>
  <c r="G27" i="2" s="1"/>
  <c r="F24" i="2"/>
  <c r="H23" i="2"/>
  <c r="G34" i="2"/>
  <c r="F29" i="2"/>
  <c r="G26" i="2"/>
  <c r="G10" i="2"/>
  <c r="F34" i="2"/>
  <c r="H28" i="2"/>
  <c r="F17" i="2"/>
  <c r="G8" i="2"/>
  <c r="F28" i="2"/>
  <c r="G25" i="2"/>
  <c r="F8" i="2"/>
  <c r="G22" i="2"/>
  <c r="F33" i="2"/>
  <c r="H27" i="2"/>
  <c r="F3" i="2"/>
  <c r="G36" i="2"/>
  <c r="H33" i="2"/>
  <c r="G14" i="2"/>
  <c r="H24" i="2"/>
  <c r="H8" i="2"/>
  <c r="F31" i="2"/>
  <c r="G13" i="2"/>
  <c r="H12" i="2"/>
  <c r="F23" i="2"/>
  <c r="G24" i="2"/>
  <c r="G17" i="2"/>
  <c r="H16" i="2"/>
  <c r="F13" i="2"/>
  <c r="F5" i="2"/>
  <c r="H11" i="2"/>
  <c r="H34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<sst xmlns="http://schemas.openxmlformats.org/spreadsheetml/2006/main" count="489" uniqueCount="277">
  <si>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</si>
  <si>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</si>
  <si>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</si>
  <si>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</si>
  <si>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</si>
  <si>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</si>
  <si>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</si>
  <si>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</si>
  <si>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</si>
  <si>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</si>
  <si>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</si>
  <si>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</si>
  <si>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</si>
  <si>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</si>
  <si>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</si>
  <si>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</si>
  <si>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</si>
  <si>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</si>
  <si>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</si>
  <si>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</si>
  <si>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</si>
  <si>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</si>
  <si>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</si>
  <si>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</si>
  <si>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</si>
  <si>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</si>
  <si>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</si>
  <si>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</si>
  <si>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</si>
  <si>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</si>
  <si>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</si>
  <si>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</si>
  <si>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</si>
  <si>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</si>
  <si>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</si>
  <si>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</si>
  <si>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</si>
  <si>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</si>
  <si>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</si>
  <si>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</si>
  <si>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</si>
  <si>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</si>
  <si>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</si>
  <si>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</si>
  <si>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</si>
  <si>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</si>
  <si>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</si>
  <si>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</si>
  <si>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</si>
  <si>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</si>
  <si>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</si>
  <si>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</si>
  <si>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</si>
  <si>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</si>
  <si>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</si>
  <si>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</si>
  <si>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</si>
  <si>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</si>
  <si>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</si>
  <si>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</si>
  <si>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</si>
  <si>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</si>
  <si>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</si>
  <si>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</si>
  <si>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</si>
  <si>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</si>
  <si>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</si>
  <si>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</si>
  <si>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</si>
  <si>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</si>
  <si>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</si>
  <si>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</si>
  <si>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</si>
  <si>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</si>
  <si>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</si>
  <si>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</si>
  <si>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</si>
  <si>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</si>
  <si>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</si>
  <si>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</si>
  <si>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</si>
  <si>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</si>
  <si>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</si>
  <si>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</si>
  <si>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</si>
  <si>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</si>
  <si>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</si>
  <si>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</si>
  <si>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</si>
  <si>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</si>
  <si>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</si>
  <si>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</si>
  <si>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</si>
  <si>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</si>
  <si>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</si>
  <si>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</si>
  <si>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</si>
  <si>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</si>
  <si>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</si>
  <si>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</si>
  <si>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</si>
  <si>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</si>
  <si>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</si>
  <si>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</si>
  <si>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</si>
  <si>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</si>
  <si>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</si>
  <si>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</si>
  <si>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</si>
  <si>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</si>
  <si>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</si>
  <si>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</si>
  <si>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</si>
  <si>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</si>
  <si>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</si>
  <si>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</si>
  <si>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</si>
  <si>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</si>
  <si>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</si>
  <si>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</si>
  <si>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</si>
  <si>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</si>
  <si>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</si>
  <si>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</si>
  <si>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</si>
  <si>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</si>
  <si>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</si>
  <si>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</si>
  <si>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</si>
  <si>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</si>
  <si>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</si>
  <si>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</si>
  <si>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</si>
  <si>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</si>
  <si>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</si>
  <si>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</si>
  <si>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</si>
  <si>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</si>
  <si>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</si>
  <si>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</si>
  <si>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</si>
  <si>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</si>
  <si>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</si>
  <si>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</si>
  <si>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</si>
  <si>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</si>
  <si>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</si>
  <si>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</si>
  <si>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</si>
  <si>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</si>
  <si>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</si>
  <si>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</si>
  <si>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</si>
  <si>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</si>
  <si>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</si>
  <si>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</si>
  <si>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</si>
  <si>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</si>
  <si>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</si>
  <si>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</si>
  <si>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</si>
  <si>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</si>
  <si>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</si>
  <si>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</si>
  <si>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</si>
  <si>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</si>
  <si>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</si>
  <si>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</si>
  <si>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</si>
  <si>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</si>
  <si>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</si>
  <si>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</si>
  <si>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</si>
  <si>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</si>
  <si>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</si>
  <si>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</si>
  <si>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</si>
  <si>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</si>
  <si>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</si>
  <si>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</si>
  <si>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</si>
  <si>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</si>
  <si>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</si>
  <si>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</si>
  <si>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</si>
  <si>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</si>
  <si>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</si>
  <si>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</si>
  <si>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</si>
  <si>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</si>
  <si>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</si>
  <si>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</si>
  <si>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</si>
  <si>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</si>
  <si>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</si>
  <si>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</si>
  <si>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</si>
  <si>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</si>
  <si>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</si>
  <si>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</si>
  <si>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</si>
  <si>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</si>
  <si>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</si>
  <si>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</si>
  <si>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</si>
  <si>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</si>
  <si>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</si>
  <si>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</si>
  <si>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</si>
  <si>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</si>
  <si>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</si>
  <si>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</si>
  <si>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</si>
  <si>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</si>
  <si>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</si>
  <si>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</si>
  <si>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</si>
  <si>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</si>
  <si>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</si>
  <si>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</si>
  <si>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</si>
  <si>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</si>
  <si>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</si>
  <si>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</si>
  <si>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</si>
  <si>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</si>
  <si>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</si>
  <si>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</si>
  <si>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</si>
  <si>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</si>
  <si>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</si>
  <si>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</si>
  <si>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</si>
  <si>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</si>
  <si>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</si>
  <si>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</si>
  <si>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</si>
  <si>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</si>
  <si>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</si>
  <si>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</si>
  <si>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</si>
  <si>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</si>
  <si>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</si>
  <si>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</si>
  <si>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</si>
  <si>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</si>
  <si>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</si>
  <si>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</si>
  <si>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</si>
  <si>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</si>
  <si>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</si>
  <si>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</si>
  <si>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</si>
  <si>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</si>
  <si>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</si>
  <si>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</si>
  <si>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</si>
  <si>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</si>
  <si>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</si>
  <si>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</si>
  <si>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</si>
  <si>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</si>
  <si>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</si>
  <si>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</si>
  <si>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</si>
  <si>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</si>
  <si>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</si>
  <si>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</si>
  <si>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</si>
  <si>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</si>
  <si>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</si>
  <si>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</si>
  <si>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</si>
  <si>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</si>
  <si>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</si>
  <si>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Brendon</t>
  </si>
  <si>
    <t>Demps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</si>
</sst>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378" Type="http://schemas.openxmlformats.org/officeDocument/2006/relationships/ctrlProp" Target="../ctrlProps/ctrlProp375.xml"/><Relationship Id="rId399" Type="http://schemas.openxmlformats.org/officeDocument/2006/relationships/ctrlProp" Target="../ctrlProps/ctrlProp396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368" Type="http://schemas.openxmlformats.org/officeDocument/2006/relationships/ctrlProp" Target="../ctrlProps/ctrlProp365.xml"/><Relationship Id="rId389" Type="http://schemas.openxmlformats.org/officeDocument/2006/relationships/ctrlProp" Target="../ctrlProps/ctrlProp386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35" Type="http://schemas.openxmlformats.org/officeDocument/2006/relationships/ctrlProp" Target="../ctrlProps/ctrlProp432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358" Type="http://schemas.openxmlformats.org/officeDocument/2006/relationships/ctrlProp" Target="../ctrlProps/ctrlProp355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25" Type="http://schemas.openxmlformats.org/officeDocument/2006/relationships/ctrlProp" Target="../ctrlProps/ctrlProp422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369" Type="http://schemas.openxmlformats.org/officeDocument/2006/relationships/ctrlProp" Target="../ctrlProps/ctrlProp366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15" Type="http://schemas.openxmlformats.org/officeDocument/2006/relationships/ctrlProp" Target="../ctrlProps/ctrlProp412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359" Type="http://schemas.openxmlformats.org/officeDocument/2006/relationships/ctrlProp" Target="../ctrlProps/ctrlProp356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381" Type="http://schemas.openxmlformats.org/officeDocument/2006/relationships/ctrlProp" Target="../ctrlProps/ctrlProp378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371" Type="http://schemas.openxmlformats.org/officeDocument/2006/relationships/ctrlProp" Target="../ctrlProps/ctrlProp368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28" Type="http://schemas.openxmlformats.org/officeDocument/2006/relationships/ctrlProp" Target="../ctrlProps/ctrlProp425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418" Type="http://schemas.openxmlformats.org/officeDocument/2006/relationships/ctrlProp" Target="../ctrlProps/ctrlProp415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I22" sqref="I22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16</v>
      </c>
      <c r="F1" t="s">
        <v>9</v>
      </c>
      <c r="G1" t="str">
        <f>'Stats G1'!B3</f>
        <v>Egan</v>
      </c>
    </row>
    <row r="2" spans="2:12" x14ac:dyDescent="0.25">
      <c r="B2" t="str">
        <f>G1</f>
        <v>Egan</v>
      </c>
      <c r="D2" t="str">
        <f>G20</f>
        <v>Clarke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100</v>
      </c>
      <c r="C3" s="3" t="s">
        <v>15</v>
      </c>
      <c r="D3" s="4">
        <f>I37</f>
        <v>90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G1'!H5*2+'Stats G1'!N5*3+'Stats G1'!T5</f>
        <v>20</v>
      </c>
      <c r="J3" t="str">
        <f>SUM('Stats G1'!N5+'Stats G1'!H5)&amp;"-"&amp;SUM('Stats G1'!E5+'Stats G1'!K5)</f>
        <v>7-13</v>
      </c>
      <c r="K3" t="str">
        <f>SUM('Stats G1'!N5)&amp;"-"&amp;SUM('Stats G1'!K5)</f>
        <v>1-2</v>
      </c>
      <c r="L3" t="str">
        <f>SUM('Stats G1'!T5)&amp;"-"&amp;SUM('Stats G1'!Q5)</f>
        <v>5-6</v>
      </c>
    </row>
    <row r="4" spans="2:12" x14ac:dyDescent="0.25">
      <c r="F4" t="str">
        <f>'Stats G1'!A6</f>
        <v>James</v>
      </c>
      <c r="G4" t="str">
        <f>'Stats G1'!B6</f>
        <v>Walljasper</v>
      </c>
      <c r="H4">
        <f>'Stats G1'!C6</f>
        <v>1</v>
      </c>
      <c r="I4">
        <f>'Stats G1'!H6*2+'Stats G1'!N6*3+'Stats G1'!T6</f>
        <v>3</v>
      </c>
      <c r="J4" t="str">
        <f>SUM('Stats G1'!N6+'Stats G1'!H6)&amp;"-"&amp;SUM('Stats G1'!E6+'Stats G1'!K6)</f>
        <v>1-3</v>
      </c>
      <c r="K4" t="str">
        <f>SUM('Stats G1'!N6)&amp;"-"&amp;SUM('Stats G1'!K6)</f>
        <v>1-3</v>
      </c>
      <c r="L4" t="str">
        <f>SUM('Stats G1'!T6)&amp;"-"&amp;SUM('Stats G1'!Q6)</f>
        <v>0-0</v>
      </c>
    </row>
    <row r="5" spans="2:12" x14ac:dyDescent="0.25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G1'!H7*2+'Stats G1'!N7*3+'Stats G1'!T7</f>
        <v>15</v>
      </c>
      <c r="J5" t="str">
        <f>SUM('Stats G1'!N7+'Stats G1'!H7)&amp;"-"&amp;SUM('Stats G1'!E7+'Stats G1'!K7)</f>
        <v>6-13</v>
      </c>
      <c r="K5" t="str">
        <f>SUM('Stats G1'!N7)&amp;"-"&amp;SUM('Stats G1'!K7)</f>
        <v>1-2</v>
      </c>
      <c r="L5" t="str">
        <f>SUM('Stats G1'!T7)&amp;"-"&amp;SUM('Stats G1'!Q7)</f>
        <v>2-2</v>
      </c>
    </row>
    <row r="6" spans="2:12" x14ac:dyDescent="0.25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5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G1'!H9*2+'Stats G1'!N9*3+'Stats G1'!T9</f>
        <v>8</v>
      </c>
      <c r="J7" t="str">
        <f>SUM('Stats G1'!N9+'Stats G1'!H9)&amp;"-"&amp;SUM('Stats G1'!E9+'Stats G1'!K9)</f>
        <v>3-7</v>
      </c>
      <c r="K7" t="str">
        <f>SUM('Stats G1'!N9)&amp;"-"&amp;SUM('Stats G1'!K9)</f>
        <v>2-6</v>
      </c>
      <c r="L7" t="str">
        <f>SUM('Stats G1'!T9)&amp;"-"&amp;SUM('Stats G1'!Q9)</f>
        <v>0-0</v>
      </c>
    </row>
    <row r="8" spans="2:12" x14ac:dyDescent="0.25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G1'!H10*2+'Stats G1'!N10*3+'Stats G1'!T10</f>
        <v>10</v>
      </c>
      <c r="J8" t="str">
        <f>SUM('Stats G1'!N10+'Stats G1'!H10)&amp;"-"&amp;SUM('Stats G1'!E10+'Stats G1'!K10)</f>
        <v>5-12</v>
      </c>
      <c r="K8" t="str">
        <f>SUM('Stats G1'!N10)&amp;"-"&amp;SUM('Stats G1'!K10)</f>
        <v>0-3</v>
      </c>
      <c r="L8" t="str">
        <f>SUM('Stats G1'!T10)&amp;"-"&amp;SUM('Stats G1'!Q10)</f>
        <v>0-2</v>
      </c>
    </row>
    <row r="9" spans="2:12" x14ac:dyDescent="0.25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5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G1'!H12*2+'Stats G1'!N12*3+'Stats G1'!T12</f>
        <v>28</v>
      </c>
      <c r="J10" t="str">
        <f>SUM('Stats G1'!N12+'Stats G1'!H12)&amp;"-"&amp;SUM('Stats G1'!E12+'Stats G1'!K12)</f>
        <v>12-30</v>
      </c>
      <c r="K10" t="str">
        <f>SUM('Stats G1'!N12)&amp;"-"&amp;SUM('Stats G1'!K12)</f>
        <v>2-12</v>
      </c>
      <c r="L10" t="str">
        <f>SUM('Stats G1'!T12)&amp;"-"&amp;SUM('Stats G1'!Q12)</f>
        <v>2-3</v>
      </c>
    </row>
    <row r="11" spans="2:12" x14ac:dyDescent="0.25">
      <c r="F11" t="str">
        <f>'Stats G1'!A13</f>
        <v>Quan</v>
      </c>
      <c r="G11" t="str">
        <f>'Stats G1'!B13</f>
        <v>Thompson</v>
      </c>
      <c r="H11">
        <f>'Stats G1'!C13</f>
        <v>24</v>
      </c>
      <c r="I11">
        <f>'Stats G1'!H13*2+'Stats G1'!N13*3+'Stats G1'!T13</f>
        <v>16</v>
      </c>
      <c r="J11" t="str">
        <f>SUM('Stats G1'!N13+'Stats G1'!H13)&amp;"-"&amp;SUM('Stats G1'!E13+'Stats G1'!K13)</f>
        <v>6-15</v>
      </c>
      <c r="K11" t="str">
        <f>SUM('Stats G1'!N13)&amp;"-"&amp;SUM('Stats G1'!K13)</f>
        <v>3-9</v>
      </c>
      <c r="L11" t="str">
        <f>SUM('Stats G1'!T13)&amp;"-"&amp;SUM('Stats G1'!Q13)</f>
        <v>1-2</v>
      </c>
    </row>
    <row r="12" spans="2:12" x14ac:dyDescent="0.25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5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5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5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5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5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5">
      <c r="H18" s="2" t="s">
        <v>14</v>
      </c>
      <c r="I18">
        <f>SUM(I3:I17)</f>
        <v>100</v>
      </c>
      <c r="J18" t="str">
        <f>SUM('Stats G1'!N20+'Stats G1'!H20)&amp;"-"&amp;SUM('Stats G1'!E20+'Stats G1'!K20)</f>
        <v>40-93</v>
      </c>
      <c r="K18" t="str">
        <f>SUM('Stats G1'!N20)&amp;"-"&amp;SUM('Stats G1'!K20)</f>
        <v>10-37</v>
      </c>
      <c r="L18" t="str">
        <f>SUM('Stats G1'!T20)&amp;"-"&amp;SUM('Stats G1'!Q20)</f>
        <v>10-15</v>
      </c>
    </row>
    <row r="20" spans="6:12" x14ac:dyDescent="0.25">
      <c r="F20" t="s">
        <v>13</v>
      </c>
      <c r="G20" t="str">
        <f>'Stats G1'!B21</f>
        <v>Clarke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G1'!A23</f>
        <v>Marquis</v>
      </c>
      <c r="G22" t="str">
        <f>'Stats G1'!B23</f>
        <v>O’Shea</v>
      </c>
      <c r="H22">
        <f>'Stats G1'!C23</f>
        <v>0</v>
      </c>
      <c r="I22">
        <f>'Stats G1'!H23*2+'Stats G1'!N23*3+'Stats G1'!T23</f>
        <v>5</v>
      </c>
      <c r="J22" t="str">
        <f>SUM('Stats G1'!N23+'Stats G1'!H23)&amp;"-"&amp;SUM('Stats G1'!E23+'Stats G1'!K23)</f>
        <v>2-3</v>
      </c>
      <c r="K22" t="str">
        <f>SUM('Stats G1'!N23)&amp;"-"&amp;SUM('Stats G1'!K23)</f>
        <v>0-0</v>
      </c>
      <c r="L22" t="str">
        <f>SUM('Stats G1'!T23)&amp;"-"&amp;SUM('Stats G1'!Q23)</f>
        <v>1-1</v>
      </c>
    </row>
    <row r="23" spans="6:12" x14ac:dyDescent="0.25">
      <c r="F23" t="str">
        <f>'Stats G1'!A24</f>
        <v>Jaren</v>
      </c>
      <c r="G23" t="str">
        <f>'Stats G1'!B24</f>
        <v>McKnight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5">
      <c r="F24" t="str">
        <f>'Stats G1'!A25</f>
        <v>Elijah</v>
      </c>
      <c r="G24" t="str">
        <f>'Stats G1'!B25</f>
        <v>Davy</v>
      </c>
      <c r="H24">
        <f>'Stats G1'!C25</f>
        <v>4</v>
      </c>
      <c r="I24">
        <f>'Stats G1'!H25*2+'Stats G1'!N25*3+'Stats G1'!T25</f>
        <v>11</v>
      </c>
      <c r="J24" t="str">
        <f>SUM('Stats G1'!N25+'Stats G1'!H25)&amp;"-"&amp;SUM('Stats G1'!E25+'Stats G1'!K25)</f>
        <v>4-12</v>
      </c>
      <c r="K24" t="str">
        <f>SUM('Stats G1'!N25)&amp;"-"&amp;SUM('Stats G1'!K25)</f>
        <v>0-0</v>
      </c>
      <c r="L24" t="str">
        <f>SUM('Stats G1'!T25)&amp;"-"&amp;SUM('Stats G1'!Q25)</f>
        <v>3-7</v>
      </c>
    </row>
    <row r="25" spans="6:12" x14ac:dyDescent="0.25">
      <c r="F25" t="str">
        <f>'Stats G1'!A26</f>
        <v>Jaxon</v>
      </c>
      <c r="G25" t="str">
        <f>'Stats G1'!B26</f>
        <v>Brenchley</v>
      </c>
      <c r="H25">
        <f>'Stats G1'!C26</f>
        <v>5</v>
      </c>
      <c r="I25">
        <f>'Stats G1'!H26*2+'Stats G1'!N26*3+'Stats G1'!T26</f>
        <v>0</v>
      </c>
      <c r="J25" t="str">
        <f>SUM('Stats G1'!N26+'Stats G1'!H26)&amp;"-"&amp;SUM('Stats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5">
      <c r="F26" t="str">
        <f>'Stats G1'!A27</f>
        <v xml:space="preserve">Jay </v>
      </c>
      <c r="G26" t="str">
        <f>'Stats G1'!B27</f>
        <v>Payne</v>
      </c>
      <c r="H26">
        <f>'Stats G1'!C27</f>
        <v>10</v>
      </c>
      <c r="I26">
        <f>'Stats G1'!H27*2+'Stats G1'!N27*3+'Stats G1'!T27</f>
        <v>4</v>
      </c>
      <c r="J26" t="str">
        <f>SUM('Stats G1'!N27+'Stats G1'!H27)&amp;"-"&amp;SUM('Stats G1'!E27+'Stats G1'!K27)</f>
        <v>1-5</v>
      </c>
      <c r="K26" t="str">
        <f>SUM('Stats G1'!N27)&amp;"-"&amp;SUM('Stats G1'!K27)</f>
        <v>0-0</v>
      </c>
      <c r="L26" t="str">
        <f>SUM('Stats G1'!T27)&amp;"-"&amp;SUM('Stats G1'!Q27)</f>
        <v>2-2</v>
      </c>
    </row>
    <row r="27" spans="6:12" x14ac:dyDescent="0.25">
      <c r="F27" t="str">
        <f>'Stats G1'!A28</f>
        <v>Jaden</v>
      </c>
      <c r="G27" t="str">
        <f>'Stats G1'!B28</f>
        <v>Vaughn</v>
      </c>
      <c r="H27">
        <f>'Stats G1'!C28</f>
        <v>11</v>
      </c>
      <c r="I27">
        <f>'Stats G1'!H28*2+'Stats G1'!N28*3+'Stats G1'!T28</f>
        <v>11</v>
      </c>
      <c r="J27" t="str">
        <f>SUM('Stats G1'!N28+'Stats G1'!H28)&amp;"-"&amp;SUM('Stats G1'!E28+'Stats G1'!K28)</f>
        <v>5-14</v>
      </c>
      <c r="K27" t="str">
        <f>SUM('Stats G1'!N28)&amp;"-"&amp;SUM('Stats G1'!K28)</f>
        <v>1-5</v>
      </c>
      <c r="L27" t="str">
        <f>SUM('Stats G1'!T28)&amp;"-"&amp;SUM('Stats G1'!Q28)</f>
        <v>0-0</v>
      </c>
    </row>
    <row r="28" spans="6:12" x14ac:dyDescent="0.25">
      <c r="F28" t="str">
        <f>'Stats G1'!A29</f>
        <v>Dason</v>
      </c>
      <c r="G28" t="str">
        <f>'Stats G1'!B29</f>
        <v>Youngblood</v>
      </c>
      <c r="H28">
        <f>'Stats G1'!C29</f>
        <v>14</v>
      </c>
      <c r="I28">
        <f>'Stats G1'!H29*2+'Stats G1'!N29*3+'Stats G1'!T29</f>
        <v>7</v>
      </c>
      <c r="J28" t="str">
        <f>SUM('Stats G1'!N29+'Stats G1'!H29)&amp;"-"&amp;SUM('Stats G1'!E29+'Stats G1'!K29)</f>
        <v>3-9</v>
      </c>
      <c r="K28" t="str">
        <f>SUM('Stats G1'!N29)&amp;"-"&amp;SUM('Stats G1'!K29)</f>
        <v>0-2</v>
      </c>
      <c r="L28" t="str">
        <f>SUM('Stats G1'!T29)&amp;"-"&amp;SUM('Stats G1'!Q29)</f>
        <v>1-1</v>
      </c>
    </row>
    <row r="29" spans="6:12" x14ac:dyDescent="0.25">
      <c r="F29" t="str">
        <f>'Stats G1'!A30</f>
        <v>Hunter</v>
      </c>
      <c r="G29" t="str">
        <f>'Stats G1'!B30</f>
        <v>Clarke</v>
      </c>
      <c r="H29">
        <f>'Stats G1'!C30</f>
        <v>15</v>
      </c>
      <c r="I29">
        <f>'Stats G1'!H30*2+'Stats G1'!N30*3+'Stats G1'!T30</f>
        <v>6</v>
      </c>
      <c r="J29" t="str">
        <f>SUM('Stats G1'!N30+'Stats G1'!H30)&amp;"-"&amp;SUM('Stats G1'!E30+'Stats G1'!K30)</f>
        <v>3-8</v>
      </c>
      <c r="K29" t="str">
        <f>SUM('Stats G1'!N30)&amp;"-"&amp;SUM('Stats G1'!K30)</f>
        <v>0-1</v>
      </c>
      <c r="L29" t="str">
        <f>SUM('Stats G1'!T30)&amp;"-"&amp;SUM('Stats G1'!Q30)</f>
        <v>0-0</v>
      </c>
    </row>
    <row r="30" spans="6:12" x14ac:dyDescent="0.25">
      <c r="F30" t="str">
        <f>'Stats G1'!A31</f>
        <v>Trevin</v>
      </c>
      <c r="G30" t="str">
        <f>'Stats G1'!B31</f>
        <v>Knell</v>
      </c>
      <c r="H30">
        <f>'Stats G1'!C31</f>
        <v>21</v>
      </c>
      <c r="I30">
        <f>'Stats G1'!H31*2+'Stats G1'!N31*3+'Stats G1'!T31</f>
        <v>0</v>
      </c>
      <c r="J30" t="str">
        <f>SUM('Stats G1'!N31+'Stats G1'!H31)&amp;"-"&amp;SUM('Stats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5">
      <c r="F31" t="str">
        <f>'Stats G1'!A32</f>
        <v>Hank</v>
      </c>
      <c r="G31" t="str">
        <f>'Stats G1'!B32</f>
        <v>Bushell</v>
      </c>
      <c r="H31">
        <f>'Stats G1'!C32</f>
        <v>23</v>
      </c>
      <c r="I31">
        <f>'Stats G1'!H32*2+'Stats G1'!N32*3+'Stats G1'!T32</f>
        <v>3</v>
      </c>
      <c r="J31" t="str">
        <f>SUM('Stats G1'!N32+'Stats G1'!H32)&amp;"-"&amp;SUM('Stats G1'!E32+'Stats G1'!K32)</f>
        <v>1-3</v>
      </c>
      <c r="K31" t="str">
        <f>SUM('Stats G1'!N32)&amp;"-"&amp;SUM('Stats G1'!K32)</f>
        <v>1-3</v>
      </c>
      <c r="L31" t="str">
        <f>SUM('Stats G1'!T32)&amp;"-"&amp;SUM('Stats G1'!Q32)</f>
        <v>0-0</v>
      </c>
    </row>
    <row r="32" spans="6:12" x14ac:dyDescent="0.25">
      <c r="F32" t="str">
        <f>'Stats G1'!A33</f>
        <v>Keon</v>
      </c>
      <c r="G32" t="str">
        <f>'Stats G1'!B33</f>
        <v>Burgout</v>
      </c>
      <c r="H32">
        <f>'Stats G1'!C33</f>
        <v>24</v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5">
      <c r="F33" t="str">
        <f>'Stats G1'!A34</f>
        <v>Kaleb</v>
      </c>
      <c r="G33" t="str">
        <f>'Stats G1'!B34</f>
        <v>Wilborn</v>
      </c>
      <c r="H33">
        <f>'Stats G1'!C34</f>
        <v>25</v>
      </c>
      <c r="I33">
        <f>'Stats G1'!H34*2+'Stats G1'!N34*3+'Stats G1'!T34</f>
        <v>13</v>
      </c>
      <c r="J33" t="str">
        <f>SUM('Stats G1'!N34+'Stats G1'!H34)&amp;"-"&amp;SUM('Stats G1'!E34+'Stats G1'!K34)</f>
        <v>5-14</v>
      </c>
      <c r="K33" t="str">
        <f>SUM('Stats G1'!N34)&amp;"-"&amp;SUM('Stats G1'!K34)</f>
        <v>3-9</v>
      </c>
      <c r="L33" t="str">
        <f>SUM('Stats G1'!T34)&amp;"-"&amp;SUM('Stats G1'!Q34)</f>
        <v>0-0</v>
      </c>
    </row>
    <row r="34" spans="6:12" x14ac:dyDescent="0.25">
      <c r="F34" t="str">
        <f>'Stats G1'!A35</f>
        <v>Brendon</v>
      </c>
      <c r="G34" t="str">
        <f>'Stats G1'!B35</f>
        <v>Bailey</v>
      </c>
      <c r="H34">
        <f>'Stats G1'!C35</f>
        <v>1</v>
      </c>
      <c r="I34">
        <f>'Stats G1'!H35*2+'Stats G1'!N35*3+'Stats G1'!T35</f>
        <v>28</v>
      </c>
      <c r="J34" t="str">
        <f>SUM('Stats G1'!N35+'Stats G1'!H35)&amp;"-"&amp;SUM('Stats G1'!E35+'Stats G1'!K35)</f>
        <v>11-22</v>
      </c>
      <c r="K34" t="str">
        <f>SUM('Stats G1'!N35)&amp;"-"&amp;SUM('Stats G1'!K35)</f>
        <v>4-12</v>
      </c>
      <c r="L34" t="str">
        <f>SUM('Stats G1'!T35)&amp;"-"&amp;SUM('Stats G1'!Q35)</f>
        <v>2-2</v>
      </c>
    </row>
    <row r="35" spans="6:12" x14ac:dyDescent="0.25">
      <c r="F35" t="str">
        <f>'Stats G1'!A36</f>
        <v>Riley</v>
      </c>
      <c r="G35" t="str">
        <f>'Stats G1'!B36</f>
        <v>Demps</v>
      </c>
      <c r="H35">
        <f>'Stats G1'!C36</f>
        <v>30</v>
      </c>
      <c r="I35">
        <f>'Stats G1'!H36*2+'Stats G1'!N36*3+'Stats G1'!T36</f>
        <v>2</v>
      </c>
      <c r="J35" t="str">
        <f>SUM('Stats G1'!N36+'Stats G1'!H36)&amp;"-"&amp;SUM('Stats G1'!E36+'Stats G1'!K36)</f>
        <v>1-6</v>
      </c>
      <c r="K35" t="str">
        <f>SUM('Stats G1'!N36)&amp;"-"&amp;SUM('Stats G1'!K36)</f>
        <v>0-2</v>
      </c>
      <c r="L35" t="str">
        <f>SUM('Stats G1'!T36)&amp;"-"&amp;SUM('Stats G1'!Q36)</f>
        <v>0-0</v>
      </c>
    </row>
    <row r="36" spans="6:12" x14ac:dyDescent="0.25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5">
      <c r="H37" s="2" t="s">
        <v>14</v>
      </c>
      <c r="I37">
        <f>SUM(I22:I36)</f>
        <v>90</v>
      </c>
      <c r="J37" t="str">
        <f>SUM('Stats G1'!N38+'Stats G1'!H38)&amp;"-"&amp;SUM('Stats G1'!E38+'Stats G1'!K38)</f>
        <v>36-96</v>
      </c>
      <c r="K37" t="str">
        <f>SUM('Stats G1'!N38)&amp;"-"&amp;SUM('Stats G1'!K38)</f>
        <v>9-34</v>
      </c>
      <c r="L37" t="str">
        <f>SUM('Stats G1'!T38)&amp;"-"&amp;SUM('Stats G1'!Q38)</f>
        <v>9-13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21" workbookViewId="0">
      <selection activeCell="B36" sqref="B36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5"/>
    <row r="3" spans="1:21" x14ac:dyDescent="0.25">
      <c r="A3" s="2" t="s">
        <v>17</v>
      </c>
      <c r="B3" s="1" t="s">
        <v>28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Steve</v>
      </c>
      <c r="B5" s="5" t="str">
        <f>_xlfn.IFNA(VLOOKUP($B$3&amp;ROWS($B$5:B5),Rosters!$B$2:$D$162,3,0),"?")</f>
        <v>Panos</v>
      </c>
      <c r="C5" s="5">
        <f>_xlfn.IFNA(VLOOKUP($B$3&amp;ROWS($C$5:C5),Rosters!$B$2:$E$162,4,0),"")</f>
        <v>0</v>
      </c>
      <c r="D5" s="5"/>
      <c r="E5" s="5">
        <v>11</v>
      </c>
      <c r="F5" s="5"/>
      <c r="G5" s="5"/>
      <c r="H5" s="5">
        <v>6</v>
      </c>
      <c r="I5" s="5"/>
      <c r="J5" s="5"/>
      <c r="K5" s="5">
        <v>2</v>
      </c>
      <c r="L5" s="5"/>
      <c r="M5" s="5"/>
      <c r="N5" s="5">
        <v>1</v>
      </c>
      <c r="O5" s="5"/>
      <c r="P5" s="5"/>
      <c r="Q5" s="5">
        <v>6</v>
      </c>
      <c r="R5" s="5"/>
      <c r="S5" s="5"/>
      <c r="T5" s="5">
        <v>5</v>
      </c>
      <c r="U5" s="5"/>
    </row>
    <row r="6" spans="1:21" s="6" customFormat="1" x14ac:dyDescent="0.25">
      <c r="A6" s="6" t="str">
        <f>_xlfn.IFNA(VLOOKUP($B$3&amp;ROWS($A$5:A6),Rosters!$B$2:$C$162,2,0),"?")</f>
        <v>James</v>
      </c>
      <c r="B6" s="6" t="str">
        <f>_xlfn.IFNA(VLOOKUP($B$3&amp;ROWS($B$5:B6),Rosters!$B$2:$D$162,3,0),"?")</f>
        <v>Walljasper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3</v>
      </c>
      <c r="N6" s="6">
        <v>1</v>
      </c>
      <c r="Q6" s="6">
        <v>0</v>
      </c>
      <c r="T6" s="6">
        <v>0</v>
      </c>
    </row>
    <row r="7" spans="1:21" s="6" customFormat="1" x14ac:dyDescent="0.25">
      <c r="A7" s="5" t="str">
        <f>_xlfn.IFNA(VLOOKUP($B$3&amp;ROWS($A$5:A7),Rosters!$B$2:$C$162,2,0),"?")</f>
        <v>Drew</v>
      </c>
      <c r="B7" s="5" t="str">
        <f>_xlfn.IFNA(VLOOKUP($B$3&amp;ROWS($B$5:B7),Rosters!$B$2:$D$162,3,0),"?")</f>
        <v>Lokeni</v>
      </c>
      <c r="C7" s="5">
        <f>_xlfn.IFNA(VLOOKUP($B$3&amp;ROWS($C$5:C7),Rosters!$B$2:$E$162,4,0),"")</f>
        <v>7</v>
      </c>
      <c r="D7" s="5"/>
      <c r="E7" s="5">
        <v>11</v>
      </c>
      <c r="F7" s="5"/>
      <c r="G7" s="5"/>
      <c r="H7" s="5">
        <v>5</v>
      </c>
      <c r="I7" s="5"/>
      <c r="J7" s="5"/>
      <c r="K7" s="5">
        <v>2</v>
      </c>
      <c r="L7" s="5"/>
      <c r="M7" s="5"/>
      <c r="N7" s="5">
        <v>1</v>
      </c>
      <c r="O7" s="5"/>
      <c r="P7" s="5"/>
      <c r="Q7" s="5">
        <v>2</v>
      </c>
      <c r="R7" s="5"/>
      <c r="S7" s="5"/>
      <c r="T7" s="5">
        <v>2</v>
      </c>
      <c r="U7" s="5"/>
    </row>
    <row r="8" spans="1:21" s="6" customFormat="1" x14ac:dyDescent="0.25">
      <c r="A8" s="6" t="str">
        <f>_xlfn.IFNA(VLOOKUP($B$3&amp;ROWS($A$5:A8),Rosters!$B$2:$C$162,2,0),"?")</f>
        <v>Jeremy</v>
      </c>
      <c r="B8" s="6" t="str">
        <f>_xlfn.IFNA(VLOOKUP($B$3&amp;ROWS($B$5:B8),Rosters!$B$2:$D$162,3,0),"?")</f>
        <v>Dowdell</v>
      </c>
      <c r="C8" s="6">
        <f>_xlfn.IFNA(VLOOKUP($B$3&amp;ROWS($C$5:C8),Rosters!$B$2:$E$162,4,0),"")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5">
      <c r="A9" s="5" t="str">
        <f>_xlfn.IFNA(VLOOKUP($B$3&amp;ROWS($A$5:A9),Rosters!$B$2:$C$162,2,0),"?")</f>
        <v>Caleb</v>
      </c>
      <c r="B9" s="5" t="str">
        <f>_xlfn.IFNA(VLOOKUP($B$3&amp;ROWS($B$5:B9),Rosters!$B$2:$D$162,3,0),"?")</f>
        <v>Leonhardt</v>
      </c>
      <c r="C9" s="5">
        <f>_xlfn.IFNA(VLOOKUP($B$3&amp;ROWS($C$5:C9),Rosters!$B$2:$E$162,4,0),"")</f>
        <v>12</v>
      </c>
      <c r="D9" s="5"/>
      <c r="E9" s="5">
        <v>1</v>
      </c>
      <c r="F9" s="5"/>
      <c r="G9" s="5"/>
      <c r="H9" s="5">
        <v>1</v>
      </c>
      <c r="I9" s="5"/>
      <c r="J9" s="5"/>
      <c r="K9" s="5">
        <v>6</v>
      </c>
      <c r="L9" s="5"/>
      <c r="M9" s="5"/>
      <c r="N9" s="5">
        <v>2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tr">
        <f>_xlfn.IFNA(VLOOKUP($B$3&amp;ROWS($A$5:A10),Rosters!$B$2:$C$162,2,0),"?")</f>
        <v>Adam</v>
      </c>
      <c r="B10" s="6" t="str">
        <f>_xlfn.IFNA(VLOOKUP($B$3&amp;ROWS($B$5:B10),Rosters!$B$2:$D$162,3,0),"?")</f>
        <v>Egan</v>
      </c>
      <c r="C10" s="6">
        <f>_xlfn.IFNA(VLOOKUP($B$3&amp;ROWS($C$5:C10),Rosters!$B$2:$E$162,4,0),"")</f>
        <v>13</v>
      </c>
      <c r="E10" s="6">
        <v>9</v>
      </c>
      <c r="H10" s="6">
        <v>5</v>
      </c>
      <c r="K10" s="6">
        <v>3</v>
      </c>
      <c r="N10" s="6">
        <v>0</v>
      </c>
      <c r="Q10" s="6">
        <v>2</v>
      </c>
      <c r="T10" s="6">
        <v>0</v>
      </c>
    </row>
    <row r="11" spans="1:21" s="6" customFormat="1" x14ac:dyDescent="0.25">
      <c r="A11" s="5" t="str">
        <f>_xlfn.IFNA(VLOOKUP($B$3&amp;ROWS($A$5:A11),Rosters!$B$2:$C$162,2,0),"?")</f>
        <v>Wil</v>
      </c>
      <c r="B11" s="5" t="str">
        <f>_xlfn.IFNA(VLOOKUP($B$3&amp;ROWS($B$5:B11),Rosters!$B$2:$D$162,3,0),"?")</f>
        <v>Carter</v>
      </c>
      <c r="C11" s="5">
        <f>_xlfn.IFNA(VLOOKUP($B$3&amp;ROWS($C$5:C11),Rosters!$B$2:$E$162,4,0),"")</f>
        <v>15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5">
      <c r="A12" s="6" t="str">
        <f>_xlfn.IFNA(VLOOKUP($B$3&amp;ROWS($A$5:A12),Rosters!$B$2:$C$162,2,0),"?")</f>
        <v>Tony</v>
      </c>
      <c r="B12" s="6" t="str">
        <f>_xlfn.IFNA(VLOOKUP($B$3&amp;ROWS($B$5:B12),Rosters!$B$2:$D$162,3,0),"?")</f>
        <v>Roberts</v>
      </c>
      <c r="C12" s="6">
        <f>_xlfn.IFNA(VLOOKUP($B$3&amp;ROWS($C$5:C12),Rosters!$B$2:$E$162,4,0),"")</f>
        <v>21</v>
      </c>
      <c r="E12" s="6">
        <v>18</v>
      </c>
      <c r="H12" s="6">
        <v>10</v>
      </c>
      <c r="K12" s="6">
        <v>12</v>
      </c>
      <c r="N12" s="6">
        <v>2</v>
      </c>
      <c r="Q12" s="6">
        <v>3</v>
      </c>
      <c r="T12" s="6">
        <v>2</v>
      </c>
    </row>
    <row r="13" spans="1:21" s="6" customFormat="1" x14ac:dyDescent="0.25">
      <c r="A13" s="5" t="str">
        <f>_xlfn.IFNA(VLOOKUP($B$3&amp;ROWS($A$5:A13),Rosters!$B$2:$C$162,2,0),"?")</f>
        <v>Quan</v>
      </c>
      <c r="B13" s="5" t="str">
        <f>_xlfn.IFNA(VLOOKUP($B$3&amp;ROWS($B$5:B13),Rosters!$B$2:$D$162,3,0),"?")</f>
        <v>Thompson</v>
      </c>
      <c r="C13" s="5">
        <f>_xlfn.IFNA(VLOOKUP($B$3&amp;ROWS($C$5:C13),Rosters!$B$2:$E$162,4,0),"")</f>
        <v>24</v>
      </c>
      <c r="D13" s="5"/>
      <c r="E13" s="5">
        <v>6</v>
      </c>
      <c r="F13" s="5"/>
      <c r="G13" s="5"/>
      <c r="H13" s="5">
        <v>3</v>
      </c>
      <c r="I13" s="5"/>
      <c r="J13" s="5"/>
      <c r="K13" s="5">
        <v>9</v>
      </c>
      <c r="L13" s="5"/>
      <c r="M13" s="5"/>
      <c r="N13" s="5">
        <v>3</v>
      </c>
      <c r="O13" s="5"/>
      <c r="P13" s="5"/>
      <c r="Q13" s="5">
        <v>2</v>
      </c>
      <c r="R13" s="5"/>
      <c r="S13" s="5"/>
      <c r="T13" s="5">
        <v>1</v>
      </c>
      <c r="U13" s="5"/>
    </row>
    <row r="14" spans="1:21" s="6" customFormat="1" x14ac:dyDescent="0.25">
      <c r="A14" s="6" t="str">
        <f>_xlfn.IFNA(VLOOKUP($B$3&amp;ROWS($A$5:A14),Rosters!$B$2:$C$162,2,0),"?")</f>
        <v>Rylan</v>
      </c>
      <c r="B14" s="6" t="str">
        <f>_xlfn.IFNA(VLOOKUP($B$3&amp;ROWS($B$5:B14),Rosters!$B$2:$D$162,3,0),"?")</f>
        <v>Jones</v>
      </c>
      <c r="C14" s="6">
        <f>_xlfn.IFNA(VLOOKUP($B$3&amp;ROWS($C$5:C14),Rosters!$B$2:$E$162,4,0),"")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5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5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56</v>
      </c>
      <c r="H20">
        <f>SUM(H5:H19)</f>
        <v>30</v>
      </c>
      <c r="K20">
        <f>SUM(K5:K19)</f>
        <v>37</v>
      </c>
      <c r="N20">
        <f>SUM(N5:N19)</f>
        <v>10</v>
      </c>
      <c r="Q20">
        <f>SUM(Q5:Q19)</f>
        <v>15</v>
      </c>
      <c r="T20">
        <f>SUM(T5:T19)</f>
        <v>10</v>
      </c>
    </row>
    <row r="21" spans="1:21" x14ac:dyDescent="0.25">
      <c r="A21" s="2" t="s">
        <v>18</v>
      </c>
      <c r="B21" s="1" t="s">
        <v>23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Marquis</v>
      </c>
      <c r="B23" s="5" t="str">
        <f>_xlfn.IFNA(VLOOKUP($B$21&amp;ROWS($B$23:B23),Rosters!$B$2:$D$162,3,0),"?")</f>
        <v>O’Shea</v>
      </c>
      <c r="C23" s="5">
        <f>_xlfn.IFNA(VLOOKUP($B$21&amp;ROWS($C$23:C23),Rosters!$B$2:$E$162,4,0),"")</f>
        <v>0</v>
      </c>
      <c r="D23" s="5"/>
      <c r="E23" s="5">
        <v>3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1</v>
      </c>
      <c r="R23" s="5"/>
      <c r="S23" s="5"/>
      <c r="T23" s="5">
        <v>1</v>
      </c>
      <c r="U23" s="5"/>
    </row>
    <row r="24" spans="1:21" s="6" customFormat="1" x14ac:dyDescent="0.25">
      <c r="A24" s="6" t="str">
        <f>_xlfn.IFNA(VLOOKUP($B$21&amp;ROWS($A$23:A24),Rosters!$B$2:$C$162,2,0),"?")</f>
        <v>Jaren</v>
      </c>
      <c r="B24" s="6" t="str">
        <f>_xlfn.IFNA(VLOOKUP($B$21&amp;ROWS($B$23:B24),Rosters!$B$2:$D$162,3,0),"?")</f>
        <v>McKnight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>Elijah</v>
      </c>
      <c r="B25" s="5" t="str">
        <f>_xlfn.IFNA(VLOOKUP($B$21&amp;ROWS($B$23:B25),Rosters!$B$2:$D$162,3,0),"?")</f>
        <v>Davy</v>
      </c>
      <c r="C25" s="5">
        <f>_xlfn.IFNA(VLOOKUP($B$21&amp;ROWS($C$23:C25),Rosters!$B$2:$E$162,4,0),"")</f>
        <v>4</v>
      </c>
      <c r="D25" s="5"/>
      <c r="E25" s="5">
        <v>12</v>
      </c>
      <c r="F25" s="5"/>
      <c r="G25" s="5"/>
      <c r="H25" s="5">
        <v>4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7</v>
      </c>
      <c r="R25" s="5"/>
      <c r="S25" s="5"/>
      <c r="T25" s="5">
        <v>3</v>
      </c>
      <c r="U25" s="5"/>
    </row>
    <row r="26" spans="1:21" s="6" customFormat="1" x14ac:dyDescent="0.25">
      <c r="A26" s="6" t="str">
        <f>_xlfn.IFNA(VLOOKUP($B$21&amp;ROWS($A$23:A26),Rosters!$B$2:$C$162,2,0),"?")</f>
        <v>Jaxon</v>
      </c>
      <c r="B26" s="6" t="str">
        <f>_xlfn.IFNA(VLOOKUP($B$21&amp;ROWS($B$23:B26),Rosters!$B$2:$D$162,3,0),"?")</f>
        <v>Brenchley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5">
      <c r="A27" s="5" t="str">
        <f>_xlfn.IFNA(VLOOKUP($B$21&amp;ROWS($A$23:A27),Rosters!$B$2:$C$162,2,0),"?")</f>
        <v xml:space="preserve">Jay </v>
      </c>
      <c r="B27" s="5" t="str">
        <f>_xlfn.IFNA(VLOOKUP($B$21&amp;ROWS($B$23:B27),Rosters!$B$2:$D$162,3,0),"?")</f>
        <v>Payne</v>
      </c>
      <c r="C27" s="5">
        <f>_xlfn.IFNA(VLOOKUP($B$21&amp;ROWS($C$23:C27),Rosters!$B$2:$E$162,4,0),"")</f>
        <v>10</v>
      </c>
      <c r="D27" s="5"/>
      <c r="E27" s="5">
        <v>5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2</v>
      </c>
      <c r="R27" s="5"/>
      <c r="S27" s="5"/>
      <c r="T27" s="5">
        <v>2</v>
      </c>
      <c r="U27" s="5"/>
    </row>
    <row r="28" spans="1:21" s="6" customFormat="1" x14ac:dyDescent="0.25">
      <c r="A28" s="6" t="str">
        <f>_xlfn.IFNA(VLOOKUP($B$21&amp;ROWS($A$23:A28),Rosters!$B$2:$C$162,2,0),"?")</f>
        <v>Jaden</v>
      </c>
      <c r="B28" s="6" t="str">
        <f>_xlfn.IFNA(VLOOKUP($B$21&amp;ROWS($B$23:B28),Rosters!$B$2:$D$162,3,0),"?")</f>
        <v>Vaughn</v>
      </c>
      <c r="C28" s="6">
        <f>_xlfn.IFNA(VLOOKUP($B$21&amp;ROWS($C$23:C28),Rosters!$B$2:$E$162,4,0),"")</f>
        <v>11</v>
      </c>
      <c r="E28" s="6">
        <v>9</v>
      </c>
      <c r="H28" s="6">
        <v>4</v>
      </c>
      <c r="K28" s="6">
        <v>5</v>
      </c>
      <c r="N28" s="6">
        <v>1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Dason</v>
      </c>
      <c r="B29" s="5" t="str">
        <f>_xlfn.IFNA(VLOOKUP($B$21&amp;ROWS($B$23:B29),Rosters!$B$2:$D$162,3,0),"?")</f>
        <v>Youngblood</v>
      </c>
      <c r="C29" s="5">
        <f>_xlfn.IFNA(VLOOKUP($B$21&amp;ROWS($C$23:C29),Rosters!$B$2:$E$162,4,0),"")</f>
        <v>14</v>
      </c>
      <c r="D29" s="5"/>
      <c r="E29" s="5">
        <v>7</v>
      </c>
      <c r="F29" s="5"/>
      <c r="G29" s="5"/>
      <c r="H29" s="5">
        <v>3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1</v>
      </c>
      <c r="R29" s="5"/>
      <c r="S29" s="5"/>
      <c r="T29" s="5">
        <v>1</v>
      </c>
      <c r="U29" s="5"/>
    </row>
    <row r="30" spans="1:21" s="6" customFormat="1" x14ac:dyDescent="0.25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Clarke</v>
      </c>
      <c r="C30" s="6">
        <f>_xlfn.IFNA(VLOOKUP($B$21&amp;ROWS($C$23:C30),Rosters!$B$2:$E$162,4,0),"")</f>
        <v>15</v>
      </c>
      <c r="E30" s="6">
        <v>7</v>
      </c>
      <c r="H30" s="6">
        <v>3</v>
      </c>
      <c r="K30" s="6">
        <v>1</v>
      </c>
      <c r="N30" s="6">
        <v>0</v>
      </c>
      <c r="Q30" s="6">
        <v>0</v>
      </c>
      <c r="T30" s="6">
        <v>0</v>
      </c>
    </row>
    <row r="31" spans="1:21" s="6" customFormat="1" x14ac:dyDescent="0.25">
      <c r="A31" s="5" t="str">
        <f>_xlfn.IFNA(VLOOKUP($B$21&amp;ROWS($A$23:A31),Rosters!$B$2:$C$162,2,0),"?")</f>
        <v>Trevin</v>
      </c>
      <c r="B31" s="5" t="str">
        <f>_xlfn.IFNA(VLOOKUP($B$21&amp;ROWS($B$23:B31),Rosters!$B$2:$D$162,3,0),"?")</f>
        <v>Knell</v>
      </c>
      <c r="C31" s="5">
        <f>_xlfn.IFNA(VLOOKUP($B$21&amp;ROWS($C$23:C31),Rosters!$B$2:$E$162,4,0),"")</f>
        <v>21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5">
      <c r="A32" s="6" t="str">
        <f>_xlfn.IFNA(VLOOKUP($B$21&amp;ROWS($A$23:A32),Rosters!$B$2:$C$162,2,0),"?")</f>
        <v>Hank</v>
      </c>
      <c r="B32" s="6" t="str">
        <f>_xlfn.IFNA(VLOOKUP($B$21&amp;ROWS($B$23:B32),Rosters!$B$2:$D$162,3,0),"?")</f>
        <v>Bushell</v>
      </c>
      <c r="C32" s="6">
        <f>_xlfn.IFNA(VLOOKUP($B$21&amp;ROWS($C$23:C32),Rosters!$B$2:$E$162,4,0),"")</f>
        <v>23</v>
      </c>
      <c r="E32" s="6">
        <v>0</v>
      </c>
      <c r="H32" s="6">
        <v>0</v>
      </c>
      <c r="K32" s="6">
        <v>3</v>
      </c>
      <c r="N32" s="6">
        <v>1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Keon</v>
      </c>
      <c r="B33" s="5" t="str">
        <f>_xlfn.IFNA(VLOOKUP($B$21&amp;ROWS($B$23:B33),Rosters!$B$2:$D$162,3,0),"?")</f>
        <v>Burgout</v>
      </c>
      <c r="C33" s="5">
        <f>_xlfn.IFNA(VLOOKUP($B$21&amp;ROWS($C$23:C33),Rosters!$B$2:$E$162,4,0),"")</f>
        <v>24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Kaleb</v>
      </c>
      <c r="B34" s="6" t="str">
        <f>_xlfn.IFNA(VLOOKUP($B$21&amp;ROWS($B$23:B34),Rosters!$B$2:$D$162,3,0),"?")</f>
        <v>Wilborn</v>
      </c>
      <c r="C34" s="6">
        <f>_xlfn.IFNA(VLOOKUP($B$21&amp;ROWS($C$23:C34),Rosters!$B$2:$E$162,4,0),"")</f>
        <v>25</v>
      </c>
      <c r="D34"/>
      <c r="E34" s="6">
        <v>5</v>
      </c>
      <c r="F34"/>
      <c r="G34"/>
      <c r="H34" s="6">
        <v>2</v>
      </c>
      <c r="I34"/>
      <c r="J34"/>
      <c r="K34" s="6">
        <v>9</v>
      </c>
      <c r="L34"/>
      <c r="M34"/>
      <c r="N34" s="6">
        <v>3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">
        <v>275</v>
      </c>
      <c r="B35" s="5" t="s">
        <v>207</v>
      </c>
      <c r="C35" s="5">
        <v>1</v>
      </c>
      <c r="D35" s="5"/>
      <c r="E35" s="5">
        <v>10</v>
      </c>
      <c r="F35" s="5"/>
      <c r="G35" s="5"/>
      <c r="H35" s="5">
        <v>7</v>
      </c>
      <c r="I35" s="5"/>
      <c r="J35" s="5"/>
      <c r="K35" s="5">
        <v>12</v>
      </c>
      <c r="L35" s="5"/>
      <c r="M35" s="5"/>
      <c r="N35" s="5">
        <v>4</v>
      </c>
      <c r="O35" s="5"/>
      <c r="P35" s="5"/>
      <c r="Q35" s="5">
        <v>2</v>
      </c>
      <c r="R35" s="5"/>
      <c r="S35" s="5"/>
      <c r="T35" s="5">
        <v>2</v>
      </c>
      <c r="U35" s="5"/>
    </row>
    <row r="36" spans="1:21" s="6" customFormat="1" x14ac:dyDescent="0.25">
      <c r="A36" s="6" t="s">
        <v>227</v>
      </c>
      <c r="B36" s="6" t="s">
        <v>276</v>
      </c>
      <c r="C36" s="6">
        <v>30</v>
      </c>
      <c r="D36"/>
      <c r="E36" s="6">
        <v>4</v>
      </c>
      <c r="F36"/>
      <c r="G36"/>
      <c r="H36" s="6">
        <v>1</v>
      </c>
      <c r="I36"/>
      <c r="J36"/>
      <c r="K36" s="6">
        <v>2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62</v>
      </c>
      <c r="H38">
        <f>SUM(H23:H37)</f>
        <v>27</v>
      </c>
      <c r="K38">
        <f>SUM(K23:K37)</f>
        <v>34</v>
      </c>
      <c r="N38">
        <f>SUM(N23:N37)</f>
        <v>9</v>
      </c>
      <c r="Q38">
        <f>SUM(Q23:Q37)</f>
        <v>13</v>
      </c>
      <c r="T38">
        <f>SUM(T23:T37)</f>
        <v>9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3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5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5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5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5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5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5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5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5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5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5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5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5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5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5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5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5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5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5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5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5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5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5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5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5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5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5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5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5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5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5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5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5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5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5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5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5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5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5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5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5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5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5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5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5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5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5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5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5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5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5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5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5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5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5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5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5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5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5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5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5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5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5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5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5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5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5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5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5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5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5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5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5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5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5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5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5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5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5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5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5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5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5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5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5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5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5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5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5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5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5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5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5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25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5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5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5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5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5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5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5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5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5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5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5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5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5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5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5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5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5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5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5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5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5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5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5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5">
      <c r="A118" t="s">
        <v>20</v>
      </c>
      <c r="B118" t="str">
        <f>A118&amp;COUNTIF($A$2:$A118,A118)</f>
        <v>Berger7</v>
      </c>
      <c r="E118">
        <v>21</v>
      </c>
    </row>
    <row r="119" spans="1:5" x14ac:dyDescent="0.25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5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5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5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5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5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5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5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5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5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5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5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5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5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5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5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5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5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5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5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5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5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5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5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5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2021-07-03T03:52:09Z</dcterms:modified>
</cp:coreProperties>
</file>