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D61540F3-3EF8-3844-8A62-94A26EB5034E}" xr6:coauthVersionLast="47" xr6:coauthVersionMax="47" xr10:uidLastSave="{00000000-0000-0000-0000-000000000000}"/>
  <bookViews>
    <workbookView xWindow="0" yWindow="500" windowWidth="22120" windowHeight="1510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B18" i="1" l="1"/>
  <c r="C37" i="1" l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8" i="1"/>
  <c r="B8" i="1"/>
  <c r="A8" i="1"/>
  <c r="C12" i="1"/>
  <c r="B12" i="1"/>
  <c r="A12" i="1"/>
  <c r="C16" i="1"/>
  <c r="B16" i="1"/>
  <c r="A16" i="1"/>
  <c r="A14" i="1"/>
  <c r="C15" i="1"/>
  <c r="B15" i="1"/>
  <c r="A15" i="1"/>
  <c r="C14" i="1"/>
  <c r="B14" i="1"/>
  <c r="C13" i="1"/>
  <c r="B13" i="1"/>
  <c r="A13" i="1"/>
  <c r="C11" i="1"/>
  <c r="B11" i="1"/>
  <c r="A11" i="1"/>
  <c r="C10" i="1"/>
  <c r="B10" i="1"/>
  <c r="A10" i="1"/>
  <c r="C9" i="1"/>
  <c r="B9" i="1"/>
  <c r="A9" i="1"/>
  <c r="C7" i="1"/>
  <c r="B7" i="1"/>
  <c r="A7" i="1"/>
  <c r="C6" i="1"/>
  <c r="B6" i="1"/>
  <c r="A6" i="1"/>
  <c r="C5" i="1"/>
  <c r="B5" i="1"/>
  <c r="A5" i="1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2" i="2"/>
  <c r="B2" i="2"/>
  <c r="T38" i="1"/>
  <c r="Q38" i="1"/>
  <c r="N38" i="1"/>
  <c r="K38" i="1"/>
  <c r="H38" i="1"/>
  <c r="E38" i="1"/>
  <c r="T20" i="1"/>
  <c r="Q20" i="1"/>
  <c r="N20" i="1"/>
  <c r="K20" i="1"/>
  <c r="H20" i="1"/>
  <c r="E20" i="1"/>
  <c r="B3" i="2" l="1"/>
  <c r="B19" i="1"/>
  <c r="C19" i="1"/>
  <c r="A19" i="1"/>
</calcChain>
</file>

<file path=xl/sharedStrings.xml><?xml version="1.0" encoding="utf-8"?>
<sst xmlns="http://schemas.openxmlformats.org/spreadsheetml/2006/main" count="578" uniqueCount="274">
  <si>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</si>
  <si>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</si>
  <si>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</si>
  <si>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</si>
  <si>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</si>
  <si>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</si>
  <si>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</si>
  <si>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</si>
  <si>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</si>
  <si>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</si>
  <si>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</si>
  <si>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</si>
  <si>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</si>
  <si>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</si>
  <si>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</si>
  <si>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</si>
  <si>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</si>
  <si>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</si>
  <si>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</si>
  <si>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</si>
  <si>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</si>
  <si>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</si>
  <si>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</si>
  <si>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</si>
  <si>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</si>
  <si>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</si>
  <si>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</si>
  <si>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</si>
  <si>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</si>
  <si>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</si>
  <si>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</si>
  <si>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</si>
  <si>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</si>
  <si>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</si>
  <si>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</si>
  <si>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</si>
  <si>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</si>
  <si>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</si>
  <si>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</si>
  <si>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</si>
  <si>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</si>
  <si>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</si>
  <si>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</si>
  <si>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</si>
  <si>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</si>
  <si>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</si>
  <si>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</si>
  <si>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</si>
  <si>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</si>
  <si>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</si>
  <si>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</si>
  <si>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</si>
  <si>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</si>
  <si>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</si>
  <si>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</si>
  <si>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</si>
  <si>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</si>
  <si>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</si>
  <si>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</si>
  <si>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</si>
  <si>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</si>
  <si>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</si>
  <si>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</si>
  <si>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</si>
  <si>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</si>
  <si>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</si>
  <si>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</si>
  <si>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</si>
  <si>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</si>
  <si>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</si>
  <si>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</si>
  <si>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</si>
  <si>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</si>
  <si>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</si>
  <si>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</si>
  <si>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</si>
  <si>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</si>
  <si>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</si>
  <si>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</si>
  <si>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</si>
  <si>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</si>
  <si>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</si>
  <si>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</si>
  <si>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</si>
  <si>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</si>
  <si>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</si>
  <si>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</si>
  <si>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</si>
  <si>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</si>
  <si>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</si>
  <si>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</si>
  <si>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</si>
  <si>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</si>
  <si>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</si>
  <si>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</si>
  <si>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</si>
  <si>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</si>
  <si>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</si>
  <si>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</si>
  <si>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</si>
  <si>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</si>
  <si>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</si>
  <si>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</si>
  <si>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</si>
  <si>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</si>
  <si>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</si>
  <si>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</si>
  <si>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</si>
  <si>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</si>
  <si>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</si>
  <si>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</si>
  <si>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</si>
  <si>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</si>
  <si>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</si>
  <si>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</si>
  <si>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</si>
  <si>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</si>
  <si>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</si>
  <si>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</si>
  <si>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</si>
  <si>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</si>
  <si>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</si>
  <si>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</si>
  <si>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</si>
  <si>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</si>
  <si>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</si>
  <si>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</si>
  <si>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</si>
  <si>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</si>
  <si>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</si>
  <si>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</si>
  <si>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</si>
  <si>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</si>
  <si>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</si>
  <si>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</si>
  <si>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</si>
  <si>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</si>
  <si>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</si>
  <si>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</si>
  <si>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</si>
  <si>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</si>
  <si>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</si>
  <si>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</si>
  <si>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</si>
  <si>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</si>
  <si>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</si>
  <si>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</si>
  <si>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</si>
  <si>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</si>
  <si>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</si>
  <si>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</si>
  <si>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</si>
  <si>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</si>
  <si>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</si>
  <si>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</si>
  <si>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</si>
  <si>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</si>
  <si>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</si>
  <si>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</si>
  <si>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</si>
  <si>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</si>
  <si>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</si>
  <si>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</si>
  <si>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</si>
  <si>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</si>
  <si>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</si>
  <si>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</si>
  <si>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</si>
  <si>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</si>
  <si>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</si>
  <si>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</si>
  <si>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</si>
  <si>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</si>
  <si>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</si>
  <si>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</si>
  <si>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</si>
  <si>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</si>
  <si>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</si>
  <si>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</si>
  <si>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</si>
  <si>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</si>
  <si>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</si>
  <si>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</si>
  <si>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</si>
  <si>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</si>
  <si>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</si>
  <si>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</si>
  <si>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</si>
  <si>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</si>
  <si>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</si>
  <si>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</si>
  <si>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</si>
  <si>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</si>
  <si>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</si>
  <si>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</si>
  <si>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</si>
  <si>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</si>
  <si>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</si>
  <si>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</si>
  <si>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</si>
  <si>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</si>
  <si>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</si>
  <si>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</si>
  <si>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</si>
  <si>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</si>
  <si>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</si>
  <si>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</si>
  <si>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</si>
  <si>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</si>
  <si>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</si>
  <si>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</si>
  <si>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</si>
  <si>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</si>
  <si>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</si>
  <si>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</si>
  <si>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</si>
  <si>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</si>
  <si>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</si>
  <si>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</si>
  <si>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</si>
  <si>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</si>
  <si>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</si>
  <si>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</si>
  <si>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</si>
  <si>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</si>
  <si>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</si>
  <si>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</si>
  <si>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</si>
  <si>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</si>
  <si>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</si>
  <si>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</si>
  <si>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</si>
  <si>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</si>
  <si>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</si>
  <si>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</si>
  <si>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</si>
  <si>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</si>
  <si>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</si>
  <si>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</si>
  <si>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</si>
  <si>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</si>
  <si>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</si>
  <si>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</si>
  <si>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</si>
  <si>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</si>
  <si>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</si>
  <si>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</si>
  <si>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</si>
  <si>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</si>
  <si>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</si>
  <si>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</si>
  <si>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</si>
  <si>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</si>
  <si>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</si>
  <si>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</si>
  <si>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</si>
  <si>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</si>
  <si>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</si>
  <si>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</si>
  <si>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</si>
  <si>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</si>
  <si>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</si>
  <si>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</si>
  <si>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</si>
  <si>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</si>
  <si>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</si>
  <si>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</si>
  <si>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</si>
  <si>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</si>
  <si>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</si>
  <si>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Steal</t>
  </si>
  <si>
    <t>Demps</t>
  </si>
  <si>
    <t>?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</si>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</sst>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J20" sqref="J20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">
        <v>19</v>
      </c>
    </row>
    <row r="2" spans="2:13" x14ac:dyDescent="0.2">
      <c r="B2" t="str">
        <f>G1</f>
        <v>Egan</v>
      </c>
      <c r="D2" t="str">
        <f>G20</f>
        <v>Clarke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264</v>
      </c>
      <c r="M2" t="s">
        <v>265</v>
      </c>
    </row>
    <row r="3" spans="2:13" x14ac:dyDescent="0.2">
      <c r="B3">
        <f>I18</f>
        <v>14</v>
      </c>
      <c r="C3" s="3" t="s">
        <v>6</v>
      </c>
      <c r="D3" s="4">
        <f>I37</f>
        <v>11</v>
      </c>
      <c r="F3" t="s">
        <v>246</v>
      </c>
      <c r="G3" t="s">
        <v>247</v>
      </c>
      <c r="H3">
        <v>0</v>
      </c>
      <c r="I3">
        <v>3</v>
      </c>
      <c r="J3">
        <v>7</v>
      </c>
      <c r="K3">
        <v>10</v>
      </c>
      <c r="L3">
        <v>0</v>
      </c>
      <c r="M3">
        <v>3</v>
      </c>
    </row>
    <row r="4" spans="2:13" x14ac:dyDescent="0.2">
      <c r="F4" t="s">
        <v>196</v>
      </c>
      <c r="G4" t="s">
        <v>242</v>
      </c>
      <c r="H4">
        <v>1</v>
      </c>
      <c r="I4">
        <v>1</v>
      </c>
      <c r="J4">
        <v>2</v>
      </c>
      <c r="K4">
        <v>3</v>
      </c>
      <c r="L4">
        <v>0</v>
      </c>
      <c r="M4">
        <v>0</v>
      </c>
    </row>
    <row r="5" spans="2:13" x14ac:dyDescent="0.2">
      <c r="F5" t="s">
        <v>243</v>
      </c>
      <c r="G5" t="s">
        <v>244</v>
      </c>
      <c r="H5">
        <v>7</v>
      </c>
      <c r="I5">
        <v>3</v>
      </c>
      <c r="J5">
        <v>9</v>
      </c>
      <c r="K5">
        <v>12</v>
      </c>
      <c r="L5">
        <v>0</v>
      </c>
      <c r="M5">
        <v>2</v>
      </c>
    </row>
    <row r="6" spans="2:13" x14ac:dyDescent="0.2">
      <c r="F6" t="s">
        <v>251</v>
      </c>
      <c r="G6" t="s">
        <v>252</v>
      </c>
      <c r="H6">
        <v>8</v>
      </c>
      <c r="I6">
        <v>0</v>
      </c>
      <c r="J6">
        <v>0</v>
      </c>
      <c r="K6">
        <v>0</v>
      </c>
      <c r="L6">
        <v>0</v>
      </c>
      <c r="M6">
        <v>0</v>
      </c>
    </row>
    <row r="7" spans="2:13" x14ac:dyDescent="0.2">
      <c r="F7" t="s">
        <v>248</v>
      </c>
      <c r="G7" t="s">
        <v>249</v>
      </c>
      <c r="H7">
        <v>12</v>
      </c>
      <c r="I7">
        <v>0</v>
      </c>
      <c r="J7">
        <v>3</v>
      </c>
      <c r="K7">
        <v>3</v>
      </c>
      <c r="L7">
        <v>3</v>
      </c>
      <c r="M7">
        <v>3</v>
      </c>
    </row>
    <row r="8" spans="2:13" x14ac:dyDescent="0.2">
      <c r="F8" t="s">
        <v>147</v>
      </c>
      <c r="G8" t="s">
        <v>19</v>
      </c>
      <c r="H8">
        <v>13</v>
      </c>
      <c r="I8">
        <v>2</v>
      </c>
      <c r="J8">
        <v>3</v>
      </c>
      <c r="K8">
        <v>5</v>
      </c>
      <c r="L8">
        <v>1</v>
      </c>
      <c r="M8">
        <v>4</v>
      </c>
    </row>
    <row r="9" spans="2:13" x14ac:dyDescent="0.2">
      <c r="F9" t="s">
        <v>240</v>
      </c>
      <c r="G9" t="s">
        <v>241</v>
      </c>
      <c r="H9">
        <v>15</v>
      </c>
      <c r="I9">
        <v>0</v>
      </c>
      <c r="J9">
        <v>0</v>
      </c>
      <c r="K9">
        <v>0</v>
      </c>
      <c r="L9">
        <v>0</v>
      </c>
      <c r="M9">
        <v>1</v>
      </c>
    </row>
    <row r="10" spans="2:13" x14ac:dyDescent="0.2">
      <c r="F10" t="s">
        <v>245</v>
      </c>
      <c r="G10" t="s">
        <v>22</v>
      </c>
      <c r="H10">
        <v>21</v>
      </c>
      <c r="I10">
        <v>3</v>
      </c>
      <c r="J10">
        <v>16</v>
      </c>
      <c r="K10">
        <v>19</v>
      </c>
      <c r="L10">
        <v>2</v>
      </c>
      <c r="M10">
        <v>2</v>
      </c>
    </row>
    <row r="11" spans="2:13" x14ac:dyDescent="0.2">
      <c r="F11" t="s">
        <v>253</v>
      </c>
      <c r="G11" t="s">
        <v>232</v>
      </c>
      <c r="H11">
        <v>24</v>
      </c>
      <c r="I11">
        <v>2</v>
      </c>
      <c r="J11">
        <v>4</v>
      </c>
      <c r="K11">
        <v>6</v>
      </c>
      <c r="L11">
        <v>1</v>
      </c>
      <c r="M11">
        <v>1</v>
      </c>
    </row>
    <row r="12" spans="2:13" x14ac:dyDescent="0.2">
      <c r="F12" t="s">
        <v>250</v>
      </c>
      <c r="G12" t="s">
        <v>102</v>
      </c>
      <c r="H12">
        <v>30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2:13" x14ac:dyDescent="0.2">
      <c r="F13" t="s">
        <v>272</v>
      </c>
      <c r="G13" t="s">
        <v>272</v>
      </c>
      <c r="H13" t="s">
        <v>273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2:13" x14ac:dyDescent="0.2">
      <c r="F14" t="s">
        <v>272</v>
      </c>
      <c r="G14" t="s">
        <v>272</v>
      </c>
      <c r="H14" t="s">
        <v>273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2:13" x14ac:dyDescent="0.2">
      <c r="F15" t="s">
        <v>272</v>
      </c>
      <c r="G15" t="s">
        <v>272</v>
      </c>
      <c r="H15" t="s">
        <v>273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2:13" x14ac:dyDescent="0.2">
      <c r="F16" t="s">
        <v>272</v>
      </c>
      <c r="G16" t="s">
        <v>272</v>
      </c>
      <c r="H16" t="s">
        <v>273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6:13" x14ac:dyDescent="0.2">
      <c r="F17" t="s">
        <v>272</v>
      </c>
      <c r="G17" t="s">
        <v>272</v>
      </c>
      <c r="H17" t="s">
        <v>273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6:13" x14ac:dyDescent="0.2">
      <c r="H18" s="2" t="s">
        <v>5</v>
      </c>
      <c r="I18">
        <v>14</v>
      </c>
      <c r="J18">
        <v>44</v>
      </c>
      <c r="K18">
        <v>58</v>
      </c>
      <c r="L18">
        <v>7</v>
      </c>
      <c r="M18">
        <v>16</v>
      </c>
    </row>
    <row r="20" spans="6:13" x14ac:dyDescent="0.2">
      <c r="F20" t="s">
        <v>4</v>
      </c>
      <c r="G20" t="s">
        <v>14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267</v>
      </c>
      <c r="K21" t="s">
        <v>268</v>
      </c>
      <c r="L21" t="s">
        <v>264</v>
      </c>
      <c r="M21" t="s">
        <v>265</v>
      </c>
    </row>
    <row r="22" spans="6:13" x14ac:dyDescent="0.2">
      <c r="F22" t="s">
        <v>71</v>
      </c>
      <c r="G22" t="s">
        <v>72</v>
      </c>
      <c r="H22">
        <v>0</v>
      </c>
      <c r="I22">
        <v>0</v>
      </c>
      <c r="J22">
        <v>3</v>
      </c>
      <c r="K22">
        <v>3</v>
      </c>
      <c r="L22">
        <v>2</v>
      </c>
      <c r="M22">
        <v>2</v>
      </c>
    </row>
    <row r="23" spans="6:13" x14ac:dyDescent="0.2">
      <c r="F23" t="s">
        <v>79</v>
      </c>
      <c r="G23" t="s">
        <v>80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6:13" x14ac:dyDescent="0.2">
      <c r="F24" t="s">
        <v>88</v>
      </c>
      <c r="G24" t="s">
        <v>89</v>
      </c>
      <c r="H24">
        <v>4</v>
      </c>
      <c r="I24">
        <v>0</v>
      </c>
      <c r="J24">
        <v>2</v>
      </c>
      <c r="K24">
        <v>2</v>
      </c>
      <c r="L24">
        <v>0</v>
      </c>
      <c r="M24">
        <v>1</v>
      </c>
    </row>
    <row r="25" spans="6:13" x14ac:dyDescent="0.2">
      <c r="F25" t="s">
        <v>81</v>
      </c>
      <c r="G25" t="s">
        <v>82</v>
      </c>
      <c r="H25">
        <v>5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6:13" x14ac:dyDescent="0.2">
      <c r="F26" t="s">
        <v>73</v>
      </c>
      <c r="G26" t="s">
        <v>74</v>
      </c>
      <c r="H26">
        <v>10</v>
      </c>
      <c r="I26">
        <v>3</v>
      </c>
      <c r="J26">
        <v>7</v>
      </c>
      <c r="K26">
        <v>10</v>
      </c>
      <c r="L26">
        <v>1</v>
      </c>
      <c r="M26">
        <v>1</v>
      </c>
    </row>
    <row r="27" spans="6:13" x14ac:dyDescent="0.2">
      <c r="F27" t="s">
        <v>75</v>
      </c>
      <c r="G27" t="s">
        <v>76</v>
      </c>
      <c r="H27">
        <v>11</v>
      </c>
      <c r="I27">
        <v>1</v>
      </c>
      <c r="J27">
        <v>2</v>
      </c>
      <c r="K27">
        <v>3</v>
      </c>
      <c r="L27">
        <v>1</v>
      </c>
      <c r="M27">
        <v>2</v>
      </c>
    </row>
    <row r="28" spans="6:13" x14ac:dyDescent="0.2">
      <c r="F28" t="s">
        <v>85</v>
      </c>
      <c r="G28" t="s">
        <v>86</v>
      </c>
      <c r="H28">
        <v>14</v>
      </c>
      <c r="I28">
        <v>3</v>
      </c>
      <c r="J28">
        <v>2</v>
      </c>
      <c r="K28">
        <v>5</v>
      </c>
      <c r="L28">
        <v>0</v>
      </c>
      <c r="M28">
        <v>0</v>
      </c>
    </row>
    <row r="29" spans="6:13" x14ac:dyDescent="0.2">
      <c r="F29" t="s">
        <v>87</v>
      </c>
      <c r="G29" t="s">
        <v>14</v>
      </c>
      <c r="H29">
        <v>15</v>
      </c>
      <c r="I29">
        <v>0</v>
      </c>
      <c r="J29">
        <v>3</v>
      </c>
      <c r="K29">
        <v>3</v>
      </c>
      <c r="L29">
        <v>0</v>
      </c>
      <c r="M29">
        <v>2</v>
      </c>
    </row>
    <row r="30" spans="6:13" x14ac:dyDescent="0.2">
      <c r="F30" t="s">
        <v>83</v>
      </c>
      <c r="G30" t="s">
        <v>84</v>
      </c>
      <c r="H30">
        <v>21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6:13" x14ac:dyDescent="0.2">
      <c r="F31" t="s">
        <v>90</v>
      </c>
      <c r="G31" t="s">
        <v>91</v>
      </c>
      <c r="H31">
        <v>23</v>
      </c>
      <c r="I31">
        <v>1</v>
      </c>
      <c r="J31">
        <v>3</v>
      </c>
      <c r="K31">
        <v>4</v>
      </c>
      <c r="L31">
        <v>1</v>
      </c>
      <c r="M31">
        <v>0</v>
      </c>
    </row>
    <row r="32" spans="6:13" x14ac:dyDescent="0.2">
      <c r="F32" t="s">
        <v>77</v>
      </c>
      <c r="G32" t="s">
        <v>78</v>
      </c>
      <c r="H32">
        <v>24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6:13" x14ac:dyDescent="0.2">
      <c r="F33" t="s">
        <v>92</v>
      </c>
      <c r="G33" t="s">
        <v>93</v>
      </c>
      <c r="H33">
        <v>25</v>
      </c>
      <c r="I33">
        <v>0</v>
      </c>
      <c r="J33">
        <v>8</v>
      </c>
      <c r="K33">
        <v>8</v>
      </c>
      <c r="L33">
        <v>2</v>
      </c>
      <c r="M33">
        <v>1</v>
      </c>
    </row>
    <row r="34" spans="6:13" x14ac:dyDescent="0.2">
      <c r="F34" t="s">
        <v>57</v>
      </c>
      <c r="G34" t="s">
        <v>198</v>
      </c>
      <c r="H34">
        <v>1</v>
      </c>
      <c r="I34">
        <v>2</v>
      </c>
      <c r="J34">
        <v>7</v>
      </c>
      <c r="K34">
        <v>9</v>
      </c>
      <c r="L34">
        <v>0</v>
      </c>
      <c r="M34">
        <v>2</v>
      </c>
    </row>
    <row r="35" spans="6:13" x14ac:dyDescent="0.2">
      <c r="F35" t="s">
        <v>218</v>
      </c>
      <c r="G35" t="s">
        <v>271</v>
      </c>
      <c r="H35">
        <v>30</v>
      </c>
      <c r="I35">
        <v>1</v>
      </c>
      <c r="J35">
        <v>1</v>
      </c>
      <c r="K35">
        <v>2</v>
      </c>
      <c r="L35">
        <v>0</v>
      </c>
      <c r="M35">
        <v>2</v>
      </c>
    </row>
    <row r="36" spans="6:13" x14ac:dyDescent="0.2">
      <c r="F36" t="s">
        <v>272</v>
      </c>
      <c r="G36" t="s">
        <v>272</v>
      </c>
      <c r="H36" t="s">
        <v>273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6:13" x14ac:dyDescent="0.2">
      <c r="H37" t="s">
        <v>5</v>
      </c>
      <c r="I37">
        <v>11</v>
      </c>
      <c r="J37">
        <v>37</v>
      </c>
      <c r="K37">
        <v>48</v>
      </c>
      <c r="L37">
        <v>7</v>
      </c>
      <c r="M37">
        <v>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40"/>
  <sheetViews>
    <sheetView topLeftCell="A8" workbookViewId="0">
      <selection activeCell="B18" sqref="B18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9</v>
      </c>
      <c r="B3" s="1" t="s">
        <v>14</v>
      </c>
    </row>
    <row r="4" spans="1:21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</row>
    <row r="5" spans="1:21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O’Shea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3</v>
      </c>
      <c r="I5" s="5"/>
      <c r="J5" s="5"/>
      <c r="K5" s="5">
        <v>2</v>
      </c>
      <c r="L5" s="5"/>
      <c r="M5" s="5"/>
      <c r="N5" s="5">
        <v>2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 xml:space="preserve">Jay 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3</v>
      </c>
      <c r="F9" s="5"/>
      <c r="G9" s="5"/>
      <c r="H9" s="5">
        <v>7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1</v>
      </c>
      <c r="H10" s="6">
        <v>2</v>
      </c>
      <c r="K10" s="6">
        <v>1</v>
      </c>
      <c r="N10" s="6">
        <v>2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3</v>
      </c>
      <c r="F11" s="5"/>
      <c r="G11" s="5"/>
      <c r="H11" s="5">
        <v>2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3</v>
      </c>
      <c r="K12" s="6">
        <v>0</v>
      </c>
      <c r="N12" s="6">
        <v>2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1</v>
      </c>
      <c r="H14" s="6">
        <v>3</v>
      </c>
      <c r="K14" s="6">
        <v>1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8</v>
      </c>
      <c r="K16" s="6">
        <v>2</v>
      </c>
      <c r="N16" s="6">
        <v>1</v>
      </c>
      <c r="Q16" s="6">
        <v>0</v>
      </c>
      <c r="T16" s="6">
        <v>0</v>
      </c>
    </row>
    <row r="17" spans="1:21" s="6" customFormat="1" x14ac:dyDescent="0.2">
      <c r="A17" s="5" t="s">
        <v>57</v>
      </c>
      <c r="B17" s="5" t="s">
        <v>198</v>
      </c>
      <c r="C17" s="5">
        <v>1</v>
      </c>
      <c r="D17" s="5"/>
      <c r="E17" s="5">
        <v>2</v>
      </c>
      <c r="F17" s="5"/>
      <c r="G17" s="5"/>
      <c r="H17" s="5">
        <v>7</v>
      </c>
      <c r="I17" s="5"/>
      <c r="J17" s="5"/>
      <c r="K17" s="5">
        <v>0</v>
      </c>
      <c r="L17" s="5"/>
      <c r="M17" s="5"/>
      <c r="N17" s="5">
        <v>2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218</v>
      </c>
      <c r="B18" s="6" t="str">
        <f>_xlfn.IFNA(VLOOKUP($B$3&amp;ROWS($B$5:B18),Rosters!$B$2:$D$162,3,0),"?")</f>
        <v>?</v>
      </c>
      <c r="C18" s="6">
        <v>30</v>
      </c>
      <c r="E18" s="6">
        <v>1</v>
      </c>
      <c r="H18" s="6">
        <v>1</v>
      </c>
      <c r="K18" s="6">
        <v>0</v>
      </c>
      <c r="N18" s="6">
        <v>2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-1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11</v>
      </c>
      <c r="H20">
        <f>SUM(H5:H19)</f>
        <v>37</v>
      </c>
      <c r="K20">
        <f>SUM(K5:K19)</f>
        <v>7</v>
      </c>
      <c r="N20">
        <f>SUM(N5:N19)</f>
        <v>13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19</v>
      </c>
    </row>
    <row r="22" spans="1:21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</row>
    <row r="23" spans="1:21" s="6" customFormat="1" x14ac:dyDescent="0.2">
      <c r="A23" t="s">
        <v>246</v>
      </c>
      <c r="B23" t="s">
        <v>247</v>
      </c>
      <c r="C23">
        <v>0</v>
      </c>
      <c r="D23" s="5"/>
      <c r="E23" s="5">
        <v>3</v>
      </c>
      <c r="F23" s="5"/>
      <c r="G23" s="5"/>
      <c r="H23" s="5">
        <v>7</v>
      </c>
      <c r="I23" s="5"/>
      <c r="J23" s="5"/>
      <c r="K23" s="5">
        <v>0</v>
      </c>
      <c r="L23" s="5"/>
      <c r="M23" s="5"/>
      <c r="N23" s="5">
        <v>3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t="s">
        <v>196</v>
      </c>
      <c r="B24" t="s">
        <v>242</v>
      </c>
      <c r="C24">
        <v>1</v>
      </c>
      <c r="E24" s="6">
        <v>1</v>
      </c>
      <c r="H24" s="6">
        <v>2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t="s">
        <v>243</v>
      </c>
      <c r="B25" t="s">
        <v>244</v>
      </c>
      <c r="C25">
        <v>7</v>
      </c>
      <c r="D25" s="5"/>
      <c r="E25" s="5">
        <v>3</v>
      </c>
      <c r="F25" s="5"/>
      <c r="G25" s="5"/>
      <c r="H25" s="5">
        <v>9</v>
      </c>
      <c r="I25" s="5"/>
      <c r="J25" s="5"/>
      <c r="K25" s="5">
        <v>0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t="s">
        <v>251</v>
      </c>
      <c r="B26" t="s">
        <v>252</v>
      </c>
      <c r="C26">
        <v>8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t="s">
        <v>248</v>
      </c>
      <c r="B27" t="s">
        <v>249</v>
      </c>
      <c r="C27">
        <v>12</v>
      </c>
      <c r="D27" s="5"/>
      <c r="E27" s="5">
        <v>0</v>
      </c>
      <c r="F27" s="5"/>
      <c r="G27" s="5"/>
      <c r="H27" s="5">
        <v>3</v>
      </c>
      <c r="I27" s="5"/>
      <c r="J27" s="5"/>
      <c r="K27" s="5">
        <v>3</v>
      </c>
      <c r="L27" s="5"/>
      <c r="M27" s="5"/>
      <c r="N27" s="5">
        <v>3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t="s">
        <v>147</v>
      </c>
      <c r="B28" t="s">
        <v>19</v>
      </c>
      <c r="C28">
        <v>13</v>
      </c>
      <c r="E28" s="6">
        <v>2</v>
      </c>
      <c r="H28" s="6">
        <v>3</v>
      </c>
      <c r="K28" s="6">
        <v>1</v>
      </c>
      <c r="N28" s="6">
        <v>4</v>
      </c>
      <c r="Q28" s="6">
        <v>0</v>
      </c>
      <c r="T28" s="6">
        <v>0</v>
      </c>
    </row>
    <row r="29" spans="1:21" s="6" customFormat="1" x14ac:dyDescent="0.2">
      <c r="A29" t="s">
        <v>240</v>
      </c>
      <c r="B29" t="s">
        <v>241</v>
      </c>
      <c r="C29">
        <v>15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t="s">
        <v>245</v>
      </c>
      <c r="B30" t="s">
        <v>22</v>
      </c>
      <c r="C30">
        <v>21</v>
      </c>
      <c r="E30" s="6">
        <v>3</v>
      </c>
      <c r="H30" s="6">
        <v>16</v>
      </c>
      <c r="K30" s="6">
        <v>2</v>
      </c>
      <c r="N30" s="6">
        <v>2</v>
      </c>
      <c r="Q30" s="6">
        <v>0</v>
      </c>
      <c r="T30" s="6">
        <v>0</v>
      </c>
    </row>
    <row r="31" spans="1:21" s="6" customFormat="1" x14ac:dyDescent="0.2">
      <c r="A31" t="s">
        <v>253</v>
      </c>
      <c r="B31" t="s">
        <v>232</v>
      </c>
      <c r="C31">
        <v>24</v>
      </c>
      <c r="D31" s="5"/>
      <c r="E31" s="5">
        <v>2</v>
      </c>
      <c r="F31" s="5"/>
      <c r="G31" s="5"/>
      <c r="H31" s="5">
        <v>4</v>
      </c>
      <c r="I31" s="5"/>
      <c r="J31" s="5"/>
      <c r="K31" s="5">
        <v>1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t="s">
        <v>250</v>
      </c>
      <c r="B32" t="s">
        <v>102</v>
      </c>
      <c r="C32">
        <v>30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_xlfn.IFNA(VLOOKUP($B$3&amp;ROWS($A$5:A33),Rosters!$B$2:$C$162,2,0),"?")</f>
        <v>?</v>
      </c>
      <c r="B33" s="5" t="str">
        <f>_xlfn.IFNA(VLOOKUP($B$3&amp;ROWS($B$5:B33),Rosters!$B$2:$D$162,3,0),"?")</f>
        <v>?</v>
      </c>
      <c r="C33" s="5" t="str">
        <f>_xlfn.IFNA(VLOOKUP($B$3&amp;ROWS($C$5:C33),Rosters!$B$2:$E$162,4,0),"")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_xlfn.IFNA(VLOOKUP($B$3&amp;ROWS($A$5:A34),Rosters!$B$2:$C$162,2,0),"?")</f>
        <v>?</v>
      </c>
      <c r="B34" s="6" t="str">
        <f>_xlfn.IFNA(VLOOKUP($B$3&amp;ROWS($B$5:B34),Rosters!$B$2:$D$162,3,0),"?")</f>
        <v>?</v>
      </c>
      <c r="C34" s="6" t="str">
        <f>_xlfn.IFNA(VLOOKUP($B$3&amp;ROWS($C$5:C34),Rosters!$B$2:$E$162,4,0),"")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_xlfn.IFNA(VLOOKUP($B$3&amp;ROWS($A$5:A35),Rosters!$B$2:$C$162,2,0),"?")</f>
        <v>?</v>
      </c>
      <c r="B35" s="5" t="str">
        <f>_xlfn.IFNA(VLOOKUP($B$3&amp;ROWS($B$5:B35),Rosters!$B$2:$D$162,3,0),"?")</f>
        <v>?</v>
      </c>
      <c r="C35" s="5" t="str">
        <f>_xlfn.IFNA(VLOOKUP($B$3&amp;ROWS($C$5:C35),Rosters!$B$2:$E$162,4,0),"")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_xlfn.IFNA(VLOOKUP($B$3&amp;ROWS($A$5:A36),Rosters!$B$2:$C$162,2,0),"?")</f>
        <v>?</v>
      </c>
      <c r="B36" s="6" t="str">
        <f>_xlfn.IFNA(VLOOKUP($B$3&amp;ROWS($B$5:B36),Rosters!$B$2:$D$162,3,0),"?")</f>
        <v>?</v>
      </c>
      <c r="C36" s="6" t="str">
        <f>_xlfn.IFNA(VLOOKUP($B$3&amp;ROWS($C$5:C36),Rosters!$B$2:$E$162,4,0),"")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_xlfn.IFNA(VLOOKUP($B$3&amp;ROWS($A$5:A37),Rosters!$B$2:$C$162,2,0),"?")</f>
        <v>?</v>
      </c>
      <c r="B37" s="5" t="str">
        <f>_xlfn.IFNA(VLOOKUP($B$3&amp;ROWS($B$5:B37),Rosters!$B$2:$D$162,3,0),"?")</f>
        <v>?</v>
      </c>
      <c r="C37" s="5" t="str">
        <f>_xlfn.IFNA(VLOOKUP($B$3&amp;ROWS($C$5:C37),Rosters!$B$2:$E$162,4,0),"")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14</v>
      </c>
      <c r="H38">
        <f>SUM(H23:H37)</f>
        <v>44</v>
      </c>
      <c r="K38">
        <f>SUM(K23:K37)</f>
        <v>7</v>
      </c>
      <c r="N38">
        <f>SUM(N23:N37)</f>
        <v>16</v>
      </c>
      <c r="Q38">
        <f>SUM(Q23:Q37)</f>
        <v>0</v>
      </c>
      <c r="T38">
        <f>SUM(T23:T37)</f>
        <v>0</v>
      </c>
    </row>
    <row r="39" spans="1:21" x14ac:dyDescent="0.2">
      <c r="C39" s="5"/>
      <c r="K39" s="5"/>
    </row>
    <row r="40" spans="1:21" x14ac:dyDescent="0.2">
      <c r="E40" t="s">
        <v>266</v>
      </c>
      <c r="H40" t="s">
        <v>267</v>
      </c>
      <c r="K40" t="s">
        <v>270</v>
      </c>
      <c r="N40" t="s">
        <v>265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22" workbookViewId="0">
      <selection activeCell="C130" sqref="C130:E139"/>
    </sheetView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2021-07-03T16:08:14Z</dcterms:modified>
</cp:coreProperties>
</file>