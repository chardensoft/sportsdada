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3C597E28-1F7A-6242-82BE-BE3DD6F65EA5}" xr6:coauthVersionLast="47" xr6:coauthVersionMax="47" xr10:uidLastSave="{00000000-0000-0000-0000-000000000000}"/>
  <bookViews>
    <workbookView xWindow="10160" yWindow="1000" windowWidth="1822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1" l="1"/>
  <c r="B23" i="1"/>
  <c r="C23" i="1"/>
  <c r="A24" i="1"/>
  <c r="B24" i="1"/>
  <c r="C24" i="1"/>
  <c r="A25" i="1"/>
  <c r="B25" i="1"/>
  <c r="C25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A35" i="1"/>
  <c r="B35" i="1"/>
  <c r="C35" i="1"/>
  <c r="A36" i="1"/>
  <c r="B36" i="1"/>
  <c r="C36" i="1"/>
  <c r="C6" i="1"/>
  <c r="B6" i="1"/>
  <c r="A6" i="1"/>
  <c r="C5" i="1"/>
  <c r="B5" i="1"/>
  <c r="A5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7" i="1"/>
  <c r="A18" i="1"/>
  <c r="B18" i="1"/>
  <c r="C18" i="1"/>
  <c r="A19" i="1"/>
  <c r="B19" i="1"/>
  <c r="C19" i="1"/>
  <c r="A7" i="1"/>
  <c r="B7" i="1"/>
  <c r="C7" i="1"/>
  <c r="Q38" i="1"/>
  <c r="B130" i="3" l="1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20" i="3"/>
  <c r="B121" i="3"/>
  <c r="B122" i="3"/>
  <c r="B123" i="3"/>
  <c r="B124" i="3"/>
  <c r="B125" i="3"/>
  <c r="B126" i="3"/>
  <c r="B127" i="3"/>
  <c r="B128" i="3"/>
  <c r="B129" i="3"/>
  <c r="B112" i="3"/>
  <c r="B113" i="3"/>
  <c r="B114" i="3"/>
  <c r="B115" i="3"/>
  <c r="B116" i="3"/>
  <c r="B117" i="3"/>
  <c r="B118" i="3"/>
  <c r="B11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88" i="3"/>
  <c r="B89" i="3"/>
  <c r="B90" i="3"/>
  <c r="B91" i="3"/>
  <c r="B92" i="3"/>
  <c r="B93" i="3"/>
  <c r="B94" i="3"/>
  <c r="B95" i="3"/>
  <c r="B96" i="3"/>
  <c r="B97" i="3"/>
  <c r="B98" i="3"/>
  <c r="B99" i="3"/>
  <c r="B77" i="3"/>
  <c r="B78" i="3"/>
  <c r="B79" i="3"/>
  <c r="B80" i="3"/>
  <c r="B81" i="3"/>
  <c r="B82" i="3"/>
  <c r="B83" i="3"/>
  <c r="B84" i="3"/>
  <c r="B85" i="3"/>
  <c r="B86" i="3"/>
  <c r="B87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39" i="3"/>
  <c r="B40" i="3"/>
  <c r="B41" i="3"/>
  <c r="B42" i="3"/>
  <c r="B43" i="3"/>
  <c r="B44" i="3"/>
  <c r="B45" i="3"/>
  <c r="B46" i="3"/>
  <c r="B47" i="3"/>
  <c r="B48" i="3"/>
  <c r="B49" i="3"/>
  <c r="B27" i="3"/>
  <c r="B28" i="3"/>
  <c r="B29" i="3"/>
  <c r="B30" i="3"/>
  <c r="B31" i="3"/>
  <c r="B32" i="3"/>
  <c r="B33" i="3"/>
  <c r="B34" i="3"/>
  <c r="B35" i="3"/>
  <c r="B36" i="3"/>
  <c r="B37" i="3"/>
  <c r="B38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3" i="3"/>
  <c r="B4" i="3"/>
  <c r="B5" i="3"/>
  <c r="B6" i="3"/>
  <c r="B7" i="3"/>
  <c r="B8" i="3"/>
  <c r="B9" i="3"/>
  <c r="B10" i="3"/>
  <c r="B11" i="3"/>
  <c r="B12" i="3"/>
  <c r="B1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B37" i="1" l="1"/>
  <c r="G36" i="2" s="1"/>
  <c r="F31" i="2"/>
  <c r="G28" i="2"/>
  <c r="C26" i="1"/>
  <c r="H25" i="2" s="1"/>
  <c r="F22" i="2"/>
  <c r="A37" i="1"/>
  <c r="F36" i="2" s="1"/>
  <c r="G33" i="2"/>
  <c r="H30" i="2"/>
  <c r="B26" i="1"/>
  <c r="G25" i="2" s="1"/>
  <c r="G22" i="2"/>
  <c r="H35" i="2"/>
  <c r="F33" i="2"/>
  <c r="G30" i="2"/>
  <c r="H27" i="2"/>
  <c r="A26" i="1"/>
  <c r="F25" i="2" s="1"/>
  <c r="G35" i="2"/>
  <c r="H32" i="2"/>
  <c r="F30" i="2"/>
  <c r="G27" i="2"/>
  <c r="F3" i="2"/>
  <c r="H6" i="2"/>
  <c r="F12" i="2"/>
  <c r="G17" i="2"/>
  <c r="G3" i="2"/>
  <c r="F7" i="2"/>
  <c r="H14" i="2"/>
  <c r="G12" i="2"/>
  <c r="F15" i="2"/>
  <c r="H17" i="2"/>
  <c r="F5" i="2"/>
  <c r="H7" i="2"/>
  <c r="H12" i="2"/>
  <c r="G5" i="2"/>
  <c r="H8" i="2"/>
  <c r="F13" i="2"/>
  <c r="H5" i="2"/>
  <c r="H9" i="2"/>
  <c r="F10" i="2"/>
  <c r="H13" i="2"/>
  <c r="G6" i="2"/>
  <c r="G10" i="2"/>
  <c r="F14" i="2"/>
  <c r="H16" i="2"/>
  <c r="F35" i="2"/>
  <c r="G32" i="2"/>
  <c r="H29" i="2"/>
  <c r="F27" i="2"/>
  <c r="G24" i="2"/>
  <c r="G23" i="2"/>
  <c r="H34" i="2"/>
  <c r="F32" i="2"/>
  <c r="G29" i="2"/>
  <c r="C27" i="1"/>
  <c r="H26" i="2" s="1"/>
  <c r="F24" i="2"/>
  <c r="H23" i="2"/>
  <c r="G34" i="2"/>
  <c r="H31" i="2"/>
  <c r="F29" i="2"/>
  <c r="B27" i="1"/>
  <c r="G26" i="2" s="1"/>
  <c r="C37" i="1"/>
  <c r="H36" i="2" s="1"/>
  <c r="F34" i="2"/>
  <c r="G31" i="2"/>
  <c r="H28" i="2"/>
  <c r="A27" i="1"/>
  <c r="F26" i="2" s="1"/>
  <c r="F4" i="2"/>
  <c r="G11" i="2"/>
  <c r="H3" i="2"/>
  <c r="H10" i="2"/>
  <c r="F11" i="2"/>
  <c r="F17" i="2"/>
  <c r="F9" i="2"/>
  <c r="G16" i="2"/>
  <c r="G8" i="2"/>
  <c r="H15" i="2"/>
  <c r="F28" i="2"/>
  <c r="F8" i="2"/>
  <c r="G15" i="2"/>
  <c r="G7" i="2"/>
  <c r="G9" i="2"/>
  <c r="H33" i="2"/>
  <c r="G14" i="2"/>
  <c r="H22" i="2"/>
  <c r="H24" i="2"/>
  <c r="F6" i="2"/>
  <c r="G13" i="2"/>
  <c r="H4" i="2"/>
  <c r="F23" i="2"/>
  <c r="G4" i="2"/>
  <c r="H11" i="2"/>
  <c r="F1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<sst xmlns="http://schemas.openxmlformats.org/spreadsheetml/2006/main" count="492" uniqueCount="279">
  <si>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</si>
  <si>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</si>
  <si>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</si>
  <si>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</si>
  <si>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</si>
  <si>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</si>
  <si>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</si>
  <si>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</si>
  <si>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</si>
  <si>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</si>
  <si>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</si>
  <si>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</si>
  <si>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</si>
  <si>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</si>
  <si>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</si>
  <si>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</si>
  <si>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</si>
  <si>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</si>
  <si>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</si>
  <si>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</si>
  <si>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</si>
  <si>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</si>
  <si>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</si>
  <si>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</si>
  <si>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</si>
  <si>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</si>
  <si>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</si>
  <si>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</si>
  <si>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</si>
  <si>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</si>
  <si>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</si>
  <si>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</si>
  <si>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</si>
  <si>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</si>
  <si>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</si>
  <si>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</si>
  <si>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</si>
  <si>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</si>
  <si>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</si>
  <si>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</si>
  <si>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</si>
  <si>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</si>
  <si>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</si>
  <si>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</si>
  <si>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</si>
  <si>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</si>
  <si>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</si>
  <si>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</si>
  <si>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</si>
  <si>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</si>
  <si>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</si>
  <si>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</si>
  <si>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</si>
  <si>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</si>
  <si>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</si>
  <si>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</si>
  <si>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</si>
  <si>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</si>
  <si>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</si>
  <si>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</si>
  <si>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</si>
  <si>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</si>
  <si>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</si>
  <si>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</si>
  <si>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</si>
  <si>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</si>
  <si>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</si>
  <si>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</si>
  <si>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</si>
  <si>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</si>
  <si>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</si>
  <si>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</si>
  <si>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</si>
  <si>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</si>
  <si>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</si>
  <si>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</si>
  <si>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</si>
  <si>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</si>
  <si>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</si>
  <si>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</si>
  <si>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</si>
  <si>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</si>
  <si>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</si>
  <si>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</si>
  <si>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</si>
  <si>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</si>
  <si>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</si>
  <si>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</si>
  <si>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</si>
  <si>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</si>
  <si>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</si>
  <si>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</si>
  <si>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</si>
  <si>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</si>
  <si>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</si>
  <si>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</si>
  <si>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</si>
  <si>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</si>
  <si>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</si>
  <si>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</si>
  <si>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</si>
  <si>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</si>
  <si>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</si>
  <si>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</si>
  <si>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</si>
  <si>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</si>
  <si>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</si>
  <si>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</si>
  <si>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</si>
  <si>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</si>
  <si>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</si>
  <si>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</si>
  <si>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</si>
  <si>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</si>
  <si>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</si>
  <si>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</si>
  <si>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</si>
  <si>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</si>
  <si>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</si>
  <si>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</si>
  <si>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</si>
  <si>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</si>
  <si>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</si>
  <si>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</si>
  <si>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</si>
  <si>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</si>
  <si>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</si>
  <si>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</si>
  <si>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</si>
  <si>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</si>
  <si>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</si>
  <si>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</si>
  <si>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</si>
  <si>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</si>
  <si>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</si>
  <si>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</si>
  <si>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</si>
  <si>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</si>
  <si>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</si>
  <si>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</si>
  <si>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</si>
  <si>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</si>
  <si>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</si>
  <si>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</si>
  <si>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</si>
  <si>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</si>
  <si>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</si>
  <si>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</si>
  <si>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</si>
  <si>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</si>
  <si>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</si>
  <si>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</si>
  <si>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</si>
  <si>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</si>
  <si>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</si>
  <si>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</si>
  <si>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</si>
  <si>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</si>
  <si>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</si>
  <si>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</si>
  <si>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</si>
  <si>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</si>
  <si>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</si>
  <si>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</si>
  <si>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</si>
  <si>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</si>
  <si>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</si>
  <si>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</si>
  <si>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</si>
  <si>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</si>
  <si>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</si>
  <si>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</si>
  <si>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</si>
  <si>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</si>
  <si>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</si>
  <si>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</si>
  <si>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</si>
  <si>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</si>
  <si>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</si>
  <si>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</si>
  <si>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</si>
  <si>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</si>
  <si>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</si>
  <si>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</si>
  <si>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</si>
  <si>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</si>
  <si>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</si>
  <si>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</si>
  <si>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</si>
  <si>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</si>
  <si>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</si>
  <si>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</si>
  <si>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</si>
  <si>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</si>
  <si>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</si>
  <si>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</si>
  <si>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</si>
  <si>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</si>
  <si>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</si>
  <si>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</si>
  <si>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</si>
  <si>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</si>
  <si>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</si>
  <si>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</si>
  <si>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</si>
  <si>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</si>
  <si>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</si>
  <si>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</si>
  <si>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</si>
  <si>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</si>
  <si>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</si>
  <si>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</si>
  <si>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</si>
  <si>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</si>
  <si>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</si>
  <si>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</si>
  <si>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</si>
  <si>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</si>
  <si>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</si>
  <si>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</si>
  <si>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</si>
  <si>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</si>
  <si>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</si>
  <si>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</si>
  <si>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</si>
  <si>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</si>
  <si>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</si>
  <si>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</si>
  <si>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</si>
  <si>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</si>
  <si>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</si>
  <si>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</si>
  <si>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</si>
  <si>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</si>
  <si>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</si>
  <si>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</si>
  <si>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</si>
  <si>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</si>
  <si>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</si>
  <si>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</si>
  <si>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</si>
  <si>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</si>
  <si>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</si>
  <si>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</si>
  <si>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</si>
  <si>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</si>
  <si>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</si>
  <si>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</si>
  <si>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</si>
  <si>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</si>
  <si>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</si>
  <si>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</si>
  <si>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</si>
  <si>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</si>
  <si>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</si>
  <si>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</si>
  <si>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</si>
  <si>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</si>
  <si>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</si>
  <si>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</si>
  <si>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</si>
  <si>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</si>
  <si>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</si>
  <si>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</si>
  <si>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</si>
  <si>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</si>
  <si>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</si>
  <si>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</si>
  <si>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</si>
  <si>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</si>
  <si>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</si>
  <si>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</si>
  <si>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?</t>
  </si>
  <si>
    <t>black</t>
  </si>
  <si>
    <t>Both</t>
  </si>
  <si>
    <t>Gach</t>
  </si>
  <si>
    <t>GAME 2</t>
  </si>
  <si>
    <t>TJ</t>
  </si>
  <si>
    <t>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</si>
</sst>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H20" sqref="H2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276</v>
      </c>
      <c r="F1" t="s">
        <v>9</v>
      </c>
      <c r="G1" t="str">
        <f>'Stats G2'!B3</f>
        <v>Joyce</v>
      </c>
    </row>
    <row r="2" spans="2:12" x14ac:dyDescent="0.2">
      <c r="B2" t="str">
        <f>G1</f>
        <v>Joyce</v>
      </c>
      <c r="D2" t="str">
        <f>G20</f>
        <v>Arok</v>
      </c>
      <c r="F2" t="s">
        <v>1</v>
      </c>
      <c r="G2" t="s">
        <v>2</v>
      </c>
      <c r="H2" t="s">
        <v>0</v>
      </c>
      <c r="I2" t="s">
        <v>278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136</v>
      </c>
      <c r="C3" s="3" t="s">
        <v>15</v>
      </c>
      <c r="D3" s="4">
        <f>I37</f>
        <v>115</v>
      </c>
      <c r="F3" t="str">
        <f>'Stats G2'!A5</f>
        <v>Neema</v>
      </c>
      <c r="G3" t="str">
        <f>'Stats G2'!B5</f>
        <v>Namdar</v>
      </c>
      <c r="H3">
        <f>'Stats G2'!C5</f>
        <v>0</v>
      </c>
      <c r="I3">
        <f>'Stats G2'!H5*2+'Stats G2'!N5*3+'Stats G2'!T5</f>
        <v>25</v>
      </c>
      <c r="J3" t="str">
        <f>SUM('Stats G2'!N5+'Stats G2'!H5)&amp;"-"&amp;SUM('Stats G2'!E5+'Stats G2'!K5)</f>
        <v>9-14</v>
      </c>
      <c r="K3" t="str">
        <f>SUM('Stats G2'!N5)&amp;"-"&amp;SUM('Stats G2'!K5)</f>
        <v>7-11</v>
      </c>
      <c r="L3" t="str">
        <f>SUM('Stats G2'!T5)&amp;"-"&amp;SUM('Stats G2'!Q5)</f>
        <v>0-0</v>
      </c>
    </row>
    <row r="4" spans="2:12" x14ac:dyDescent="0.2">
      <c r="F4" t="str">
        <f>'Stats G2'!A6</f>
        <v>Sam</v>
      </c>
      <c r="G4" t="str">
        <f>'Stats G2'!B6</f>
        <v>Velez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Tyus</v>
      </c>
      <c r="G5" t="str">
        <f>'Stats G2'!B7</f>
        <v>Jefferson</v>
      </c>
      <c r="H5">
        <f>'Stats G2'!C7</f>
        <v>3</v>
      </c>
      <c r="I5">
        <f>'Stats G2'!H7*2+'Stats G2'!N7*3+'Stats G2'!T7</f>
        <v>9</v>
      </c>
      <c r="J5" t="str">
        <f>SUM('Stats G2'!N7+'Stats G2'!H7)&amp;"-"&amp;SUM('Stats G2'!E7+'Stats G2'!K7)</f>
        <v>4-10</v>
      </c>
      <c r="K5" t="str">
        <f>SUM('Stats G2'!N7)&amp;"-"&amp;SUM('Stats G2'!K7)</f>
        <v>1-2</v>
      </c>
      <c r="L5" t="str">
        <f>SUM('Stats G2'!T7)&amp;"-"&amp;SUM('Stats G2'!Q7)</f>
        <v>0-1</v>
      </c>
    </row>
    <row r="6" spans="2:12" x14ac:dyDescent="0.2">
      <c r="F6" t="str">
        <f>'Stats G2'!A8</f>
        <v>?</v>
      </c>
      <c r="G6" t="str">
        <f>'Stats G2'!B8</f>
        <v>?</v>
      </c>
      <c r="H6">
        <f>'Stats G2'!C8</f>
        <v>0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Trey</v>
      </c>
      <c r="G7" t="str">
        <f>'Stats G2'!B9</f>
        <v>Kennedy</v>
      </c>
      <c r="H7">
        <f>'Stats G2'!C9</f>
        <v>10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Will</v>
      </c>
      <c r="G8" t="str">
        <f>'Stats G2'!B10</f>
        <v>Joyce</v>
      </c>
      <c r="H8">
        <f>'Stats G2'!C10</f>
        <v>11</v>
      </c>
      <c r="I8">
        <f>'Stats G2'!H10*2+'Stats G2'!N10*3+'Stats G2'!T10</f>
        <v>0</v>
      </c>
      <c r="J8" t="str">
        <f>SUM('Stats G2'!N10+'Stats G2'!H10)&amp;"-"&amp;SUM('Stats G2'!E10+'Stats G2'!K10)</f>
        <v>0-2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 xml:space="preserve">Jael </v>
      </c>
      <c r="G9" t="str">
        <f>'Stats G2'!B11</f>
        <v>Vaughn</v>
      </c>
      <c r="H9">
        <f>'Stats G2'!C11</f>
        <v>12</v>
      </c>
      <c r="I9">
        <f>'Stats G2'!H11*2+'Stats G2'!N11*3+'Stats G2'!T11</f>
        <v>14</v>
      </c>
      <c r="J9" t="str">
        <f>SUM('Stats G2'!N11+'Stats G2'!H11)&amp;"-"&amp;SUM('Stats G2'!E11+'Stats G2'!K11)</f>
        <v>7-14</v>
      </c>
      <c r="K9" t="str">
        <f>SUM('Stats G2'!N11)&amp;"-"&amp;SUM('Stats G2'!K11)</f>
        <v>0-4</v>
      </c>
      <c r="L9" t="str">
        <f>SUM('Stats G2'!T11)&amp;"-"&amp;SUM('Stats G2'!Q11)</f>
        <v>0-1</v>
      </c>
    </row>
    <row r="10" spans="2:12" x14ac:dyDescent="0.2">
      <c r="F10" t="str">
        <f>'Stats G2'!A12</f>
        <v>Fardaws</v>
      </c>
      <c r="G10" t="str">
        <f>'Stats G2'!B12</f>
        <v>Aimaq</v>
      </c>
      <c r="H10">
        <f>'Stats G2'!C12</f>
        <v>21</v>
      </c>
      <c r="I10">
        <f>'Stats G2'!H12*2+'Stats G2'!N12*3+'Stats G2'!T12</f>
        <v>19</v>
      </c>
      <c r="J10" t="str">
        <f>SUM('Stats G2'!N12+'Stats G2'!H12)&amp;"-"&amp;SUM('Stats G2'!E12+'Stats G2'!K12)</f>
        <v>8-12</v>
      </c>
      <c r="K10" t="str">
        <f>SUM('Stats G2'!N12)&amp;"-"&amp;SUM('Stats G2'!K12)</f>
        <v>0-0</v>
      </c>
      <c r="L10" t="str">
        <f>SUM('Stats G2'!T12)&amp;"-"&amp;SUM('Stats G2'!Q12)</f>
        <v>3-4</v>
      </c>
    </row>
    <row r="11" spans="2:12" x14ac:dyDescent="0.2">
      <c r="F11" t="str">
        <f>'Stats G2'!A13</f>
        <v xml:space="preserve">Yoeli </v>
      </c>
      <c r="G11" t="str">
        <f>'Stats G2'!B13</f>
        <v>Childs</v>
      </c>
      <c r="H11">
        <f>'Stats G2'!C13</f>
        <v>22</v>
      </c>
      <c r="I11">
        <f>'Stats G2'!H13*2+'Stats G2'!N13*3+'Stats G2'!T13</f>
        <v>25</v>
      </c>
      <c r="J11" t="str">
        <f>SUM('Stats G2'!N13+'Stats G2'!H13)&amp;"-"&amp;SUM('Stats G2'!E13+'Stats G2'!K13)</f>
        <v>10-22</v>
      </c>
      <c r="K11" t="str">
        <f>SUM('Stats G2'!N13)&amp;"-"&amp;SUM('Stats G2'!K13)</f>
        <v>0-5</v>
      </c>
      <c r="L11" t="str">
        <f>SUM('Stats G2'!T13)&amp;"-"&amp;SUM('Stats G2'!Q13)</f>
        <v>5-8</v>
      </c>
    </row>
    <row r="12" spans="2:12" x14ac:dyDescent="0.2">
      <c r="F12" t="str">
        <f>'Stats G2'!A14</f>
        <v>Nicholas</v>
      </c>
      <c r="G12" t="str">
        <f>'Stats G2'!B14</f>
        <v>Paulos</v>
      </c>
      <c r="H12">
        <f>'Stats G2'!C14</f>
        <v>31</v>
      </c>
      <c r="I12">
        <f>'Stats G2'!H14*2+'Stats G2'!N14*3+'Stats G2'!T14</f>
        <v>5</v>
      </c>
      <c r="J12" t="str">
        <f>SUM('Stats G2'!N14+'Stats G2'!H14)&amp;"-"&amp;SUM('Stats G2'!E14+'Stats G2'!K14)</f>
        <v>2-5</v>
      </c>
      <c r="K12" t="str">
        <f>SUM('Stats G2'!N14)&amp;"-"&amp;SUM('Stats G2'!K14)</f>
        <v>1-4</v>
      </c>
      <c r="L12" t="str">
        <f>SUM('Stats G2'!T14)&amp;"-"&amp;SUM('Stats G2'!Q14)</f>
        <v>0-0</v>
      </c>
    </row>
    <row r="13" spans="2:12" x14ac:dyDescent="0.2">
      <c r="F13" t="str">
        <f>'Stats G2'!A15</f>
        <v>Zac</v>
      </c>
      <c r="G13" t="str">
        <f>'Stats G2'!B15</f>
        <v>Seljaas</v>
      </c>
      <c r="H13">
        <f>'Stats G2'!C15</f>
        <v>99</v>
      </c>
      <c r="I13">
        <f>'Stats G2'!H15*2+'Stats G2'!N15*3+'Stats G2'!T15</f>
        <v>17</v>
      </c>
      <c r="J13" t="str">
        <f>SUM('Stats G2'!N15+'Stats G2'!H15)&amp;"-"&amp;SUM('Stats G2'!E15+'Stats G2'!K15)</f>
        <v>6-7</v>
      </c>
      <c r="K13" t="str">
        <f>SUM('Stats G2'!N15)&amp;"-"&amp;SUM('Stats G2'!K15)</f>
        <v>5-6</v>
      </c>
      <c r="L13" t="str">
        <f>SUM('Stats G2'!T15)&amp;"-"&amp;SUM('Stats G2'!Q15)</f>
        <v>0-0</v>
      </c>
    </row>
    <row r="14" spans="2:12" x14ac:dyDescent="0.2">
      <c r="F14" t="str">
        <f>'Stats G2'!A16</f>
        <v>Royce</v>
      </c>
      <c r="G14" t="str">
        <f>'Stats G2'!B16</f>
        <v>O'Neal</v>
      </c>
      <c r="H14">
        <f>'Stats G2'!C16</f>
        <v>23</v>
      </c>
      <c r="I14">
        <f>'Stats G2'!H16*2+'Stats G2'!N16*3+'Stats G2'!T16</f>
        <v>22</v>
      </c>
      <c r="J14" t="str">
        <f>SUM('Stats G2'!N16+'Stats G2'!H16)&amp;"-"&amp;SUM('Stats G2'!E16+'Stats G2'!K16)</f>
        <v>8-23</v>
      </c>
      <c r="K14" t="str">
        <f>SUM('Stats G2'!N16)&amp;"-"&amp;SUM('Stats G2'!K16)</f>
        <v>5-16</v>
      </c>
      <c r="L14" t="str">
        <f>SUM('Stats G2'!T16)&amp;"-"&amp;SUM('Stats G2'!Q16)</f>
        <v>1-2</v>
      </c>
    </row>
    <row r="15" spans="2:12" x14ac:dyDescent="0.2">
      <c r="F15" t="str">
        <f>'Stats G2'!A17</f>
        <v>?</v>
      </c>
      <c r="G15" t="str">
        <f>'Stats G2'!B17</f>
        <v>black</v>
      </c>
      <c r="H15">
        <f>'Stats G2'!C17</f>
        <v>22</v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136</v>
      </c>
      <c r="J18" t="str">
        <f>SUM('Stats G2'!N20+'Stats G2'!H20)&amp;"-"&amp;SUM('Stats G2'!E20+'Stats G2'!K20)</f>
        <v>54-109</v>
      </c>
      <c r="K18" t="str">
        <f>SUM('Stats G2'!N20)&amp;"-"&amp;SUM('Stats G2'!K20)</f>
        <v>19-48</v>
      </c>
      <c r="L18" t="str">
        <f>SUM('Stats G2'!T20)&amp;"-"&amp;SUM('Stats G2'!Q20)</f>
        <v>9-16</v>
      </c>
    </row>
    <row r="20" spans="6:12" x14ac:dyDescent="0.2">
      <c r="F20" t="s">
        <v>13</v>
      </c>
      <c r="G20" t="str">
        <f>'Stats G2'!B21</f>
        <v>Arok</v>
      </c>
    </row>
    <row r="21" spans="6:12" x14ac:dyDescent="0.2">
      <c r="F21" t="s">
        <v>1</v>
      </c>
      <c r="G21" t="s">
        <v>2</v>
      </c>
      <c r="H21" t="s">
        <v>0</v>
      </c>
      <c r="I21" t="s">
        <v>278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Dillon</v>
      </c>
      <c r="G22" t="str">
        <f>'Stats G2'!B23</f>
        <v>Jones</v>
      </c>
      <c r="H22">
        <f>'Stats G2'!C23</f>
        <v>1</v>
      </c>
      <c r="I22">
        <f>'Stats G2'!H23*2+'Stats G2'!N23*3+'Stats G2'!T23</f>
        <v>0</v>
      </c>
      <c r="J22" t="str">
        <f>SUM('Stats G2'!N23+'Stats G2'!H23)&amp;"-"&amp;SUM('Stats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tr">
        <f>'Stats G2'!A24</f>
        <v>Mark</v>
      </c>
      <c r="G23" t="str">
        <f>'Stats G2'!B24</f>
        <v>Burton</v>
      </c>
      <c r="H23">
        <f>'Stats G2'!C24</f>
        <v>3</v>
      </c>
      <c r="I23">
        <f>'Stats G2'!H24*2+'Stats G2'!N24*3+'Stats G2'!T24</f>
        <v>26</v>
      </c>
      <c r="J23" t="str">
        <f>SUM('Stats G2'!N24+'Stats G2'!H24)&amp;"-"&amp;SUM('Stats G2'!E24+'Stats G2'!K24)</f>
        <v>8-23</v>
      </c>
      <c r="K23" t="str">
        <f>SUM('Stats G2'!N24)&amp;"-"&amp;SUM('Stats G2'!K24)</f>
        <v>4-13</v>
      </c>
      <c r="L23" t="str">
        <f>SUM('Stats G2'!T24)&amp;"-"&amp;SUM('Stats G2'!Q24)</f>
        <v>6-7</v>
      </c>
    </row>
    <row r="24" spans="6:12" x14ac:dyDescent="0.2">
      <c r="F24" t="str">
        <f>'Stats G2'!A25</f>
        <v>Cole</v>
      </c>
      <c r="G24" t="str">
        <f>'Stats G2'!B25</f>
        <v>Kadoguchi</v>
      </c>
      <c r="H24">
        <f>'Stats G2'!C25</f>
        <v>4</v>
      </c>
      <c r="I24">
        <f>'Stats G2'!H25*2+'Stats G2'!N25*3+'Stats G2'!T25</f>
        <v>10</v>
      </c>
      <c r="J24" t="str">
        <f>SUM('Stats G2'!N25+'Stats G2'!H25)&amp;"-"&amp;SUM('Stats G2'!E25+'Stats G2'!K25)</f>
        <v>4-10</v>
      </c>
      <c r="K24" t="str">
        <f>SUM('Stats G2'!N25)&amp;"-"&amp;SUM('Stats G2'!K25)</f>
        <v>2-8</v>
      </c>
      <c r="L24" t="str">
        <f>SUM('Stats G2'!T25)&amp;"-"&amp;SUM('Stats G2'!Q25)</f>
        <v>0-0</v>
      </c>
    </row>
    <row r="25" spans="6:12" x14ac:dyDescent="0.2">
      <c r="F25" t="str">
        <f>'Stats G2'!A26</f>
        <v xml:space="preserve">Deng </v>
      </c>
      <c r="G25" t="str">
        <f>'Stats G2'!B26</f>
        <v>Mayar</v>
      </c>
      <c r="H25">
        <f>'Stats G2'!C26</f>
        <v>5</v>
      </c>
      <c r="I25">
        <f>'Stats G2'!H26*2+'Stats G2'!N26*3+'Stats G2'!T26</f>
        <v>14</v>
      </c>
      <c r="J25" t="str">
        <f>SUM('Stats G2'!N26+'Stats G2'!H26)&amp;"-"&amp;SUM('Stats G2'!E26+'Stats G2'!K26)</f>
        <v>7-15</v>
      </c>
      <c r="K25" t="str">
        <f>SUM('Stats G2'!N26)&amp;"-"&amp;SUM('Stats G2'!K26)</f>
        <v>0-0</v>
      </c>
      <c r="L25" t="str">
        <f>SUM('Stats G2'!T26)&amp;"-"&amp;SUM('Stats G2'!Q26)</f>
        <v>0-1</v>
      </c>
    </row>
    <row r="26" spans="6:12" x14ac:dyDescent="0.2">
      <c r="F26" t="str">
        <f>'Stats G2'!A27</f>
        <v>Zach</v>
      </c>
      <c r="G26" t="str">
        <f>'Stats G2'!B27</f>
        <v>Cassita</v>
      </c>
      <c r="H26">
        <f>'Stats G2'!C27</f>
        <v>6</v>
      </c>
      <c r="I26">
        <f>'Stats G2'!H27*2+'Stats G2'!N27*3+'Stats G2'!T27</f>
        <v>17</v>
      </c>
      <c r="J26" t="str">
        <f>SUM('Stats G2'!N27+'Stats G2'!H27)&amp;"-"&amp;SUM('Stats G2'!E27+'Stats G2'!K27)</f>
        <v>7-17</v>
      </c>
      <c r="K26" t="str">
        <f>SUM('Stats G2'!N27)&amp;"-"&amp;SUM('Stats G2'!K27)</f>
        <v>3-10</v>
      </c>
      <c r="L26" t="str">
        <f>SUM('Stats G2'!T27)&amp;"-"&amp;SUM('Stats G2'!Q27)</f>
        <v>0-0</v>
      </c>
    </row>
    <row r="27" spans="6:12" x14ac:dyDescent="0.2">
      <c r="F27" t="str">
        <f>'Stats G2'!A28</f>
        <v>Zues</v>
      </c>
      <c r="G27" t="str">
        <f>'Stats G2'!B28</f>
        <v>Martinez</v>
      </c>
      <c r="H27">
        <f>'Stats G2'!C28</f>
        <v>7</v>
      </c>
      <c r="I27">
        <f>'Stats G2'!H28*2+'Stats G2'!N28*3+'Stats G2'!T28</f>
        <v>6</v>
      </c>
      <c r="J27" t="str">
        <f>SUM('Stats G2'!N28+'Stats G2'!H28)&amp;"-"&amp;SUM('Stats G2'!E28+'Stats G2'!K28)</f>
        <v>3-3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Dom</v>
      </c>
      <c r="G28" t="str">
        <f>'Stats G2'!B29</f>
        <v>Philip</v>
      </c>
      <c r="H28">
        <f>'Stats G2'!C29</f>
        <v>8</v>
      </c>
      <c r="I28">
        <f>'Stats G2'!H29*2+'Stats G2'!N29*3+'Stats G2'!T29</f>
        <v>4</v>
      </c>
      <c r="J28" t="str">
        <f>SUM('Stats G2'!N29+'Stats G2'!H29)&amp;"-"&amp;SUM('Stats G2'!E29+'Stats G2'!K29)</f>
        <v>1-2</v>
      </c>
      <c r="K28" t="str">
        <f>SUM('Stats G2'!N29)&amp;"-"&amp;SUM('Stats G2'!K29)</f>
        <v>0-0</v>
      </c>
      <c r="L28" t="str">
        <f>SUM('Stats G2'!T29)&amp;"-"&amp;SUM('Stats G2'!Q29)</f>
        <v>2-2</v>
      </c>
    </row>
    <row r="29" spans="6:12" x14ac:dyDescent="0.2">
      <c r="F29" t="str">
        <f>'Stats G2'!A30</f>
        <v>Gerad</v>
      </c>
      <c r="G29" t="str">
        <f>'Stats G2'!B30</f>
        <v>David</v>
      </c>
      <c r="H29">
        <f>'Stats G2'!C30</f>
        <v>14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Trigga</v>
      </c>
      <c r="G30" t="str">
        <f>'Stats G2'!B31</f>
        <v>Trei</v>
      </c>
      <c r="H30">
        <f>'Stats G2'!C31</f>
        <v>17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Lual</v>
      </c>
      <c r="G31" t="str">
        <f>'Stats G2'!B32</f>
        <v>Arok</v>
      </c>
      <c r="H31">
        <f>'Stats G2'!C32</f>
        <v>20</v>
      </c>
      <c r="I31">
        <f>'Stats G2'!H32*2+'Stats G2'!N32*3+'Stats G2'!T32</f>
        <v>0</v>
      </c>
      <c r="J31" t="str">
        <f>SUM('Stats G2'!N32+'Stats G2'!H32)&amp;"-"&amp;SUM('Stats G2'!E32+'Stats G2'!K32)</f>
        <v>0-2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Steven</v>
      </c>
      <c r="G32" t="str">
        <f>'Stats G2'!B33</f>
        <v>Adeyemi</v>
      </c>
      <c r="H32">
        <f>'Stats G2'!C33</f>
        <v>9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Both</v>
      </c>
      <c r="G33" t="str">
        <f>'Stats G2'!B34</f>
        <v>Gach</v>
      </c>
      <c r="H33">
        <f>'Stats G2'!C34</f>
        <v>11</v>
      </c>
      <c r="I33">
        <f>'Stats G2'!H34*2+'Stats G2'!N34*3+'Stats G2'!T34</f>
        <v>38</v>
      </c>
      <c r="J33" t="str">
        <f>SUM('Stats G2'!N34+'Stats G2'!H34)&amp;"-"&amp;SUM('Stats G2'!E34+'Stats G2'!K34)</f>
        <v>16-27</v>
      </c>
      <c r="K33" t="str">
        <f>SUM('Stats G2'!N34)&amp;"-"&amp;SUM('Stats G2'!K34)</f>
        <v>5-12</v>
      </c>
      <c r="L33" t="str">
        <f>SUM('Stats G2'!T34)&amp;"-"&amp;SUM('Stats G2'!Q34)</f>
        <v>1-4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115</v>
      </c>
      <c r="J37" t="str">
        <f>SUM('Stats G2'!N38+'Stats G2'!H38)&amp;"-"&amp;SUM('Stats G2'!E38+'Stats G2'!K38)</f>
        <v>46-99</v>
      </c>
      <c r="K37" t="str">
        <f>SUM('Stats G2'!N38)&amp;"-"&amp;SUM('Stats G2'!K38)</f>
        <v>14-43</v>
      </c>
      <c r="L37" t="str">
        <f>SUM('Stats G2'!T38)&amp;"-"&amp;SUM('Stats G2'!Q38)</f>
        <v>9-14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21" sqref="B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29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Neema</v>
      </c>
      <c r="B5" s="5" t="str">
        <f>_xlfn.IFNA(VLOOKUP($B$3&amp;ROWS($B$5:B5),Rosters!$B$2:$D$162,3,0),"?")</f>
        <v>Namdar</v>
      </c>
      <c r="C5" s="5">
        <f>_xlfn.IFNA(VLOOKUP($B$3&amp;ROWS($C$5:C5),Rosters!$B$2:$E$162,4,0),"")</f>
        <v>0</v>
      </c>
      <c r="D5" s="5"/>
      <c r="E5" s="5">
        <v>3</v>
      </c>
      <c r="F5" s="5"/>
      <c r="G5" s="5"/>
      <c r="H5" s="5">
        <v>2</v>
      </c>
      <c r="I5" s="5"/>
      <c r="J5" s="5"/>
      <c r="K5" s="5">
        <v>11</v>
      </c>
      <c r="L5" s="5"/>
      <c r="M5" s="5"/>
      <c r="N5" s="5">
        <v>7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Velez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Tyus</v>
      </c>
      <c r="B7" s="5" t="str">
        <f>_xlfn.IFNA(VLOOKUP($B$3&amp;ROWS($B$5:B7),Rosters!$B$2:$D$162,3,0),"?")</f>
        <v>Jefferson</v>
      </c>
      <c r="C7" s="5">
        <f>_xlfn.IFNA(VLOOKUP($B$3&amp;ROWS($C$5:C7),Rosters!$B$2:$E$162,4,0),"")</f>
        <v>3</v>
      </c>
      <c r="D7" s="5"/>
      <c r="E7" s="5">
        <v>8</v>
      </c>
      <c r="F7" s="5"/>
      <c r="G7" s="5"/>
      <c r="H7" s="5">
        <v>3</v>
      </c>
      <c r="I7" s="5"/>
      <c r="J7" s="5"/>
      <c r="K7" s="5">
        <v>2</v>
      </c>
      <c r="L7" s="5"/>
      <c r="M7" s="5"/>
      <c r="N7" s="5">
        <v>1</v>
      </c>
      <c r="O7" s="5"/>
      <c r="P7" s="5"/>
      <c r="Q7" s="5">
        <v>1</v>
      </c>
      <c r="R7" s="5"/>
      <c r="S7" s="5"/>
      <c r="T7" s="5">
        <v>0</v>
      </c>
      <c r="U7" s="5"/>
    </row>
    <row r="8" spans="1:21" s="6" customFormat="1" x14ac:dyDescent="0.2">
      <c r="A8" s="6" t="s">
        <v>272</v>
      </c>
      <c r="B8" s="6" t="s">
        <v>272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Trey</v>
      </c>
      <c r="B9" s="5" t="str">
        <f>_xlfn.IFNA(VLOOKUP($B$3&amp;ROWS($B$5:B9),Rosters!$B$2:$D$162,3,0),"?")</f>
        <v>Kennedy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Will</v>
      </c>
      <c r="B10" s="6" t="str">
        <f>_xlfn.IFNA(VLOOKUP($B$3&amp;ROWS($B$5:B10),Rosters!$B$2:$D$162,3,0),"?")</f>
        <v>Joyce</v>
      </c>
      <c r="C10" s="6">
        <f>_xlfn.IFNA(VLOOKUP($B$3&amp;ROWS($C$5:C10),Rosters!$B$2:$E$162,4,0),"")</f>
        <v>11</v>
      </c>
      <c r="E10" s="6">
        <v>2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 xml:space="preserve">Jael </v>
      </c>
      <c r="B11" s="5" t="str">
        <f>_xlfn.IFNA(VLOOKUP($B$3&amp;ROWS($B$5:B11),Rosters!$B$2:$D$162,3,0),"?")</f>
        <v>Vaughn</v>
      </c>
      <c r="C11" s="5">
        <f>_xlfn.IFNA(VLOOKUP($B$3&amp;ROWS($C$5:C11),Rosters!$B$2:$E$162,4,0),"")</f>
        <v>12</v>
      </c>
      <c r="D11" s="5"/>
      <c r="E11" s="5">
        <v>10</v>
      </c>
      <c r="F11" s="5"/>
      <c r="G11" s="5"/>
      <c r="H11" s="5">
        <v>7</v>
      </c>
      <c r="I11" s="5"/>
      <c r="J11" s="5"/>
      <c r="K11" s="5">
        <v>4</v>
      </c>
      <c r="L11" s="5"/>
      <c r="M11" s="5"/>
      <c r="N11" s="5">
        <v>0</v>
      </c>
      <c r="O11" s="5"/>
      <c r="P11" s="5"/>
      <c r="Q11" s="5">
        <v>1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Fardaws</v>
      </c>
      <c r="B12" s="6" t="str">
        <f>_xlfn.IFNA(VLOOKUP($B$3&amp;ROWS($B$5:B12),Rosters!$B$2:$D$162,3,0),"?")</f>
        <v>Aimaq</v>
      </c>
      <c r="C12" s="6">
        <f>_xlfn.IFNA(VLOOKUP($B$3&amp;ROWS($C$5:C12),Rosters!$B$2:$E$162,4,0),"")</f>
        <v>21</v>
      </c>
      <c r="E12" s="6">
        <v>12</v>
      </c>
      <c r="H12" s="6">
        <v>8</v>
      </c>
      <c r="K12" s="6">
        <v>0</v>
      </c>
      <c r="N12" s="6">
        <v>0</v>
      </c>
      <c r="Q12" s="6">
        <v>4</v>
      </c>
      <c r="T12" s="6">
        <v>3</v>
      </c>
    </row>
    <row r="13" spans="1:21" s="6" customFormat="1" x14ac:dyDescent="0.2">
      <c r="A13" s="5" t="str">
        <f>_xlfn.IFNA(VLOOKUP($B$3&amp;ROWS($A$5:A13),Rosters!$B$2:$C$162,2,0),"?")</f>
        <v xml:space="preserve">Yoeli </v>
      </c>
      <c r="B13" s="5" t="str">
        <f>_xlfn.IFNA(VLOOKUP($B$3&amp;ROWS($B$5:B13),Rosters!$B$2:$D$162,3,0),"?")</f>
        <v>Childs</v>
      </c>
      <c r="C13" s="5">
        <f>_xlfn.IFNA(VLOOKUP($B$3&amp;ROWS($C$5:C13),Rosters!$B$2:$E$162,4,0),"")</f>
        <v>22</v>
      </c>
      <c r="D13" s="5"/>
      <c r="E13" s="5">
        <v>17</v>
      </c>
      <c r="F13" s="5"/>
      <c r="G13" s="5"/>
      <c r="H13" s="5">
        <v>10</v>
      </c>
      <c r="I13" s="5"/>
      <c r="J13" s="5"/>
      <c r="K13" s="5">
        <v>5</v>
      </c>
      <c r="L13" s="5"/>
      <c r="M13" s="5"/>
      <c r="N13" s="5">
        <v>0</v>
      </c>
      <c r="O13" s="5"/>
      <c r="P13" s="5"/>
      <c r="Q13" s="5">
        <v>8</v>
      </c>
      <c r="R13" s="5"/>
      <c r="S13" s="5"/>
      <c r="T13" s="5">
        <v>5</v>
      </c>
      <c r="U13" s="5"/>
    </row>
    <row r="14" spans="1:21" s="6" customFormat="1" x14ac:dyDescent="0.2">
      <c r="A14" s="6" t="str">
        <f>_xlfn.IFNA(VLOOKUP($B$3&amp;ROWS($A$5:A14),Rosters!$B$2:$C$162,2,0),"?")</f>
        <v>Nicholas</v>
      </c>
      <c r="B14" s="6" t="str">
        <f>_xlfn.IFNA(VLOOKUP($B$3&amp;ROWS($B$5:B14),Rosters!$B$2:$D$162,3,0),"?")</f>
        <v>Paulos</v>
      </c>
      <c r="C14" s="6">
        <f>_xlfn.IFNA(VLOOKUP($B$3&amp;ROWS($C$5:C14),Rosters!$B$2:$E$162,4,0),"")</f>
        <v>31</v>
      </c>
      <c r="E14" s="6">
        <v>1</v>
      </c>
      <c r="H14" s="6">
        <v>1</v>
      </c>
      <c r="K14" s="6">
        <v>4</v>
      </c>
      <c r="N14" s="6">
        <v>1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Zac</v>
      </c>
      <c r="B15" s="5" t="str">
        <f>_xlfn.IFNA(VLOOKUP($B$3&amp;ROWS($B$5:B15),Rosters!$B$2:$D$162,3,0),"?")</f>
        <v>Seljaas</v>
      </c>
      <c r="C15" s="5">
        <f>_xlfn.IFNA(VLOOKUP($B$3&amp;ROWS($C$5:C15),Rosters!$B$2:$E$162,4,0),"")</f>
        <v>99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6</v>
      </c>
      <c r="L15" s="5"/>
      <c r="M15" s="5"/>
      <c r="N15" s="5">
        <v>5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">
        <v>269</v>
      </c>
      <c r="B16" s="6" t="s">
        <v>270</v>
      </c>
      <c r="C16" s="6">
        <v>23</v>
      </c>
      <c r="E16" s="6">
        <v>7</v>
      </c>
      <c r="H16" s="6">
        <v>3</v>
      </c>
      <c r="K16" s="6">
        <v>16</v>
      </c>
      <c r="N16" s="6">
        <v>5</v>
      </c>
      <c r="Q16" s="6">
        <v>2</v>
      </c>
      <c r="T16" s="6">
        <v>1</v>
      </c>
    </row>
    <row r="17" spans="1:21" s="6" customFormat="1" x14ac:dyDescent="0.2">
      <c r="A17" s="5" t="str">
        <f>_xlfn.IFNA(VLOOKUP($B$3&amp;ROWS($A$5:A17),Rosters!$B$2:$C$162,2,0),"?")</f>
        <v>?</v>
      </c>
      <c r="B17" s="5" t="s">
        <v>273</v>
      </c>
      <c r="C17" s="5">
        <v>22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61</v>
      </c>
      <c r="H20">
        <f>SUM(H5:H19)</f>
        <v>35</v>
      </c>
      <c r="K20">
        <f>SUM(K5:K19)</f>
        <v>48</v>
      </c>
      <c r="N20">
        <f>SUM(N5:N19)</f>
        <v>19</v>
      </c>
      <c r="Q20">
        <f>SUM(Q5:Q19)</f>
        <v>16</v>
      </c>
      <c r="T20">
        <f>SUM(T5:T19)</f>
        <v>9</v>
      </c>
    </row>
    <row r="21" spans="1:21" x14ac:dyDescent="0.2">
      <c r="A21" s="2" t="s">
        <v>17</v>
      </c>
      <c r="B21" s="1" t="s">
        <v>21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Dillon</v>
      </c>
      <c r="B23" s="5" t="str">
        <f>_xlfn.IFNA(VLOOKUP($B$21&amp;ROWS($B$23:B23),Rosters!$B$2:$D$162,3,0),"?")</f>
        <v>Jones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Mark</v>
      </c>
      <c r="B24" s="6" t="str">
        <f>_xlfn.IFNA(VLOOKUP($B$21&amp;ROWS($B$23:B24),Rosters!$B$2:$D$162,3,0),"?")</f>
        <v>Burton</v>
      </c>
      <c r="C24" s="6">
        <f>_xlfn.IFNA(VLOOKUP($B$21&amp;ROWS($C$23:C24),Rosters!$B$2:$E$162,4,0),"")</f>
        <v>3</v>
      </c>
      <c r="E24" s="6">
        <v>10</v>
      </c>
      <c r="H24" s="6">
        <v>4</v>
      </c>
      <c r="K24" s="6">
        <v>13</v>
      </c>
      <c r="N24" s="6">
        <v>4</v>
      </c>
      <c r="Q24" s="6">
        <v>7</v>
      </c>
      <c r="T24" s="6">
        <v>6</v>
      </c>
    </row>
    <row r="25" spans="1:21" s="6" customFormat="1" x14ac:dyDescent="0.2">
      <c r="A25" s="5" t="str">
        <f>_xlfn.IFNA(VLOOKUP($B$21&amp;ROWS($A$23:A25),Rosters!$B$2:$C$162,2,0),"?")</f>
        <v>Cole</v>
      </c>
      <c r="B25" s="5" t="str">
        <f>_xlfn.IFNA(VLOOKUP($B$21&amp;ROWS($B$23:B25),Rosters!$B$2:$D$162,3,0),"?")</f>
        <v>Kadoguchi</v>
      </c>
      <c r="C25" s="5">
        <f>_xlfn.IFNA(VLOOKUP($B$21&amp;ROWS($C$23:C25),Rosters!$B$2:$E$162,4,0),"")</f>
        <v>4</v>
      </c>
      <c r="D25" s="5"/>
      <c r="E25" s="5">
        <v>2</v>
      </c>
      <c r="F25" s="5"/>
      <c r="G25" s="5"/>
      <c r="H25" s="5">
        <v>2</v>
      </c>
      <c r="I25" s="5"/>
      <c r="J25" s="5"/>
      <c r="K25" s="5">
        <v>8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 xml:space="preserve">Deng </v>
      </c>
      <c r="B26" s="6" t="str">
        <f>_xlfn.IFNA(VLOOKUP($B$21&amp;ROWS($B$23:B26),Rosters!$B$2:$D$162,3,0),"?")</f>
        <v>Mayar</v>
      </c>
      <c r="C26" s="6">
        <f>_xlfn.IFNA(VLOOKUP($B$21&amp;ROWS($C$23:C26),Rosters!$B$2:$E$162,4,0),"")</f>
        <v>5</v>
      </c>
      <c r="E26" s="6">
        <v>15</v>
      </c>
      <c r="H26" s="6">
        <v>7</v>
      </c>
      <c r="K26" s="6">
        <v>0</v>
      </c>
      <c r="N26" s="6">
        <v>0</v>
      </c>
      <c r="Q26" s="6">
        <v>1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Zach</v>
      </c>
      <c r="B27" s="5" t="str">
        <f>_xlfn.IFNA(VLOOKUP($B$21&amp;ROWS($B$23:B27),Rosters!$B$2:$D$162,3,0),"?")</f>
        <v>Cassita</v>
      </c>
      <c r="C27" s="5">
        <f>_xlfn.IFNA(VLOOKUP($B$21&amp;ROWS($C$23:C27),Rosters!$B$2:$E$162,4,0),"")</f>
        <v>6</v>
      </c>
      <c r="D27" s="5"/>
      <c r="E27" s="5">
        <v>7</v>
      </c>
      <c r="F27" s="5"/>
      <c r="G27" s="5"/>
      <c r="H27" s="5">
        <v>4</v>
      </c>
      <c r="I27" s="5"/>
      <c r="J27" s="5"/>
      <c r="K27" s="5">
        <v>10</v>
      </c>
      <c r="L27" s="5"/>
      <c r="M27" s="5"/>
      <c r="N27" s="5">
        <v>3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Zues</v>
      </c>
      <c r="B28" s="6" t="str">
        <f>_xlfn.IFNA(VLOOKUP($B$21&amp;ROWS($B$23:B28),Rosters!$B$2:$D$162,3,0),"?")</f>
        <v>Martinez</v>
      </c>
      <c r="C28" s="6">
        <f>_xlfn.IFNA(VLOOKUP($B$21&amp;ROWS($C$23:C28),Rosters!$B$2:$E$162,4,0),"")</f>
        <v>7</v>
      </c>
      <c r="E28" s="6">
        <v>3</v>
      </c>
      <c r="H28" s="6">
        <v>3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Dom</v>
      </c>
      <c r="B29" s="5" t="str">
        <f>_xlfn.IFNA(VLOOKUP($B$21&amp;ROWS($B$23:B29),Rosters!$B$2:$D$162,3,0),"?")</f>
        <v>Philip</v>
      </c>
      <c r="C29" s="5">
        <f>_xlfn.IFNA(VLOOKUP($B$21&amp;ROWS($C$23:C29),Rosters!$B$2:$E$162,4,0),"")</f>
        <v>8</v>
      </c>
      <c r="D29" s="5"/>
      <c r="E29" s="5">
        <v>2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2</v>
      </c>
      <c r="R29" s="5"/>
      <c r="S29" s="5"/>
      <c r="T29" s="5">
        <v>2</v>
      </c>
      <c r="U29" s="5"/>
    </row>
    <row r="30" spans="1:21" s="6" customFormat="1" x14ac:dyDescent="0.2">
      <c r="A30" s="6" t="str">
        <f>_xlfn.IFNA(VLOOKUP($B$21&amp;ROWS($A$23:A30),Rosters!$B$2:$C$162,2,0),"?")</f>
        <v>Gerad</v>
      </c>
      <c r="B30" s="6" t="str">
        <f>_xlfn.IFNA(VLOOKUP($B$21&amp;ROWS($B$23:B30),Rosters!$B$2:$D$162,3,0),"?")</f>
        <v>David</v>
      </c>
      <c r="C30" s="6">
        <f>_xlfn.IFNA(VLOOKUP($B$21&amp;ROWS($C$23:C30),Rosters!$B$2:$E$162,4,0),"")</f>
        <v>14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Trigga</v>
      </c>
      <c r="B31" s="5" t="str">
        <f>_xlfn.IFNA(VLOOKUP($B$21&amp;ROWS($B$23:B31),Rosters!$B$2:$D$162,3,0),"?")</f>
        <v>Trei</v>
      </c>
      <c r="C31" s="5">
        <f>_xlfn.IFNA(VLOOKUP($B$21&amp;ROWS($C$23:C31),Rosters!$B$2:$E$162,4,0),"")</f>
        <v>17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Lual</v>
      </c>
      <c r="B32" s="6" t="str">
        <f>_xlfn.IFNA(VLOOKUP($B$21&amp;ROWS($B$23:B32),Rosters!$B$2:$D$162,3,0),"?")</f>
        <v>Arok</v>
      </c>
      <c r="C32" s="6">
        <f>_xlfn.IFNA(VLOOKUP($B$21&amp;ROWS($C$23:C32),Rosters!$B$2:$E$162,4,0),"")</f>
        <v>20</v>
      </c>
      <c r="E32" s="6">
        <v>2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Steven</v>
      </c>
      <c r="B33" s="5" t="str">
        <f>_xlfn.IFNA(VLOOKUP($B$21&amp;ROWS($B$23:B33),Rosters!$B$2:$D$162,3,0),"?")</f>
        <v>Adeyemi</v>
      </c>
      <c r="C33" s="5">
        <v>9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274</v>
      </c>
      <c r="B34" s="6" t="s">
        <v>275</v>
      </c>
      <c r="C34" s="6">
        <v>11</v>
      </c>
      <c r="D34"/>
      <c r="E34" s="6">
        <v>15</v>
      </c>
      <c r="F34"/>
      <c r="G34"/>
      <c r="H34" s="6">
        <v>11</v>
      </c>
      <c r="I34"/>
      <c r="J34"/>
      <c r="K34" s="6">
        <v>12</v>
      </c>
      <c r="L34"/>
      <c r="M34"/>
      <c r="N34" s="6">
        <v>5</v>
      </c>
      <c r="O34"/>
      <c r="P34"/>
      <c r="Q34" s="6">
        <v>4</v>
      </c>
      <c r="R34"/>
      <c r="S34"/>
      <c r="T34" s="6">
        <v>1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56</v>
      </c>
      <c r="H38">
        <f>SUM(H23:H37)</f>
        <v>32</v>
      </c>
      <c r="K38">
        <f>SUM(K23:K37)</f>
        <v>43</v>
      </c>
      <c r="N38">
        <f>SUM(N23:N37)</f>
        <v>14</v>
      </c>
      <c r="Q38">
        <f>SUM(Q23:Q37)</f>
        <v>14</v>
      </c>
      <c r="T38">
        <f>SUM(T23:T37)</f>
        <v>9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5" workbookViewId="0">
      <selection activeCell="C94" sqref="C94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271</v>
      </c>
    </row>
    <row r="66" spans="1:5" x14ac:dyDescent="0.2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">
      <c r="A93" t="s">
        <v>20</v>
      </c>
      <c r="B93" t="str">
        <f>A93&amp;COUNTIF($A$2:$A93,A93)</f>
        <v>Humphries6</v>
      </c>
      <c r="C93" t="s">
        <v>277</v>
      </c>
      <c r="D93" t="s">
        <v>204</v>
      </c>
      <c r="E93">
        <v>9</v>
      </c>
    </row>
    <row r="94" spans="1:5" x14ac:dyDescent="0.2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">
      <c r="A118" t="s">
        <v>19</v>
      </c>
      <c r="B118" t="str">
        <f>A118&amp;COUNTIF($A$2:$A118,A118)</f>
        <v>Berger7</v>
      </c>
      <c r="E118">
        <v>21</v>
      </c>
    </row>
    <row r="119" spans="1:5" x14ac:dyDescent="0.2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2021-07-01T01:45:25Z</dcterms:modified>
</cp:coreProperties>
</file>