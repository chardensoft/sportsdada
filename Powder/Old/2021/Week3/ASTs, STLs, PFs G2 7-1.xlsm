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3/"/>
    </mc:Choice>
  </mc:AlternateContent>
  <xr:revisionPtr revIDLastSave="0" documentId="13_ncr:1_{D44D1867-96DB-4B4F-A9EC-EA09AE9AED25}" xr6:coauthVersionLast="47" xr6:coauthVersionMax="47" xr10:uidLastSave="{00000000-0000-0000-0000-000000000000}"/>
  <bookViews>
    <workbookView xWindow="0" yWindow="500" windowWidth="28760" windowHeight="1042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C29" i="1" s="1"/>
  <c r="H28" i="2" s="1"/>
  <c r="B8" i="3"/>
  <c r="B7" i="3"/>
  <c r="B6" i="3"/>
  <c r="B5" i="3"/>
  <c r="B4" i="3"/>
  <c r="B3" i="3"/>
  <c r="B2" i="3"/>
  <c r="C32" i="1" s="1"/>
  <c r="H31" i="2" s="1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K3" i="2"/>
  <c r="G4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18" i="2" l="1"/>
  <c r="I37" i="2"/>
  <c r="D3" i="2" s="1"/>
  <c r="B33" i="1"/>
  <c r="G32" i="2" s="1"/>
  <c r="C25" i="1"/>
  <c r="H24" i="2" s="1"/>
  <c r="I18" i="2"/>
  <c r="B3" i="2" s="1"/>
  <c r="H11" i="2"/>
  <c r="B25" i="1"/>
  <c r="G24" i="2" s="1"/>
  <c r="F12" i="2"/>
  <c r="F4" i="2"/>
  <c r="G11" i="2"/>
  <c r="H3" i="2"/>
  <c r="H10" i="2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F5" i="2"/>
  <c r="A36" i="1"/>
  <c r="F35" i="2" s="1"/>
  <c r="C30" i="1"/>
  <c r="H29" i="2" s="1"/>
  <c r="G10" i="2"/>
  <c r="C24" i="1"/>
  <c r="H23" i="2" s="1"/>
  <c r="A30" i="1"/>
  <c r="F29" i="2" s="1"/>
  <c r="B19" i="1"/>
  <c r="G17" i="2" s="1"/>
  <c r="H8" i="2"/>
  <c r="A35" i="1"/>
  <c r="F34" i="2" s="1"/>
  <c r="B18" i="1"/>
  <c r="G16" i="2" s="1"/>
  <c r="H7" i="2"/>
  <c r="B29" i="1"/>
  <c r="G28" i="2" s="1"/>
  <c r="A18" i="1"/>
  <c r="F16" i="2" s="1"/>
  <c r="G7" i="2"/>
  <c r="H14" i="2"/>
  <c r="H6" i="2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G12" i="2"/>
  <c r="A24" i="1"/>
  <c r="F23" i="2" s="1"/>
  <c r="A28" i="1"/>
  <c r="F27" i="2" s="1"/>
  <c r="G3" i="2"/>
  <c r="C19" i="1"/>
  <c r="H17" i="2" s="1"/>
  <c r="B35" i="1"/>
  <c r="G34" i="2" s="1"/>
  <c r="B27" i="1"/>
  <c r="G26" i="2" s="1"/>
  <c r="F10" i="2"/>
  <c r="C18" i="1"/>
  <c r="H16" i="2" s="1"/>
  <c r="B32" i="1"/>
  <c r="G31" i="2" s="1"/>
  <c r="A27" i="1"/>
  <c r="F26" i="2" s="1"/>
  <c r="F9" i="2"/>
  <c r="H15" i="2"/>
  <c r="A32" i="1"/>
  <c r="F31" i="2" s="1"/>
  <c r="G15" i="2"/>
  <c r="F15" i="2"/>
  <c r="F7" i="2"/>
  <c r="G14" i="2"/>
  <c r="G6" i="2"/>
  <c r="H13" i="2"/>
  <c r="H5" i="2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F13" i="2"/>
  <c r="F11" i="2"/>
  <c r="H9" i="2"/>
  <c r="G9" i="2"/>
  <c r="C37" i="1"/>
  <c r="H36" i="2" s="1"/>
  <c r="A19" i="1"/>
  <c r="F17" i="2" s="1"/>
  <c r="G8" i="2"/>
  <c r="B37" i="1"/>
  <c r="G36" i="2" s="1"/>
  <c r="C34" i="1"/>
  <c r="H33" i="2" s="1"/>
  <c r="C26" i="1"/>
  <c r="H25" i="2" s="1"/>
  <c r="F8" i="2"/>
  <c r="F14" i="2"/>
  <c r="F6" i="2"/>
  <c r="G13" i="2"/>
  <c r="G5" i="2"/>
  <c r="H12" i="2"/>
  <c r="C23" i="1"/>
  <c r="H22" i="2" s="1"/>
  <c r="B36" i="1"/>
  <c r="G35" i="2" s="1"/>
  <c r="C33" i="1"/>
  <c r="H32" i="2" s="1"/>
  <c r="A31" i="1"/>
  <c r="F30" i="2" s="1"/>
  <c r="B28" i="1"/>
  <c r="G27" i="2" s="1"/>
  <c r="K37" i="2"/>
  <c r="J37" i="2"/>
  <c r="K18" i="2"/>
  <c r="F3" i="2"/>
</calcChain>
</file>

<file path=xl/sharedStrings.xml><?xml version="1.0" encoding="utf-8"?>
<sst xmlns="http://schemas.openxmlformats.org/spreadsheetml/2006/main" count="507" uniqueCount="271">
  <si>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</si>
  <si>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</si>
  <si>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</si>
  <si>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</si>
  <si>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</si>
  <si>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</si>
  <si>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</si>
  <si>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</si>
  <si>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</si>
  <si>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</si>
  <si>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</si>
  <si>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</si>
  <si>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</si>
  <si>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</si>
  <si>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</si>
  <si>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</si>
  <si>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</si>
  <si>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</si>
  <si>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</si>
  <si>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</si>
  <si>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</si>
  <si>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</si>
  <si>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</si>
  <si>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</si>
  <si>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</si>
  <si>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</si>
  <si>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</si>
  <si>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</si>
  <si>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</si>
  <si>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</si>
  <si>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</si>
  <si>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</si>
  <si>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</si>
  <si>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</si>
  <si>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</si>
  <si>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</si>
  <si>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</si>
  <si>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</si>
  <si>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</si>
  <si>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</si>
  <si>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</si>
  <si>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</si>
  <si>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</si>
  <si>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</si>
  <si>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</si>
  <si>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</si>
  <si>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</si>
  <si>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</si>
  <si>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</si>
  <si>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</si>
  <si>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</si>
  <si>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</si>
  <si>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</si>
  <si>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</si>
  <si>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</si>
  <si>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</si>
  <si>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</si>
  <si>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</si>
  <si>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</si>
  <si>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</si>
  <si>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</si>
  <si>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</si>
  <si>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</si>
  <si>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</si>
  <si>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</si>
  <si>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</si>
  <si>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</si>
  <si>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</si>
  <si>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</si>
  <si>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</si>
  <si>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</si>
  <si>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</si>
  <si>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</si>
  <si>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</si>
  <si>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</si>
  <si>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</si>
  <si>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</si>
  <si>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</si>
  <si>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</si>
  <si>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</si>
  <si>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</si>
  <si>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</si>
  <si>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</si>
  <si>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</si>
  <si>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</si>
  <si>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</si>
  <si>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</si>
  <si>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</si>
  <si>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</si>
  <si>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</si>
  <si>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</si>
  <si>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</si>
  <si>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</si>
  <si>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</si>
  <si>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</si>
  <si>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</si>
  <si>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</si>
  <si>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</si>
  <si>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</si>
  <si>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</si>
  <si>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</si>
  <si>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</si>
  <si>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</si>
  <si>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</si>
  <si>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</si>
  <si>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</si>
  <si>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</si>
  <si>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</si>
  <si>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</si>
  <si>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</si>
  <si>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</si>
  <si>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</si>
  <si>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</si>
  <si>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</si>
  <si>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</si>
  <si>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</si>
  <si>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</si>
  <si>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</si>
  <si>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</si>
  <si>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</si>
  <si>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</si>
  <si>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</si>
  <si>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</si>
  <si>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</si>
  <si>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</si>
  <si>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</si>
  <si>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</si>
  <si>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</si>
  <si>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</si>
  <si>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</si>
  <si>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</si>
  <si>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</si>
  <si>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</si>
  <si>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</si>
  <si>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</si>
  <si>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</si>
  <si>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</si>
  <si>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</si>
  <si>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</si>
  <si>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</si>
  <si>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</si>
  <si>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</si>
  <si>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</si>
  <si>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</si>
  <si>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</si>
  <si>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</si>
  <si>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</si>
  <si>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</si>
  <si>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</si>
  <si>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</si>
  <si>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</si>
  <si>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</si>
  <si>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</si>
  <si>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</si>
  <si>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</si>
  <si>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</si>
  <si>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</si>
  <si>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</si>
  <si>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</si>
  <si>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</si>
  <si>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</si>
  <si>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</si>
  <si>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</si>
  <si>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</si>
  <si>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</si>
  <si>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</si>
  <si>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</si>
  <si>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</si>
  <si>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</si>
  <si>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</si>
  <si>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</si>
  <si>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</si>
  <si>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</si>
  <si>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</si>
  <si>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</si>
  <si>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</si>
  <si>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</si>
  <si>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</si>
  <si>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</si>
  <si>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</si>
  <si>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</si>
  <si>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</si>
  <si>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</si>
  <si>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</si>
  <si>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</si>
  <si>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</si>
  <si>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</si>
  <si>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</si>
  <si>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</si>
  <si>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</si>
  <si>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</si>
  <si>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</si>
  <si>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</si>
  <si>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</si>
  <si>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</si>
  <si>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</si>
  <si>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</si>
  <si>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</si>
  <si>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</si>
  <si>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</si>
  <si>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</si>
  <si>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</si>
  <si>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</si>
  <si>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</si>
  <si>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</si>
  <si>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</si>
  <si>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</si>
  <si>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</si>
  <si>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</si>
  <si>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</si>
  <si>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</si>
  <si>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</si>
  <si>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</si>
  <si>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</si>
  <si>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</si>
  <si>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</si>
  <si>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</si>
  <si>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</si>
  <si>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</si>
  <si>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</si>
  <si>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</si>
  <si>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</si>
  <si>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</si>
  <si>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</si>
  <si>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</si>
  <si>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</si>
  <si>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</si>
  <si>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</si>
  <si>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</si>
  <si>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</si>
  <si>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</si>
  <si>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</si>
  <si>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</si>
  <si>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</si>
  <si>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</si>
  <si>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</si>
  <si>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</si>
  <si>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</si>
  <si>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</si>
  <si>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</si>
  <si>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</si>
  <si>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</si>
  <si>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</si>
  <si>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</si>
  <si>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</si>
  <si>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</si>
  <si>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</si>
  <si>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</si>
  <si>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</si>
  <si>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</si>
  <si>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</si>
  <si>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</si>
  <si>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</si>
  <si>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</si>
  <si>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</si>
  <si>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</si>
  <si>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</si>
  <si>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</si>
  <si>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</si>
  <si>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</si>
  <si>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</si>
  <si>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</si>
  <si>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</si>
  <si>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AST</t>
  </si>
  <si>
    <t>STL</t>
  </si>
  <si>
    <t>PF</t>
  </si>
  <si>
    <t>GAME 2</t>
  </si>
  <si>
    <t>TJ</t>
  </si>
  <si>
    <t>0-0</t>
  </si>
  <si>
    <t>Black 8</t>
  </si>
  <si>
    <t>Technical Foul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</si>
</sst>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4" fillId="0" borderId="0" xfId="0" applyFont="1"/>
    <xf numFmtId="49" fontId="0" fillId="0" borderId="0" xfId="0" applyNumberForma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433" Type="http://schemas.openxmlformats.org/officeDocument/2006/relationships/ctrlProp" Target="../ctrlProps/ctrlProp430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424" Type="http://schemas.openxmlformats.org/officeDocument/2006/relationships/ctrlProp" Target="../ctrlProps/ctrlProp421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435" Type="http://schemas.openxmlformats.org/officeDocument/2006/relationships/ctrlProp" Target="../ctrlProps/ctrlProp432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426" Type="http://schemas.openxmlformats.org/officeDocument/2006/relationships/ctrlProp" Target="../ctrlProps/ctrlProp423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428" Type="http://schemas.openxmlformats.org/officeDocument/2006/relationships/ctrlProp" Target="../ctrlProps/ctrlProp425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38" Type="http://schemas.openxmlformats.org/officeDocument/2006/relationships/ctrlProp" Target="../ctrlProps/ctrlProp35.xml"/><Relationship Id="rId103" Type="http://schemas.openxmlformats.org/officeDocument/2006/relationships/ctrlProp" Target="../ctrlProps/ctrlProp100.xml"/><Relationship Id="rId310" Type="http://schemas.openxmlformats.org/officeDocument/2006/relationships/ctrlProp" Target="../ctrlProps/ctrlProp30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87" Type="http://schemas.openxmlformats.org/officeDocument/2006/relationships/ctrlProp" Target="../ctrlProps/ctrlProp184.xml"/><Relationship Id="rId352" Type="http://schemas.openxmlformats.org/officeDocument/2006/relationships/ctrlProp" Target="../ctrlProps/ctrlProp349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212" Type="http://schemas.openxmlformats.org/officeDocument/2006/relationships/ctrlProp" Target="../ctrlProps/ctrlProp209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430" Type="http://schemas.openxmlformats.org/officeDocument/2006/relationships/ctrlProp" Target="../ctrlProps/ctrlProp427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431" Type="http://schemas.openxmlformats.org/officeDocument/2006/relationships/ctrlProp" Target="../ctrlProps/ctrlProp428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432" Type="http://schemas.openxmlformats.org/officeDocument/2006/relationships/ctrlProp" Target="../ctrlProps/ctrlProp429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434" Type="http://schemas.openxmlformats.org/officeDocument/2006/relationships/ctrlProp" Target="../ctrlProps/ctrlProp431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425" Type="http://schemas.openxmlformats.org/officeDocument/2006/relationships/ctrlProp" Target="../ctrlProps/ctrlProp422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427" Type="http://schemas.openxmlformats.org/officeDocument/2006/relationships/ctrlProp" Target="../ctrlProps/ctrlProp424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59" Type="http://schemas.openxmlformats.org/officeDocument/2006/relationships/ctrlProp" Target="../ctrlProps/ctrlProp56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166" Type="http://schemas.openxmlformats.org/officeDocument/2006/relationships/ctrlProp" Target="../ctrlProps/ctrlProp163.xml"/><Relationship Id="rId331" Type="http://schemas.openxmlformats.org/officeDocument/2006/relationships/ctrlProp" Target="../ctrlProps/ctrlProp328.xml"/><Relationship Id="rId373" Type="http://schemas.openxmlformats.org/officeDocument/2006/relationships/ctrlProp" Target="../ctrlProps/ctrlProp370.xml"/><Relationship Id="rId429" Type="http://schemas.openxmlformats.org/officeDocument/2006/relationships/ctrlProp" Target="../ctrlProps/ctrlProp426.xml"/><Relationship Id="rId1" Type="http://schemas.openxmlformats.org/officeDocument/2006/relationships/printerSettings" Target="../printerSettings/printerSettings1.bin"/><Relationship Id="rId233" Type="http://schemas.openxmlformats.org/officeDocument/2006/relationships/ctrlProp" Target="../ctrlProps/ctrlProp2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topLeftCell="A22" workbookViewId="0">
      <selection activeCell="H5" sqref="H5"/>
    </sheetView>
  </sheetViews>
  <sheetFormatPr baseColWidth="10" defaultColWidth="10.6640625" defaultRowHeight="16" x14ac:dyDescent="0.2"/>
  <cols>
    <col min="1" max="1" width="3.1640625" customWidth="1"/>
    <col min="3" max="3" width="2.83203125" customWidth="1"/>
    <col min="5" max="5" width="3.5" customWidth="1"/>
    <col min="8" max="8" width="8.6640625" bestFit="1" customWidth="1"/>
  </cols>
  <sheetData>
    <row r="1" spans="2:11" x14ac:dyDescent="0.2">
      <c r="B1" s="2" t="s">
        <v>266</v>
      </c>
      <c r="F1" t="s">
        <v>3</v>
      </c>
      <c r="G1" t="str">
        <f>'Stats G2'!B3</f>
        <v>Covington</v>
      </c>
    </row>
    <row r="2" spans="2:11" x14ac:dyDescent="0.2">
      <c r="B2" t="str">
        <f>G1</f>
        <v>Covington</v>
      </c>
      <c r="D2" t="str">
        <f>G20</f>
        <v>Drisdom</v>
      </c>
      <c r="F2" t="s">
        <v>1</v>
      </c>
      <c r="G2" t="s">
        <v>2</v>
      </c>
      <c r="H2" t="s">
        <v>0</v>
      </c>
      <c r="I2" t="s">
        <v>263</v>
      </c>
      <c r="J2" t="s">
        <v>264</v>
      </c>
      <c r="K2" t="s">
        <v>265</v>
      </c>
    </row>
    <row r="3" spans="2:11" x14ac:dyDescent="0.2">
      <c r="B3">
        <f>I18</f>
        <v>14</v>
      </c>
      <c r="C3" s="3" t="s">
        <v>6</v>
      </c>
      <c r="D3" s="4">
        <f>I37</f>
        <v>27</v>
      </c>
      <c r="F3" t="str">
        <f>'Stats G2'!A5</f>
        <v>Marion</v>
      </c>
      <c r="G3" t="str">
        <f>'Stats G2'!B5</f>
        <v>Humphrey</v>
      </c>
      <c r="H3">
        <f>'Stats G2'!C5</f>
        <v>0</v>
      </c>
      <c r="I3">
        <f>'Stats G2'!E5</f>
        <v>0</v>
      </c>
      <c r="J3">
        <f>'Stats G2'!H5</f>
        <v>0</v>
      </c>
      <c r="K3">
        <f>'Stats G2'!K5</f>
        <v>0</v>
      </c>
    </row>
    <row r="4" spans="2:11" x14ac:dyDescent="0.2">
      <c r="F4" t="str">
        <f>'Stats G2'!A6</f>
        <v>Festus</v>
      </c>
      <c r="G4" t="str">
        <f>'Stats G2'!B6</f>
        <v>Ndumanya</v>
      </c>
      <c r="H4" s="9" t="s">
        <v>262</v>
      </c>
      <c r="I4">
        <f>'Stats G2'!E6</f>
        <v>0</v>
      </c>
      <c r="J4">
        <f>'Stats G2'!H6</f>
        <v>0</v>
      </c>
      <c r="K4">
        <f>'Stats G2'!K6</f>
        <v>2</v>
      </c>
    </row>
    <row r="5" spans="2:11" x14ac:dyDescent="0.2">
      <c r="F5" t="str">
        <f>'Stats G2'!A7</f>
        <v>Christian</v>
      </c>
      <c r="G5" t="str">
        <f>'Stats G2'!B7</f>
        <v>Haffner</v>
      </c>
      <c r="H5">
        <f>'Stats G2'!C7</f>
        <v>2</v>
      </c>
      <c r="I5">
        <f>'Stats G2'!E7</f>
        <v>0</v>
      </c>
      <c r="J5">
        <f>'Stats G2'!H7</f>
        <v>0</v>
      </c>
      <c r="K5">
        <f>'Stats G2'!K7</f>
        <v>0</v>
      </c>
    </row>
    <row r="6" spans="2:11" x14ac:dyDescent="0.2">
      <c r="F6" t="str">
        <f>'Stats G2'!A8</f>
        <v>Oscar</v>
      </c>
      <c r="G6" t="str">
        <f>'Stats G2'!B8</f>
        <v>Lopez</v>
      </c>
      <c r="H6">
        <f>'Stats G2'!C8</f>
        <v>3</v>
      </c>
      <c r="I6">
        <f>'Stats G2'!E8</f>
        <v>1</v>
      </c>
      <c r="J6">
        <f>'Stats G2'!H8</f>
        <v>1</v>
      </c>
      <c r="K6">
        <f>'Stats G2'!K8</f>
        <v>5</v>
      </c>
    </row>
    <row r="7" spans="2:11" x14ac:dyDescent="0.2">
      <c r="F7" t="str">
        <f>'Stats G2'!A9</f>
        <v>Max</v>
      </c>
      <c r="G7" t="str">
        <f>'Stats G2'!B9</f>
        <v>Watson</v>
      </c>
      <c r="H7">
        <f>'Stats G2'!C9</f>
        <v>4</v>
      </c>
      <c r="I7">
        <f>'Stats G2'!E9</f>
        <v>0</v>
      </c>
      <c r="J7">
        <f>'Stats G2'!H9</f>
        <v>0</v>
      </c>
      <c r="K7">
        <f>'Stats G2'!K9</f>
        <v>0</v>
      </c>
    </row>
    <row r="8" spans="2:11" x14ac:dyDescent="0.2">
      <c r="F8" t="str">
        <f>'Stats G2'!A10</f>
        <v>Quincy</v>
      </c>
      <c r="G8" t="str">
        <f>'Stats G2'!B10</f>
        <v>McGriff</v>
      </c>
      <c r="H8">
        <f>'Stats G2'!C10</f>
        <v>5</v>
      </c>
      <c r="I8">
        <f>'Stats G2'!E10</f>
        <v>0</v>
      </c>
      <c r="J8">
        <f>'Stats G2'!H10</f>
        <v>0</v>
      </c>
      <c r="K8">
        <f>'Stats G2'!K10</f>
        <v>0</v>
      </c>
    </row>
    <row r="9" spans="2:11" x14ac:dyDescent="0.2">
      <c r="F9" t="str">
        <f>'Stats G2'!A11</f>
        <v>Nick</v>
      </c>
      <c r="G9" t="str">
        <f>'Stats G2'!B11</f>
        <v>Covington</v>
      </c>
      <c r="H9">
        <f>'Stats G2'!C11</f>
        <v>7</v>
      </c>
      <c r="I9">
        <f>'Stats G2'!E11</f>
        <v>4</v>
      </c>
      <c r="J9">
        <f>'Stats G2'!H11</f>
        <v>0</v>
      </c>
      <c r="K9">
        <f>'Stats G2'!K11</f>
        <v>2</v>
      </c>
    </row>
    <row r="10" spans="2:11" x14ac:dyDescent="0.2">
      <c r="F10" t="str">
        <f>'Stats G2'!A12</f>
        <v>Chase</v>
      </c>
      <c r="G10" t="str">
        <f>'Stats G2'!B12</f>
        <v>Adam</v>
      </c>
      <c r="H10">
        <f>'Stats G2'!C12</f>
        <v>10</v>
      </c>
      <c r="I10">
        <f>'Stats G2'!E12</f>
        <v>1</v>
      </c>
      <c r="J10">
        <f>'Stats G2'!H12</f>
        <v>0</v>
      </c>
      <c r="K10">
        <f>'Stats G2'!K12</f>
        <v>1</v>
      </c>
    </row>
    <row r="11" spans="2:11" x14ac:dyDescent="0.2">
      <c r="F11" t="str">
        <f>'Stats G2'!A13</f>
        <v>Tanner</v>
      </c>
      <c r="G11" t="str">
        <f>'Stats G2'!B13</f>
        <v>Cuff</v>
      </c>
      <c r="H11">
        <f>'Stats G2'!C13</f>
        <v>11</v>
      </c>
      <c r="I11">
        <f>'Stats G2'!E13</f>
        <v>0</v>
      </c>
      <c r="J11">
        <f>'Stats G2'!H13</f>
        <v>0</v>
      </c>
      <c r="K11">
        <f>'Stats G2'!K13</f>
        <v>0</v>
      </c>
    </row>
    <row r="12" spans="2:11" x14ac:dyDescent="0.2">
      <c r="F12" t="str">
        <f>'Stats G2'!A14</f>
        <v>Jackson</v>
      </c>
      <c r="G12" t="str">
        <f>'Stats G2'!B14</f>
        <v>Last</v>
      </c>
      <c r="H12">
        <f>'Stats G2'!C14</f>
        <v>13</v>
      </c>
      <c r="I12">
        <f>'Stats G2'!E14</f>
        <v>2</v>
      </c>
      <c r="J12">
        <f>'Stats G2'!H14</f>
        <v>2</v>
      </c>
      <c r="K12">
        <f>'Stats G2'!K14</f>
        <v>3</v>
      </c>
    </row>
    <row r="13" spans="2:11" x14ac:dyDescent="0.2">
      <c r="F13" t="str">
        <f>'Stats G2'!A15</f>
        <v xml:space="preserve">Jaxon </v>
      </c>
      <c r="G13" t="str">
        <f>'Stats G2'!B15</f>
        <v>Pollard</v>
      </c>
      <c r="H13">
        <f>'Stats G2'!C15</f>
        <v>15</v>
      </c>
      <c r="I13">
        <f>'Stats G2'!E15</f>
        <v>1</v>
      </c>
      <c r="J13">
        <f>'Stats G2'!H15</f>
        <v>1</v>
      </c>
      <c r="K13">
        <f>'Stats G2'!K15</f>
        <v>2</v>
      </c>
    </row>
    <row r="14" spans="2:11" x14ac:dyDescent="0.2">
      <c r="F14" t="str">
        <f>'Stats G2'!A16</f>
        <v>Tyson</v>
      </c>
      <c r="G14" t="str">
        <f>'Stats G2'!B16</f>
        <v>Garff</v>
      </c>
      <c r="H14">
        <f>'Stats G2'!C16</f>
        <v>22</v>
      </c>
      <c r="I14">
        <f>'Stats G2'!E16</f>
        <v>1</v>
      </c>
      <c r="J14">
        <f>'Stats G2'!H16</f>
        <v>0</v>
      </c>
      <c r="K14">
        <f>'Stats G2'!K16</f>
        <v>0</v>
      </c>
    </row>
    <row r="15" spans="2:11" x14ac:dyDescent="0.2">
      <c r="F15" t="str">
        <f>'Stats G2'!A17</f>
        <v>Jordan</v>
      </c>
      <c r="G15" t="str">
        <f>'Stats G2'!B17</f>
        <v>Brinson</v>
      </c>
      <c r="H15">
        <f>'Stats G2'!C17</f>
        <v>23</v>
      </c>
      <c r="I15">
        <f>'Stats G2'!E17</f>
        <v>4</v>
      </c>
      <c r="J15">
        <f>'Stats G2'!H17</f>
        <v>2</v>
      </c>
      <c r="K15">
        <f>'Stats G2'!K17</f>
        <v>0</v>
      </c>
    </row>
    <row r="16" spans="2:11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>'Stats G2'!K18</f>
        <v>0</v>
      </c>
    </row>
    <row r="17" spans="6:11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>'Stats G2'!K19</f>
        <v>0</v>
      </c>
    </row>
    <row r="18" spans="6:11" x14ac:dyDescent="0.2">
      <c r="H18" s="2" t="s">
        <v>5</v>
      </c>
      <c r="I18">
        <f>SUM(I3:I17)</f>
        <v>14</v>
      </c>
      <c r="J18">
        <f>SUM(J3:J17)</f>
        <v>6</v>
      </c>
      <c r="K18">
        <f>SUM(K3:K17)</f>
        <v>15</v>
      </c>
    </row>
    <row r="20" spans="6:11" x14ac:dyDescent="0.2">
      <c r="F20" t="s">
        <v>4</v>
      </c>
      <c r="G20" t="str">
        <f>'Stats G2'!B21</f>
        <v>Drisdom</v>
      </c>
    </row>
    <row r="21" spans="6:11" x14ac:dyDescent="0.2">
      <c r="F21" t="s">
        <v>1</v>
      </c>
      <c r="G21" t="s">
        <v>2</v>
      </c>
      <c r="H21" t="s">
        <v>0</v>
      </c>
      <c r="I21" t="s">
        <v>263</v>
      </c>
      <c r="J21" t="s">
        <v>264</v>
      </c>
      <c r="K21" t="s">
        <v>265</v>
      </c>
    </row>
    <row r="22" spans="6:11" x14ac:dyDescent="0.2">
      <c r="F22" t="str">
        <f>'Stats G2'!A23</f>
        <v>Terrence</v>
      </c>
      <c r="G22" t="str">
        <f>'Stats G2'!B23</f>
        <v>Drisdom</v>
      </c>
      <c r="H22">
        <f>'Stats G2'!C23</f>
        <v>0</v>
      </c>
      <c r="I22">
        <f>'Stats G2'!E23</f>
        <v>6</v>
      </c>
      <c r="J22">
        <f>'Stats G2'!H23</f>
        <v>1</v>
      </c>
      <c r="K22">
        <f>'Stats G2'!K23</f>
        <v>0</v>
      </c>
    </row>
    <row r="23" spans="6:11" x14ac:dyDescent="0.2">
      <c r="F23" t="str">
        <f>'Stats G2'!A24</f>
        <v>Shaun</v>
      </c>
      <c r="G23" t="str">
        <f>'Stats G2'!B24</f>
        <v>Green</v>
      </c>
      <c r="H23">
        <f>'Stats G2'!C24</f>
        <v>1</v>
      </c>
      <c r="I23">
        <f>'Stats G2'!E24</f>
        <v>3</v>
      </c>
      <c r="J23">
        <f>'Stats G2'!H24</f>
        <v>1</v>
      </c>
      <c r="K23">
        <f>'Stats G2'!K24</f>
        <v>1</v>
      </c>
    </row>
    <row r="24" spans="6:11" x14ac:dyDescent="0.2">
      <c r="F24" t="str">
        <f>'Stats G2'!A25</f>
        <v>Duane</v>
      </c>
      <c r="G24" t="str">
        <f>'Stats G2'!B25</f>
        <v>Brown</v>
      </c>
      <c r="H24">
        <f>'Stats G2'!C25</f>
        <v>2</v>
      </c>
      <c r="I24">
        <f>'Stats G2'!E25</f>
        <v>3</v>
      </c>
      <c r="J24">
        <f>'Stats G2'!H25</f>
        <v>1</v>
      </c>
      <c r="K24">
        <f>'Stats G2'!K25</f>
        <v>2</v>
      </c>
    </row>
    <row r="25" spans="6:11" x14ac:dyDescent="0.2">
      <c r="F25" t="str">
        <f>'Stats G2'!A26</f>
        <v xml:space="preserve">Tre </v>
      </c>
      <c r="G25" t="str">
        <f>'Stats G2'!B26</f>
        <v>Smith</v>
      </c>
      <c r="H25">
        <f>'Stats G2'!C26</f>
        <v>3</v>
      </c>
      <c r="I25">
        <f>'Stats G2'!E26</f>
        <v>0</v>
      </c>
      <c r="J25">
        <f>'Stats G2'!H26</f>
        <v>0</v>
      </c>
      <c r="K25">
        <f>'Stats G2'!K26</f>
        <v>1</v>
      </c>
    </row>
    <row r="26" spans="6:11" x14ac:dyDescent="0.2">
      <c r="F26" t="str">
        <f>'Stats G2'!A27</f>
        <v>Brekott</v>
      </c>
      <c r="G26" t="str">
        <f>'Stats G2'!B27</f>
        <v>Chapman</v>
      </c>
      <c r="H26">
        <f>'Stats G2'!C27</f>
        <v>6</v>
      </c>
      <c r="I26">
        <f>'Stats G2'!E27</f>
        <v>4</v>
      </c>
      <c r="J26">
        <f>'Stats G2'!H27</f>
        <v>0</v>
      </c>
      <c r="K26">
        <f>'Stats G2'!K27</f>
        <v>0</v>
      </c>
    </row>
    <row r="27" spans="6:11" x14ac:dyDescent="0.2">
      <c r="F27" t="str">
        <f>'Stats G2'!A28</f>
        <v xml:space="preserve">Ronnie </v>
      </c>
      <c r="G27" t="str">
        <f>'Stats G2'!B28</f>
        <v>Price</v>
      </c>
      <c r="H27">
        <f>'Stats G2'!C28</f>
        <v>7</v>
      </c>
      <c r="I27">
        <f>'Stats G2'!E28</f>
        <v>0</v>
      </c>
      <c r="J27">
        <f>'Stats G2'!H28</f>
        <v>0</v>
      </c>
      <c r="K27">
        <f>'Stats G2'!K28</f>
        <v>0</v>
      </c>
    </row>
    <row r="28" spans="6:11" x14ac:dyDescent="0.2">
      <c r="F28" t="str">
        <f>'Stats G2'!A29</f>
        <v xml:space="preserve">Isaiah </v>
      </c>
      <c r="G28" t="str">
        <f>'Stats G2'!B29</f>
        <v>Wright</v>
      </c>
      <c r="H28">
        <f>'Stats G2'!C29</f>
        <v>8</v>
      </c>
      <c r="I28">
        <f>'Stats G2'!E29</f>
        <v>10</v>
      </c>
      <c r="J28">
        <f>'Stats G2'!H29</f>
        <v>2</v>
      </c>
      <c r="K28">
        <f>'Stats G2'!K29</f>
        <v>5</v>
      </c>
    </row>
    <row r="29" spans="6:11" x14ac:dyDescent="0.2">
      <c r="F29" t="str">
        <f>'Stats G2'!A30</f>
        <v>Tim</v>
      </c>
      <c r="G29" t="str">
        <f>'Stats G2'!B30</f>
        <v>Drisdom</v>
      </c>
      <c r="H29">
        <f>'Stats G2'!C30</f>
        <v>11</v>
      </c>
      <c r="I29">
        <f>'Stats G2'!E30</f>
        <v>1</v>
      </c>
      <c r="J29">
        <f>'Stats G2'!H30</f>
        <v>1</v>
      </c>
      <c r="K29">
        <f>'Stats G2'!K30</f>
        <v>2</v>
      </c>
    </row>
    <row r="30" spans="6:11" x14ac:dyDescent="0.2">
      <c r="F30" t="str">
        <f>'Stats G2'!A31</f>
        <v>Dakarai</v>
      </c>
      <c r="G30" t="str">
        <f>'Stats G2'!B31</f>
        <v>Tucker</v>
      </c>
      <c r="H30">
        <f>'Stats G2'!C31</f>
        <v>14</v>
      </c>
      <c r="I30">
        <f>'Stats G2'!E31</f>
        <v>0</v>
      </c>
      <c r="J30">
        <f>'Stats G2'!H31</f>
        <v>1</v>
      </c>
      <c r="K30">
        <f>'Stats G2'!K31</f>
        <v>0</v>
      </c>
    </row>
    <row r="31" spans="6:11" x14ac:dyDescent="0.2">
      <c r="F31" t="str">
        <f>'Stats G2'!A32</f>
        <v>AJ</v>
      </c>
      <c r="G31" t="str">
        <f>'Stats G2'!B32</f>
        <v>Hodges</v>
      </c>
      <c r="H31">
        <f>'Stats G2'!C32</f>
        <v>15</v>
      </c>
      <c r="I31">
        <f>'Stats G2'!E32</f>
        <v>0</v>
      </c>
      <c r="J31">
        <f>'Stats G2'!H32</f>
        <v>0</v>
      </c>
      <c r="K31">
        <f>'Stats G2'!K32</f>
        <v>0</v>
      </c>
    </row>
    <row r="32" spans="6:11" x14ac:dyDescent="0.2">
      <c r="F32" t="str">
        <f>'Stats G2'!A33</f>
        <v>Makol</v>
      </c>
      <c r="G32" t="str">
        <f>'Stats G2'!B33</f>
        <v>Mawien</v>
      </c>
      <c r="H32">
        <f>'Stats G2'!C33</f>
        <v>34</v>
      </c>
      <c r="I32">
        <f>'Stats G2'!E33</f>
        <v>0</v>
      </c>
      <c r="J32">
        <f>'Stats G2'!H33</f>
        <v>0</v>
      </c>
      <c r="K32">
        <f>'Stats G2'!K33</f>
        <v>0</v>
      </c>
    </row>
    <row r="33" spans="6:11" x14ac:dyDescent="0.2">
      <c r="F33" t="str">
        <f>'Stats G2'!A34</f>
        <v>Corbin</v>
      </c>
      <c r="G33" t="str">
        <f>'Stats G2'!B34</f>
        <v>Green</v>
      </c>
      <c r="H33">
        <f>'Stats G2'!C34</f>
        <v>98</v>
      </c>
      <c r="I33">
        <f>'Stats G2'!E34</f>
        <v>0</v>
      </c>
      <c r="J33">
        <f>'Stats G2'!H34</f>
        <v>0</v>
      </c>
      <c r="K33">
        <f>'Stats G2'!K34</f>
        <v>2</v>
      </c>
    </row>
    <row r="34" spans="6:11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>'Stats G2'!K35</f>
        <v>0</v>
      </c>
    </row>
    <row r="35" spans="6:11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>'Stats G2'!K36</f>
        <v>0</v>
      </c>
    </row>
    <row r="36" spans="6:11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>'Stats G2'!K37</f>
        <v>0</v>
      </c>
    </row>
    <row r="37" spans="6:11" x14ac:dyDescent="0.2">
      <c r="H37" s="2" t="s">
        <v>5</v>
      </c>
      <c r="I37">
        <f>SUM(I22:I36)</f>
        <v>27</v>
      </c>
      <c r="J37">
        <f>SUM(J22:J36)</f>
        <v>7</v>
      </c>
      <c r="K37">
        <f>SUM(K22:K36)</f>
        <v>13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40"/>
  <sheetViews>
    <sheetView topLeftCell="A3" zoomScale="57" workbookViewId="0">
      <selection activeCell="D14" sqref="D14"/>
    </sheetView>
  </sheetViews>
  <sheetFormatPr baseColWidth="10" defaultColWidth="10.6640625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1" hidden="1" x14ac:dyDescent="0.2"/>
    <row r="3" spans="1:21" x14ac:dyDescent="0.2">
      <c r="A3" s="2" t="s">
        <v>7</v>
      </c>
      <c r="B3" s="1" t="s">
        <v>14</v>
      </c>
    </row>
    <row r="4" spans="1:21" x14ac:dyDescent="0.2">
      <c r="A4" t="s">
        <v>1</v>
      </c>
      <c r="B4" t="s">
        <v>2</v>
      </c>
      <c r="C4" t="s">
        <v>0</v>
      </c>
      <c r="E4" t="s">
        <v>263</v>
      </c>
      <c r="H4" t="s">
        <v>264</v>
      </c>
      <c r="K4" t="s">
        <v>265</v>
      </c>
    </row>
    <row r="5" spans="1:21" s="6" customFormat="1" x14ac:dyDescent="0.2">
      <c r="A5" s="5" t="s">
        <v>143</v>
      </c>
      <c r="B5" s="5" t="s">
        <v>144</v>
      </c>
      <c r="C5" s="5">
        <v>0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1" s="6" customFormat="1" x14ac:dyDescent="0.2">
      <c r="A6" s="6" t="s">
        <v>158</v>
      </c>
      <c r="B6" s="6" t="s">
        <v>159</v>
      </c>
      <c r="C6" s="6" t="s">
        <v>268</v>
      </c>
      <c r="E6" s="6">
        <v>0</v>
      </c>
      <c r="H6" s="6">
        <v>0</v>
      </c>
      <c r="K6" s="6">
        <v>2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">
        <v>160</v>
      </c>
      <c r="B7" s="5" t="s">
        <v>161</v>
      </c>
      <c r="C7" s="5">
        <v>2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1" s="6" customFormat="1" x14ac:dyDescent="0.2">
      <c r="A8" s="6" t="s">
        <v>140</v>
      </c>
      <c r="B8" s="6" t="s">
        <v>141</v>
      </c>
      <c r="C8" s="6">
        <v>3</v>
      </c>
      <c r="E8" s="6">
        <v>1</v>
      </c>
      <c r="H8" s="6">
        <v>1</v>
      </c>
      <c r="K8" s="6">
        <v>5</v>
      </c>
      <c r="N8" s="6">
        <v>0</v>
      </c>
      <c r="Q8" s="6">
        <v>0</v>
      </c>
      <c r="T8" s="6">
        <v>0</v>
      </c>
    </row>
    <row r="9" spans="1:21" s="6" customFormat="1" x14ac:dyDescent="0.2">
      <c r="A9" s="5" t="s">
        <v>150</v>
      </c>
      <c r="B9" s="5" t="s">
        <v>151</v>
      </c>
      <c r="C9" s="5">
        <v>4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">
        <v>147</v>
      </c>
      <c r="B10" s="6" t="s">
        <v>148</v>
      </c>
      <c r="C10" s="6">
        <v>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</row>
    <row r="11" spans="1:21" s="6" customFormat="1" x14ac:dyDescent="0.2">
      <c r="A11" s="5" t="s">
        <v>139</v>
      </c>
      <c r="B11" s="5" t="s">
        <v>14</v>
      </c>
      <c r="C11" s="5">
        <v>7</v>
      </c>
      <c r="D11" s="5"/>
      <c r="E11" s="5">
        <v>4</v>
      </c>
      <c r="F11" s="5"/>
      <c r="G11" s="5"/>
      <c r="H11" s="5">
        <v>0</v>
      </c>
      <c r="I11" s="5"/>
      <c r="J11" s="5"/>
      <c r="K11" s="5">
        <v>2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1" s="6" customFormat="1" x14ac:dyDescent="0.2">
      <c r="A12" s="6" t="s">
        <v>145</v>
      </c>
      <c r="B12" s="6" t="s">
        <v>146</v>
      </c>
      <c r="C12" s="6">
        <v>10</v>
      </c>
      <c r="E12" s="6">
        <v>1</v>
      </c>
      <c r="H12" s="6">
        <v>0</v>
      </c>
      <c r="K12" s="6">
        <v>1</v>
      </c>
      <c r="N12" s="6">
        <v>0</v>
      </c>
      <c r="Q12" s="6">
        <v>0</v>
      </c>
      <c r="T12" s="6">
        <v>0</v>
      </c>
    </row>
    <row r="13" spans="1:21" s="6" customFormat="1" x14ac:dyDescent="0.2">
      <c r="A13" s="5" t="s">
        <v>154</v>
      </c>
      <c r="B13" s="5" t="s">
        <v>155</v>
      </c>
      <c r="C13" s="5">
        <v>11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">
        <v>149</v>
      </c>
      <c r="B14" s="6" t="s">
        <v>2</v>
      </c>
      <c r="C14" s="6">
        <v>13</v>
      </c>
      <c r="E14" s="6">
        <v>2</v>
      </c>
      <c r="H14" s="6">
        <v>2</v>
      </c>
      <c r="K14" s="6">
        <v>3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">
        <v>152</v>
      </c>
      <c r="B15" s="5" t="s">
        <v>153</v>
      </c>
      <c r="C15" s="5">
        <v>15</v>
      </c>
      <c r="D15" s="5"/>
      <c r="E15" s="5">
        <v>1</v>
      </c>
      <c r="F15" s="5"/>
      <c r="G15" s="5"/>
      <c r="H15" s="5">
        <v>1</v>
      </c>
      <c r="I15" s="5"/>
      <c r="J15" s="5"/>
      <c r="K15" s="5">
        <v>2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">
        <v>156</v>
      </c>
      <c r="B16" s="6" t="s">
        <v>157</v>
      </c>
      <c r="C16" s="6">
        <v>22</v>
      </c>
      <c r="E16" s="6">
        <v>1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52</v>
      </c>
      <c r="B17" s="5" t="s">
        <v>142</v>
      </c>
      <c r="C17" s="5">
        <v>23</v>
      </c>
      <c r="D17" s="5"/>
      <c r="E17" s="5">
        <v>4</v>
      </c>
      <c r="F17" s="5"/>
      <c r="G17" s="5"/>
      <c r="H17" s="5">
        <v>2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14</v>
      </c>
      <c r="H20">
        <f>SUM(H5:H19)</f>
        <v>6</v>
      </c>
      <c r="K20">
        <f>SUM(K5:K19)</f>
        <v>15</v>
      </c>
      <c r="N20">
        <f>SUM(N5:N19)</f>
        <v>0</v>
      </c>
      <c r="Q20">
        <f>SUM(Q5:Q19)</f>
        <v>0</v>
      </c>
      <c r="T20">
        <f>SUM(T5:T19)</f>
        <v>0</v>
      </c>
    </row>
    <row r="21" spans="1:21" x14ac:dyDescent="0.2">
      <c r="A21" s="2" t="s">
        <v>8</v>
      </c>
      <c r="B21" s="1" t="s">
        <v>17</v>
      </c>
    </row>
    <row r="22" spans="1:21" x14ac:dyDescent="0.2">
      <c r="A22" t="s">
        <v>1</v>
      </c>
      <c r="B22" t="s">
        <v>2</v>
      </c>
      <c r="C22" t="s">
        <v>0</v>
      </c>
      <c r="E22" s="8" t="s">
        <v>263</v>
      </c>
      <c r="F22" s="8"/>
      <c r="G22" s="8"/>
      <c r="H22" s="8" t="s">
        <v>264</v>
      </c>
      <c r="I22" s="8"/>
      <c r="J22" s="8"/>
      <c r="K22" s="8" t="s">
        <v>265</v>
      </c>
    </row>
    <row r="23" spans="1:21" s="6" customFormat="1" x14ac:dyDescent="0.2">
      <c r="A23" s="5" t="str">
        <f>_xlfn.IFNA(VLOOKUP($B$21&amp;ROWS($A$23:A23),Rosters!$B$2:$C$162,2,0),"?")</f>
        <v>Terrence</v>
      </c>
      <c r="B23" s="5" t="str">
        <f>_xlfn.IFNA(VLOOKUP($B$21&amp;ROWS($B$23:B23),Rosters!$B$2:$D$162,3,0),"?")</f>
        <v>Drisdom</v>
      </c>
      <c r="C23" s="5">
        <f>_xlfn.IFNA(VLOOKUP($B$21&amp;ROWS($C$23:C23),Rosters!$B$2:$E$162,4,0),"")</f>
        <v>0</v>
      </c>
      <c r="D23" s="5"/>
      <c r="E23" s="5">
        <v>6</v>
      </c>
      <c r="F23" s="5"/>
      <c r="G23" s="5"/>
      <c r="H23" s="5">
        <v>1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Shaun</v>
      </c>
      <c r="B24" s="6" t="str">
        <f>_xlfn.IFNA(VLOOKUP($B$21&amp;ROWS($B$23:B24),Rosters!$B$2:$D$162,3,0),"?")</f>
        <v>Green</v>
      </c>
      <c r="C24" s="6">
        <f>_xlfn.IFNA(VLOOKUP($B$21&amp;ROWS($C$23:C24),Rosters!$B$2:$E$162,4,0),"")</f>
        <v>1</v>
      </c>
      <c r="E24" s="6">
        <v>3</v>
      </c>
      <c r="H24" s="6">
        <v>1</v>
      </c>
      <c r="K24" s="6">
        <v>1</v>
      </c>
      <c r="N24" s="6">
        <v>0</v>
      </c>
      <c r="Q24" s="6">
        <v>0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>Duane</v>
      </c>
      <c r="B25" s="5" t="str">
        <f>_xlfn.IFNA(VLOOKUP($B$21&amp;ROWS($B$23:B25),Rosters!$B$2:$D$162,3,0),"?")</f>
        <v>Brown</v>
      </c>
      <c r="C25" s="5">
        <f>_xlfn.IFNA(VLOOKUP($B$21&amp;ROWS($C$23:C25),Rosters!$B$2:$E$162,4,0),"")</f>
        <v>2</v>
      </c>
      <c r="D25" s="5"/>
      <c r="E25" s="5">
        <v>3</v>
      </c>
      <c r="F25" s="5"/>
      <c r="G25" s="5"/>
      <c r="H25" s="5">
        <v>1</v>
      </c>
      <c r="I25" s="5"/>
      <c r="J25" s="5"/>
      <c r="K25" s="5">
        <v>2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 xml:space="preserve">Tre </v>
      </c>
      <c r="B26" s="6" t="str">
        <f>_xlfn.IFNA(VLOOKUP($B$21&amp;ROWS($B$23:B26),Rosters!$B$2:$D$162,3,0),"?")</f>
        <v>Smith</v>
      </c>
      <c r="C26" s="6">
        <f>_xlfn.IFNA(VLOOKUP($B$21&amp;ROWS($C$23:C26),Rosters!$B$2:$E$162,4,0),"")</f>
        <v>3</v>
      </c>
      <c r="E26" s="6">
        <v>0</v>
      </c>
      <c r="H26" s="6">
        <v>0</v>
      </c>
      <c r="K26" s="6">
        <v>1</v>
      </c>
      <c r="N26" s="6">
        <v>0</v>
      </c>
      <c r="Q26" s="6">
        <v>0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Brekott</v>
      </c>
      <c r="B27" s="5" t="str">
        <f>_xlfn.IFNA(VLOOKUP($B$21&amp;ROWS($B$23:B27),Rosters!$B$2:$D$162,3,0),"?")</f>
        <v>Chapman</v>
      </c>
      <c r="C27" s="5">
        <f>_xlfn.IFNA(VLOOKUP($B$21&amp;ROWS($C$23:C27),Rosters!$B$2:$E$162,4,0),"")</f>
        <v>6</v>
      </c>
      <c r="D27" s="5"/>
      <c r="E27" s="5">
        <v>4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 xml:space="preserve">Ronnie </v>
      </c>
      <c r="B28" s="6" t="str">
        <f>_xlfn.IFNA(VLOOKUP($B$21&amp;ROWS($B$23:B28),Rosters!$B$2:$D$162,3,0),"?")</f>
        <v>Price</v>
      </c>
      <c r="C28" s="6">
        <f>_xlfn.IFNA(VLOOKUP($B$21&amp;ROWS($C$23:C28),Rosters!$B$2:$E$162,4,0),"")</f>
        <v>7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 xml:space="preserve">Isaiah </v>
      </c>
      <c r="B29" s="5" t="str">
        <f>_xlfn.IFNA(VLOOKUP($B$21&amp;ROWS($B$23:B29),Rosters!$B$2:$D$162,3,0),"?")</f>
        <v>Wright</v>
      </c>
      <c r="C29" s="5">
        <f>_xlfn.IFNA(VLOOKUP($B$21&amp;ROWS($C$23:C29),Rosters!$B$2:$E$162,4,0),"")</f>
        <v>8</v>
      </c>
      <c r="D29" s="5"/>
      <c r="E29" s="5">
        <v>10</v>
      </c>
      <c r="F29" s="5"/>
      <c r="G29" s="5"/>
      <c r="H29" s="5">
        <v>2</v>
      </c>
      <c r="I29" s="5"/>
      <c r="J29" s="5"/>
      <c r="K29" s="5">
        <v>5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Tim</v>
      </c>
      <c r="B30" s="6" t="str">
        <f>_xlfn.IFNA(VLOOKUP($B$21&amp;ROWS($B$23:B30),Rosters!$B$2:$D$162,3,0),"?")</f>
        <v>Drisdom</v>
      </c>
      <c r="C30" s="6">
        <f>_xlfn.IFNA(VLOOKUP($B$21&amp;ROWS($C$23:C30),Rosters!$B$2:$E$162,4,0),"")</f>
        <v>11</v>
      </c>
      <c r="E30" s="6">
        <v>1</v>
      </c>
      <c r="H30" s="6">
        <v>1</v>
      </c>
      <c r="K30" s="6">
        <v>2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Dakarai</v>
      </c>
      <c r="B31" s="5" t="str">
        <f>_xlfn.IFNA(VLOOKUP($B$21&amp;ROWS($B$23:B31),Rosters!$B$2:$D$162,3,0),"?")</f>
        <v>Tucker</v>
      </c>
      <c r="C31" s="5">
        <f>_xlfn.IFNA(VLOOKUP($B$21&amp;ROWS($C$23:C31),Rosters!$B$2:$E$162,4,0),"")</f>
        <v>14</v>
      </c>
      <c r="D31" s="5"/>
      <c r="E31" s="5">
        <v>0</v>
      </c>
      <c r="F31" s="5"/>
      <c r="G31" s="5"/>
      <c r="H31" s="5">
        <v>1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tr">
        <f>_xlfn.IFNA(VLOOKUP($B$21&amp;ROWS($A$23:A32),Rosters!$B$2:$C$162,2,0),"?")</f>
        <v>AJ</v>
      </c>
      <c r="B32" s="6" t="str">
        <f>_xlfn.IFNA(VLOOKUP($B$21&amp;ROWS($B$23:B32),Rosters!$B$2:$D$162,3,0),"?")</f>
        <v>Hodges</v>
      </c>
      <c r="C32" s="6">
        <f>_xlfn.IFNA(VLOOKUP($B$21&amp;ROWS($C$23:C32),Rosters!$B$2:$E$162,4,0),"")</f>
        <v>15</v>
      </c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Makol</v>
      </c>
      <c r="B33" s="5" t="str">
        <f>_xlfn.IFNA(VLOOKUP($B$21&amp;ROWS($B$23:B33),Rosters!$B$2:$D$162,3,0),"?")</f>
        <v>Mawien</v>
      </c>
      <c r="C33" s="5">
        <f>_xlfn.IFNA(VLOOKUP($B$21&amp;ROWS($C$23:C33),Rosters!$B$2:$E$162,4,0),"")</f>
        <v>34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Corbin</v>
      </c>
      <c r="B34" s="6" t="str">
        <f>_xlfn.IFNA(VLOOKUP($B$21&amp;ROWS($B$23:B34),Rosters!$B$2:$D$162,3,0),"?")</f>
        <v>Green</v>
      </c>
      <c r="C34" s="6">
        <f>_xlfn.IFNA(VLOOKUP($B$21&amp;ROWS($C$23:C34),Rosters!$B$2:$E$162,4,0),"")</f>
        <v>98</v>
      </c>
      <c r="D34"/>
      <c r="E34" s="6">
        <v>0</v>
      </c>
      <c r="F34"/>
      <c r="G34"/>
      <c r="H34" s="6">
        <v>0</v>
      </c>
      <c r="I34"/>
      <c r="J34"/>
      <c r="K34" s="6">
        <v>2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27</v>
      </c>
      <c r="H38">
        <f>SUM(H23:H37)</f>
        <v>7</v>
      </c>
      <c r="K38">
        <f>SUM(K23:K37)</f>
        <v>13</v>
      </c>
      <c r="N38">
        <f>SUM(N23:N37)</f>
        <v>0</v>
      </c>
      <c r="Q38">
        <f>SUM(Q23:Q37)</f>
        <v>0</v>
      </c>
      <c r="T38">
        <f>SUM(T23:T37)</f>
        <v>0</v>
      </c>
    </row>
    <row r="40" spans="1:21" x14ac:dyDescent="0.2">
      <c r="B40" t="s">
        <v>269</v>
      </c>
      <c r="C40" t="s">
        <v>270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6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9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6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0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1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2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3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4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5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6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7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8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9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30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1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2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3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4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5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6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8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9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40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1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2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3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4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5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6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7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8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9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50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1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2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3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4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5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6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7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8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9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60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1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2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3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4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5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6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7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8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9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70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1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2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3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4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5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6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7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8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9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80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1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2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3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4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5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6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7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8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9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90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1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2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3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4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5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6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7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8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9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00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1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2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3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4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5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6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7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8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9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10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1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2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3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4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5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6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7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8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9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20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1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2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3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4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5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6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7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8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9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30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1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2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3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4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5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6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7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8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9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40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1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2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3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4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5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6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7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8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9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50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1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2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3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4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5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6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7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8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9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60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1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2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3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4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5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6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7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8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9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70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1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2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3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4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5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6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7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8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9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80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1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2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3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4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5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6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7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8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9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90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1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2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3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4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5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6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7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8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9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00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1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2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3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4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5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6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7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8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9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10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1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2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3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4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5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6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7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8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9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20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1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2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3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4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5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6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7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8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9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30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1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2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3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4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5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6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7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8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9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40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1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2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3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4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5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6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7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8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9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50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1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2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3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4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5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6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7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8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9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60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1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2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3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4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5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6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7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8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9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70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1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2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3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4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5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6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7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8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9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80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1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2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3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4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5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6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7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8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9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90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1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2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3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4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5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6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7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8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9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300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1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2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3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4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5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6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7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8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9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10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1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2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3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4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5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6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7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8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9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20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1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2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3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4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5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6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7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8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9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30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1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2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3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4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5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6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7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8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9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40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1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2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3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4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5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6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7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8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9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50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1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2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3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4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5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6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7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8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9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60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1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2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3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4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5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6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7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8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9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70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1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2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3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4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5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6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7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8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9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80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1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2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3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4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5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6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7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8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9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90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1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2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3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4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5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6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7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8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9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400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1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2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3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4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5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6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7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8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9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10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1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2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3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4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5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6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7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8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9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20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1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2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3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4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5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6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7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8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9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30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1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2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3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4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5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>
      <selection activeCell="F9" sqref="F9"/>
    </sheetView>
  </sheetViews>
  <sheetFormatPr baseColWidth="10" defaultColWidth="10.6640625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259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34</v>
      </c>
      <c r="D4" t="s">
        <v>35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38</v>
      </c>
      <c r="D5" t="s">
        <v>39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40</v>
      </c>
      <c r="D6" t="s">
        <v>41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32</v>
      </c>
      <c r="D7" t="s">
        <v>33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36</v>
      </c>
      <c r="D8" t="s">
        <v>37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30</v>
      </c>
      <c r="D10" t="s">
        <v>31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42</v>
      </c>
      <c r="D12" t="s">
        <v>43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44</v>
      </c>
      <c r="D13" t="s">
        <v>27</v>
      </c>
      <c r="E13">
        <v>98</v>
      </c>
    </row>
    <row r="14" spans="1:5" x14ac:dyDescent="0.2">
      <c r="A14" t="s">
        <v>45</v>
      </c>
      <c r="B14" t="str">
        <f>A14&amp;COUNTIF($A$2:$A14,A14)</f>
        <v>Roberts 1</v>
      </c>
      <c r="C14" t="s">
        <v>60</v>
      </c>
      <c r="D14" t="s">
        <v>61</v>
      </c>
      <c r="E14">
        <v>0</v>
      </c>
    </row>
    <row r="15" spans="1:5" x14ac:dyDescent="0.2">
      <c r="A15" t="s">
        <v>45</v>
      </c>
      <c r="B15" t="str">
        <f>A15&amp;COUNTIF($A$2:$A15,A15)</f>
        <v>Roberts 2</v>
      </c>
      <c r="C15" t="s">
        <v>48</v>
      </c>
      <c r="D15" t="s">
        <v>49</v>
      </c>
      <c r="E15">
        <v>1</v>
      </c>
    </row>
    <row r="16" spans="1:5" x14ac:dyDescent="0.2">
      <c r="A16" t="s">
        <v>45</v>
      </c>
      <c r="B16" t="str">
        <f>A16&amp;COUNTIF($A$2:$A16,A16)</f>
        <v>Roberts 3</v>
      </c>
      <c r="C16" t="s">
        <v>65</v>
      </c>
      <c r="D16" t="s">
        <v>66</v>
      </c>
      <c r="E16">
        <v>2</v>
      </c>
    </row>
    <row r="17" spans="1:5" x14ac:dyDescent="0.2">
      <c r="A17" t="s">
        <v>45</v>
      </c>
      <c r="B17" t="str">
        <f>A17&amp;COUNTIF($A$2:$A17,A17)</f>
        <v>Roberts 4</v>
      </c>
      <c r="C17" t="s">
        <v>58</v>
      </c>
      <c r="D17" t="s">
        <v>59</v>
      </c>
      <c r="E17">
        <v>5</v>
      </c>
    </row>
    <row r="18" spans="1:5" x14ac:dyDescent="0.2">
      <c r="A18" t="s">
        <v>45</v>
      </c>
      <c r="B18" t="str">
        <f>A18&amp;COUNTIF($A$2:$A18,A18)</f>
        <v>Roberts 5</v>
      </c>
      <c r="C18" t="s">
        <v>64</v>
      </c>
      <c r="D18" t="s">
        <v>21</v>
      </c>
      <c r="E18">
        <v>9</v>
      </c>
    </row>
    <row r="19" spans="1:5" x14ac:dyDescent="0.2">
      <c r="A19" t="s">
        <v>45</v>
      </c>
      <c r="B19" t="str">
        <f>A19&amp;COUNTIF($A$2:$A19,A19)</f>
        <v>Roberts 6</v>
      </c>
      <c r="C19" t="s">
        <v>67</v>
      </c>
      <c r="D19" t="s">
        <v>31</v>
      </c>
      <c r="E19">
        <v>9</v>
      </c>
    </row>
    <row r="20" spans="1:5" x14ac:dyDescent="0.2">
      <c r="A20" t="s">
        <v>45</v>
      </c>
      <c r="B20" t="str">
        <f>A20&amp;COUNTIF($A$2:$A20,A20)</f>
        <v>Roberts 7</v>
      </c>
      <c r="C20" t="s">
        <v>68</v>
      </c>
      <c r="D20" t="s">
        <v>69</v>
      </c>
      <c r="E20">
        <v>12</v>
      </c>
    </row>
    <row r="21" spans="1:5" x14ac:dyDescent="0.2">
      <c r="A21" t="s">
        <v>45</v>
      </c>
      <c r="B21" t="str">
        <f>A21&amp;COUNTIF($A$2:$A21,A21)</f>
        <v>Roberts 8</v>
      </c>
      <c r="C21" t="s">
        <v>46</v>
      </c>
      <c r="D21" t="s">
        <v>47</v>
      </c>
      <c r="E21">
        <v>13</v>
      </c>
    </row>
    <row r="22" spans="1:5" x14ac:dyDescent="0.2">
      <c r="A22" t="s">
        <v>45</v>
      </c>
      <c r="B22" t="str">
        <f>A22&amp;COUNTIF($A$2:$A22,A22)</f>
        <v>Roberts 9</v>
      </c>
      <c r="C22" t="s">
        <v>62</v>
      </c>
      <c r="D22" t="s">
        <v>63</v>
      </c>
      <c r="E22">
        <v>15</v>
      </c>
    </row>
    <row r="23" spans="1:5" x14ac:dyDescent="0.2">
      <c r="A23" t="s">
        <v>45</v>
      </c>
      <c r="B23" t="str">
        <f>A23&amp;COUNTIF($A$2:$A23,A23)</f>
        <v>Roberts 10</v>
      </c>
      <c r="C23" t="s">
        <v>52</v>
      </c>
      <c r="D23" t="s">
        <v>53</v>
      </c>
      <c r="E23">
        <v>21</v>
      </c>
    </row>
    <row r="24" spans="1:5" x14ac:dyDescent="0.2">
      <c r="A24" t="s">
        <v>45</v>
      </c>
      <c r="B24" t="str">
        <f>A24&amp;COUNTIF($A$2:$A24,A24)</f>
        <v>Roberts 11</v>
      </c>
      <c r="C24" t="s">
        <v>50</v>
      </c>
      <c r="D24" t="s">
        <v>51</v>
      </c>
      <c r="E24">
        <v>22</v>
      </c>
    </row>
    <row r="25" spans="1:5" x14ac:dyDescent="0.2">
      <c r="A25" t="s">
        <v>45</v>
      </c>
      <c r="B25" t="str">
        <f>A25&amp;COUNTIF($A$2:$A25,A25)</f>
        <v>Roberts 12</v>
      </c>
      <c r="C25" t="s">
        <v>56</v>
      </c>
      <c r="D25" t="s">
        <v>57</v>
      </c>
      <c r="E25">
        <v>23</v>
      </c>
    </row>
    <row r="26" spans="1:5" x14ac:dyDescent="0.2">
      <c r="A26" t="s">
        <v>45</v>
      </c>
      <c r="B26" t="str">
        <f>A26&amp;COUNTIF($A$2:$A26,A26)</f>
        <v>Roberts 13</v>
      </c>
      <c r="C26" t="s">
        <v>54</v>
      </c>
      <c r="D26" t="s">
        <v>55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86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95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15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">
      <c r="A51" t="s">
        <v>15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">
      <c r="A52" t="s">
        <v>15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">
      <c r="A53" t="s">
        <v>15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">
      <c r="A54" t="s">
        <v>15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">
      <c r="A55" t="s">
        <v>15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">
      <c r="A56" t="s">
        <v>15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">
      <c r="A57" t="s">
        <v>15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">
      <c r="A58" t="s">
        <v>15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">
      <c r="A59" t="s">
        <v>15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">
      <c r="A60" t="s">
        <v>15</v>
      </c>
      <c r="B60" t="str">
        <f>A60&amp;COUNTIF($A$2:$A60,A60)</f>
        <v>Dastrop11</v>
      </c>
      <c r="C60" t="s">
        <v>114</v>
      </c>
      <c r="D60" t="s">
        <v>15</v>
      </c>
      <c r="E60">
        <v>15</v>
      </c>
    </row>
    <row r="61" spans="1:5" x14ac:dyDescent="0.2">
      <c r="A61" t="s">
        <v>15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">
      <c r="A62" t="s">
        <v>15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">
      <c r="A63" t="s">
        <v>15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">
      <c r="A64" t="s">
        <v>14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">
      <c r="A65" t="s">
        <v>14</v>
      </c>
      <c r="B65" t="str">
        <f>A65&amp;COUNTIF($A$2:$A65,A65)</f>
        <v>Covington2</v>
      </c>
      <c r="C65" t="s">
        <v>158</v>
      </c>
      <c r="D65" t="s">
        <v>159</v>
      </c>
      <c r="E65" s="7" t="s">
        <v>262</v>
      </c>
    </row>
    <row r="66" spans="1:5" x14ac:dyDescent="0.2">
      <c r="A66" t="s">
        <v>14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">
      <c r="A67" t="s">
        <v>14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">
      <c r="A68" t="s">
        <v>14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">
      <c r="A69" t="s">
        <v>14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">
      <c r="A70" t="s">
        <v>14</v>
      </c>
      <c r="B70" t="str">
        <f>A70&amp;COUNTIF($A$2:$A70,A70)</f>
        <v>Covington7</v>
      </c>
      <c r="C70" t="s">
        <v>139</v>
      </c>
      <c r="D70" t="s">
        <v>14</v>
      </c>
      <c r="E70">
        <v>7</v>
      </c>
    </row>
    <row r="71" spans="1:5" x14ac:dyDescent="0.2">
      <c r="A71" t="s">
        <v>14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">
      <c r="A72" t="s">
        <v>14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">
      <c r="A73" t="s">
        <v>14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">
      <c r="A74" t="s">
        <v>14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">
      <c r="A75" t="s">
        <v>14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">
      <c r="A76" t="s">
        <v>14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">
      <c r="A77" t="s">
        <v>20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">
      <c r="A78" t="s">
        <v>20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">
      <c r="A79" t="s">
        <v>20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">
      <c r="A80" t="s">
        <v>20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">
      <c r="A81" t="s">
        <v>20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">
      <c r="A82" t="s">
        <v>20</v>
      </c>
      <c r="B82" t="str">
        <f>A82&amp;COUNTIF($A$2:$A82,A82)</f>
        <v>Joyce6</v>
      </c>
      <c r="C82" t="s">
        <v>178</v>
      </c>
      <c r="D82" t="s">
        <v>20</v>
      </c>
      <c r="E82">
        <v>11</v>
      </c>
    </row>
    <row r="83" spans="1:5" x14ac:dyDescent="0.2">
      <c r="A83" t="s">
        <v>20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">
      <c r="A84" t="s">
        <v>20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">
      <c r="A85" t="s">
        <v>20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">
      <c r="A86" t="s">
        <v>20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">
      <c r="A87" t="s">
        <v>20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">
      <c r="A88" t="s">
        <v>11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">
      <c r="A89" t="s">
        <v>11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">
      <c r="A90" t="s">
        <v>11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">
      <c r="A91" t="s">
        <v>11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">
      <c r="A92" t="s">
        <v>11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">
      <c r="A93" t="s">
        <v>11</v>
      </c>
      <c r="B93" t="str">
        <f>A93&amp;COUNTIF($A$2:$A93,A93)</f>
        <v>Humphries6</v>
      </c>
      <c r="C93" t="s">
        <v>267</v>
      </c>
      <c r="D93" t="s">
        <v>195</v>
      </c>
      <c r="E93">
        <v>9</v>
      </c>
    </row>
    <row r="94" spans="1:5" x14ac:dyDescent="0.2">
      <c r="A94" t="s">
        <v>11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">
      <c r="A95" t="s">
        <v>11</v>
      </c>
      <c r="B95" t="str">
        <f>A95&amp;COUNTIF($A$2:$A95,A95)</f>
        <v>Humphries8</v>
      </c>
      <c r="C95" t="s">
        <v>86</v>
      </c>
      <c r="D95" t="s">
        <v>11</v>
      </c>
      <c r="E95">
        <v>11</v>
      </c>
    </row>
    <row r="96" spans="1:5" x14ac:dyDescent="0.2">
      <c r="A96" t="s">
        <v>11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">
      <c r="A97" t="s">
        <v>11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">
      <c r="A98" t="s">
        <v>11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">
      <c r="A99" t="s">
        <v>11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">
      <c r="A100" t="s">
        <v>16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">
      <c r="A101" t="s">
        <v>16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">
      <c r="A102" t="s">
        <v>16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">
      <c r="A103" t="s">
        <v>16</v>
      </c>
      <c r="B103" t="str">
        <f>A103&amp;COUNTIF($A$2:$A103,A103)</f>
        <v>Draney4</v>
      </c>
      <c r="C103" t="s">
        <v>198</v>
      </c>
      <c r="D103" t="s">
        <v>16</v>
      </c>
      <c r="E103">
        <v>4</v>
      </c>
    </row>
    <row r="104" spans="1:5" x14ac:dyDescent="0.2">
      <c r="A104" t="s">
        <v>16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">
      <c r="A105" t="s">
        <v>16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">
      <c r="A106" t="s">
        <v>16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">
      <c r="A107" t="s">
        <v>16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">
      <c r="A108" t="s">
        <v>16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">
      <c r="A109" t="s">
        <v>16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">
      <c r="A110" t="s">
        <v>16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">
      <c r="A111" t="s">
        <v>16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">
      <c r="A112" t="s">
        <v>10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">
      <c r="A113" t="s">
        <v>10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">
      <c r="A114" t="s">
        <v>10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">
      <c r="A115" t="s">
        <v>10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">
      <c r="A116" t="s">
        <v>10</v>
      </c>
      <c r="B116" t="str">
        <f>A116&amp;COUNTIF($A$2:$A116,A116)</f>
        <v>Berger5</v>
      </c>
      <c r="C116" t="s">
        <v>213</v>
      </c>
      <c r="D116" t="s">
        <v>10</v>
      </c>
      <c r="E116">
        <v>12</v>
      </c>
    </row>
    <row r="117" spans="1:5" x14ac:dyDescent="0.2">
      <c r="A117" t="s">
        <v>10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">
      <c r="A118" t="s">
        <v>10</v>
      </c>
      <c r="B118" t="str">
        <f>A118&amp;COUNTIF($A$2:$A118,A118)</f>
        <v>Berger7</v>
      </c>
      <c r="E118">
        <v>21</v>
      </c>
    </row>
    <row r="119" spans="1:5" x14ac:dyDescent="0.2">
      <c r="A119" t="s">
        <v>10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">
      <c r="A120" t="s">
        <v>10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">
      <c r="A121" t="s">
        <v>19</v>
      </c>
      <c r="B121" t="str">
        <f>A121&amp;COUNTIF($A$2:$A121,A121)</f>
        <v>Fulton1</v>
      </c>
      <c r="C121" t="s">
        <v>229</v>
      </c>
      <c r="D121" t="s">
        <v>19</v>
      </c>
      <c r="E121">
        <v>1</v>
      </c>
    </row>
    <row r="122" spans="1:5" x14ac:dyDescent="0.2">
      <c r="A122" t="s">
        <v>19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">
      <c r="A123" t="s">
        <v>19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">
      <c r="A124" t="s">
        <v>19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">
      <c r="A125" t="s">
        <v>19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">
      <c r="A126" t="s">
        <v>19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">
      <c r="A127" t="s">
        <v>19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">
      <c r="A128" t="s">
        <v>19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">
      <c r="A129" t="s">
        <v>19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">
      <c r="A130" t="s">
        <v>18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">
      <c r="A131" t="s">
        <v>18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">
      <c r="A132" t="s">
        <v>18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">
      <c r="A133" t="s">
        <v>18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">
      <c r="A134" t="s">
        <v>18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">
      <c r="A135" t="s">
        <v>18</v>
      </c>
      <c r="B135" t="str">
        <f>A135&amp;COUNTIF($A$2:$A135,A135)</f>
        <v>Egan6</v>
      </c>
      <c r="C135" t="s">
        <v>146</v>
      </c>
      <c r="D135" t="s">
        <v>18</v>
      </c>
      <c r="E135">
        <v>13</v>
      </c>
    </row>
    <row r="136" spans="1:5" x14ac:dyDescent="0.2">
      <c r="A136" t="s">
        <v>18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">
      <c r="A137" t="s">
        <v>18</v>
      </c>
      <c r="B137" t="str">
        <f>A137&amp;COUNTIF($A$2:$A137,A137)</f>
        <v>Egan8</v>
      </c>
      <c r="C137" t="s">
        <v>244</v>
      </c>
      <c r="D137" t="s">
        <v>21</v>
      </c>
      <c r="E137">
        <v>21</v>
      </c>
    </row>
    <row r="138" spans="1:5" x14ac:dyDescent="0.2">
      <c r="A138" t="s">
        <v>18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">
      <c r="A139" t="s">
        <v>18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">
      <c r="A140" t="s">
        <v>253</v>
      </c>
      <c r="B140" t="str">
        <f>A140&amp;COUNTIF($A$2:$A140,A140)</f>
        <v>Guest 1</v>
      </c>
      <c r="C140" t="s">
        <v>254</v>
      </c>
      <c r="D140" t="s">
        <v>255</v>
      </c>
      <c r="E140">
        <v>2</v>
      </c>
    </row>
    <row r="141" spans="1:5" x14ac:dyDescent="0.2">
      <c r="A141" t="s">
        <v>253</v>
      </c>
      <c r="B141" t="str">
        <f>A141&amp;COUNTIF($A$2:$A141,A141)</f>
        <v>Guest 2</v>
      </c>
      <c r="C141" t="s">
        <v>80</v>
      </c>
      <c r="D141" t="s">
        <v>256</v>
      </c>
      <c r="E141">
        <v>10</v>
      </c>
    </row>
    <row r="142" spans="1:5" x14ac:dyDescent="0.2">
      <c r="A142" t="s">
        <v>253</v>
      </c>
      <c r="B142" t="str">
        <f>A142&amp;COUNTIF($A$2:$A142,A142)</f>
        <v>Guest 3</v>
      </c>
      <c r="C142" t="s">
        <v>257</v>
      </c>
      <c r="D142" t="s">
        <v>258</v>
      </c>
      <c r="E142">
        <v>19</v>
      </c>
    </row>
    <row r="143" spans="1:5" x14ac:dyDescent="0.2">
      <c r="A143" t="s">
        <v>253</v>
      </c>
      <c r="B143" t="str">
        <f>A143&amp;COUNTIF($A$2:$A143,A143)</f>
        <v>Guest 4</v>
      </c>
      <c r="C143" t="s">
        <v>260</v>
      </c>
      <c r="D143" t="s">
        <v>261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2021-07-02T19:57:25Z</dcterms:modified>
</cp:coreProperties>
</file>