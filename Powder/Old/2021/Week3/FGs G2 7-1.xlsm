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0" documentId="8_{C28C2679-9162-4B90-A7EA-AF230B9FF068}" xr6:coauthVersionLast="47" xr6:coauthVersionMax="47" xr10:uidLastSave="{00000000-0000-0000-0000-000000000000}"/>
  <bookViews>
    <workbookView xWindow="-120" yWindow="-120" windowWidth="2073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4" i="1" s="1"/>
  <c r="G12" i="2" s="1"/>
  <c r="B8" i="3"/>
  <c r="B7" i="3"/>
  <c r="B6" i="3"/>
  <c r="B5" i="3"/>
  <c r="B4" i="3"/>
  <c r="B3" i="3"/>
  <c r="B2" i="3"/>
  <c r="A28" i="1" s="1"/>
  <c r="F27" i="2" s="1"/>
  <c r="A30" i="1"/>
  <c r="F29" i="2" s="1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C32" i="1"/>
  <c r="H31" i="2" s="1"/>
  <c r="A5" i="1"/>
  <c r="A12" i="1"/>
  <c r="F10" i="2" s="1"/>
  <c r="B19" i="1"/>
  <c r="B11" i="1"/>
  <c r="G9" i="2" s="1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C17" i="1"/>
  <c r="H15" i="2" s="1"/>
  <c r="C34" i="1"/>
  <c r="H33" i="2" s="1"/>
  <c r="C26" i="1"/>
  <c r="H25" i="2" s="1"/>
  <c r="A18" i="1"/>
  <c r="F16" i="2" s="1"/>
  <c r="A10" i="1"/>
  <c r="F8" i="2" s="1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A32" i="1"/>
  <c r="F31" i="2" s="1"/>
  <c r="A17" i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F15" i="2"/>
  <c r="G17" i="2"/>
  <c r="K37" i="2"/>
  <c r="I37" i="2"/>
  <c r="D3" i="2" s="1"/>
  <c r="L18" i="2"/>
  <c r="K18" i="2"/>
  <c r="L37" i="2"/>
  <c r="J37" i="2"/>
  <c r="J18" i="2"/>
  <c r="I18" i="2"/>
  <c r="B3" i="2" s="1"/>
  <c r="G3" i="2"/>
  <c r="F3" i="2"/>
</calcChain>
</file>

<file path=xl/sharedStrings.xml><?xml version="1.0" encoding="utf-8"?>
<sst xmlns="http://schemas.openxmlformats.org/spreadsheetml/2006/main" count="485" uniqueCount="275">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</sst>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9" workbookViewId="0">
      <selection activeCell="I22" sqref="I22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271</v>
      </c>
      <c r="F1" t="s">
        <v>9</v>
      </c>
      <c r="G1" t="str">
        <f>'Stats G2'!B3</f>
        <v>Covington</v>
      </c>
    </row>
    <row r="2" spans="2:12" x14ac:dyDescent="0.25">
      <c r="B2" t="str">
        <f>G1</f>
        <v>Covington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115</v>
      </c>
      <c r="C3" s="3" t="s">
        <v>15</v>
      </c>
      <c r="D3" s="4">
        <f>I37</f>
        <v>126</v>
      </c>
      <c r="F3" t="str">
        <f>'Stats G2'!A5</f>
        <v>Marion</v>
      </c>
      <c r="G3" t="str">
        <f>'Stats G2'!B5</f>
        <v>Humphrey</v>
      </c>
      <c r="H3">
        <f>'Stats G2'!C5</f>
        <v>0</v>
      </c>
      <c r="I3">
        <f>'Stats G2'!H5*2+'Stats G2'!N5*3+'Stats G2'!T5</f>
        <v>0</v>
      </c>
      <c r="J3" t="str">
        <f>SUM('Stats G2'!N5+'Stats G2'!H5)&amp;"-"&amp;SUM('Stats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5">
      <c r="F4" t="str">
        <f>'Stats G2'!A6</f>
        <v>Festus</v>
      </c>
      <c r="G4" t="str">
        <f>'Stats G2'!B6</f>
        <v>Ndumanya</v>
      </c>
      <c r="H4" t="str">
        <f>'Stats G2'!C6</f>
        <v>00</v>
      </c>
      <c r="I4">
        <f>'Stats G2'!H6*2+'Stats G2'!N6*3+'Stats G2'!T6</f>
        <v>10</v>
      </c>
      <c r="J4" t="str">
        <f>SUM('Stats G2'!N6+'Stats G2'!H6)&amp;"-"&amp;SUM('Stats G2'!E6+'Stats G2'!K6)</f>
        <v>4-6</v>
      </c>
      <c r="K4" t="str">
        <f>SUM('Stats G2'!N6)&amp;"-"&amp;SUM('Stats G2'!K6)</f>
        <v>0-0</v>
      </c>
      <c r="L4" t="str">
        <f>SUM('Stats G2'!T6)&amp;"-"&amp;SUM('Stats G2'!Q6)</f>
        <v>2-2</v>
      </c>
    </row>
    <row r="5" spans="2:12" x14ac:dyDescent="0.25">
      <c r="F5" t="str">
        <f>'Stats G2'!A7</f>
        <v>Christian</v>
      </c>
      <c r="G5" t="str">
        <f>'Stats G2'!B7</f>
        <v>Haffner</v>
      </c>
      <c r="H5">
        <f>'Stats G2'!C7</f>
        <v>2</v>
      </c>
      <c r="I5">
        <f>'Stats G2'!H7*2+'Stats G2'!N7*3+'Stats G2'!T7</f>
        <v>0</v>
      </c>
      <c r="J5" t="str">
        <f>SUM('Stats G2'!N7+'Stats G2'!H7)&amp;"-"&amp;SUM('Stats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5">
      <c r="F6" t="str">
        <f>'Stats G2'!A8</f>
        <v>Oscar</v>
      </c>
      <c r="G6" t="str">
        <f>'Stats G2'!B8</f>
        <v>Lopez</v>
      </c>
      <c r="H6">
        <f>'Stats G2'!C8</f>
        <v>3</v>
      </c>
      <c r="I6">
        <f>'Stats G2'!H8*2+'Stats G2'!N8*3+'Stats G2'!T8</f>
        <v>26</v>
      </c>
      <c r="J6" t="str">
        <f>SUM('Stats G2'!N8+'Stats G2'!H8)&amp;"-"&amp;SUM('Stats G2'!E8+'Stats G2'!K8)</f>
        <v>12-21</v>
      </c>
      <c r="K6" t="str">
        <f>SUM('Stats G2'!N8)&amp;"-"&amp;SUM('Stats G2'!K8)</f>
        <v>1-6</v>
      </c>
      <c r="L6" t="str">
        <f>SUM('Stats G2'!T8)&amp;"-"&amp;SUM('Stats G2'!Q8)</f>
        <v>1-3</v>
      </c>
    </row>
    <row r="7" spans="2:12" x14ac:dyDescent="0.25">
      <c r="F7" t="str">
        <f>'Stats G2'!A9</f>
        <v>Max</v>
      </c>
      <c r="G7" t="str">
        <f>'Stats G2'!B9</f>
        <v>Watson</v>
      </c>
      <c r="H7">
        <f>'Stats G2'!C9</f>
        <v>4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5">
      <c r="F8" t="str">
        <f>'Stats G2'!A10</f>
        <v>Quincy</v>
      </c>
      <c r="G8" t="str">
        <f>'Stats G2'!B10</f>
        <v>McGriff</v>
      </c>
      <c r="H8">
        <f>'Stats G2'!C10</f>
        <v>5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5">
      <c r="F9" t="str">
        <f>'Stats G2'!A11</f>
        <v>Nick</v>
      </c>
      <c r="G9" t="str">
        <f>'Stats G2'!B11</f>
        <v>Covington</v>
      </c>
      <c r="H9">
        <f>'Stats G2'!C11</f>
        <v>7</v>
      </c>
      <c r="I9">
        <f>'Stats G2'!H11*2+'Stats G2'!N11*3+'Stats G2'!T11</f>
        <v>14</v>
      </c>
      <c r="J9" t="str">
        <f>SUM('Stats G2'!N11+'Stats G2'!H11)&amp;"-"&amp;SUM('Stats G2'!E11+'Stats G2'!K11)</f>
        <v>5-10</v>
      </c>
      <c r="K9" t="str">
        <f>SUM('Stats G2'!N11)&amp;"-"&amp;SUM('Stats G2'!K11)</f>
        <v>3-6</v>
      </c>
      <c r="L9" t="str">
        <f>SUM('Stats G2'!T11)&amp;"-"&amp;SUM('Stats G2'!Q11)</f>
        <v>1-1</v>
      </c>
    </row>
    <row r="10" spans="2:12" x14ac:dyDescent="0.25">
      <c r="F10" t="str">
        <f>'Stats G2'!A12</f>
        <v>Chase</v>
      </c>
      <c r="G10" t="str">
        <f>'Stats G2'!B12</f>
        <v>Adam</v>
      </c>
      <c r="H10">
        <f>'Stats G2'!C12</f>
        <v>10</v>
      </c>
      <c r="I10">
        <f>'Stats G2'!H12*2+'Stats G2'!N12*3+'Stats G2'!T12</f>
        <v>26</v>
      </c>
      <c r="J10" t="str">
        <f>SUM('Stats G2'!N12+'Stats G2'!H12)&amp;"-"&amp;SUM('Stats G2'!E12+'Stats G2'!K12)</f>
        <v>9-19</v>
      </c>
      <c r="K10" t="str">
        <f>SUM('Stats G2'!N12)&amp;"-"&amp;SUM('Stats G2'!K12)</f>
        <v>1-4</v>
      </c>
      <c r="L10" t="str">
        <f>SUM('Stats G2'!T12)&amp;"-"&amp;SUM('Stats G2'!Q12)</f>
        <v>7-8</v>
      </c>
    </row>
    <row r="11" spans="2:12" x14ac:dyDescent="0.25">
      <c r="F11" t="str">
        <f>'Stats G2'!A13</f>
        <v>Tanner</v>
      </c>
      <c r="G11" t="str">
        <f>'Stats G2'!B13</f>
        <v>Cuff</v>
      </c>
      <c r="H11">
        <f>'Stats G2'!C13</f>
        <v>11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5">
      <c r="F12" t="str">
        <f>'Stats G2'!A14</f>
        <v>Jackson</v>
      </c>
      <c r="G12" t="str">
        <f>'Stats G2'!B14</f>
        <v>Last</v>
      </c>
      <c r="H12">
        <f>'Stats G2'!C14</f>
        <v>13</v>
      </c>
      <c r="I12">
        <f>'Stats G2'!H14*2+'Stats G2'!N14*3+'Stats G2'!T14</f>
        <v>4</v>
      </c>
      <c r="J12" t="str">
        <f>SUM('Stats G2'!N14+'Stats G2'!H14)&amp;"-"&amp;SUM('Stats G2'!E14+'Stats G2'!K14)</f>
        <v>2-7</v>
      </c>
      <c r="K12" t="str">
        <f>SUM('Stats G2'!N14)&amp;"-"&amp;SUM('Stats G2'!K14)</f>
        <v>0-2</v>
      </c>
      <c r="L12" t="str">
        <f>SUM('Stats G2'!T14)&amp;"-"&amp;SUM('Stats G2'!Q14)</f>
        <v>0-0</v>
      </c>
    </row>
    <row r="13" spans="2:12" x14ac:dyDescent="0.25">
      <c r="F13" t="str">
        <f>'Stats G2'!A15</f>
        <v xml:space="preserve">Jaxon </v>
      </c>
      <c r="G13" t="str">
        <f>'Stats G2'!B15</f>
        <v>Pollard</v>
      </c>
      <c r="H13">
        <f>'Stats G2'!C15</f>
        <v>15</v>
      </c>
      <c r="I13">
        <f>'Stats G2'!H15*2+'Stats G2'!N15*3+'Stats G2'!T15</f>
        <v>10</v>
      </c>
      <c r="J13" t="str">
        <f>SUM('Stats G2'!N15+'Stats G2'!H15)&amp;"-"&amp;SUM('Stats G2'!E15+'Stats G2'!K15)</f>
        <v>5-9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5">
      <c r="F14" t="str">
        <f>'Stats G2'!A16</f>
        <v>Tyson</v>
      </c>
      <c r="G14" t="str">
        <f>'Stats G2'!B16</f>
        <v>Garff</v>
      </c>
      <c r="H14">
        <f>'Stats G2'!C16</f>
        <v>22</v>
      </c>
      <c r="I14">
        <f>'Stats G2'!H16*2+'Stats G2'!N16*3+'Stats G2'!T16</f>
        <v>3</v>
      </c>
      <c r="J14" t="str">
        <f>SUM('Stats G2'!N16+'Stats G2'!H16)&amp;"-"&amp;SUM('Stats G2'!E16+'Stats G2'!K16)</f>
        <v>1-2</v>
      </c>
      <c r="K14" t="str">
        <f>SUM('Stats G2'!N16)&amp;"-"&amp;SUM('Stats G2'!K16)</f>
        <v>1-2</v>
      </c>
      <c r="L14" t="str">
        <f>SUM('Stats G2'!T16)&amp;"-"&amp;SUM('Stats G2'!Q16)</f>
        <v>0-0</v>
      </c>
    </row>
    <row r="15" spans="2:12" x14ac:dyDescent="0.25">
      <c r="F15" t="str">
        <f>'Stats G2'!A17</f>
        <v>Jordan</v>
      </c>
      <c r="G15" t="str">
        <f>'Stats G2'!B17</f>
        <v>Brinson</v>
      </c>
      <c r="H15">
        <f>'Stats G2'!C17</f>
        <v>23</v>
      </c>
      <c r="I15">
        <f>'Stats G2'!H17*2+'Stats G2'!N17*3+'Stats G2'!T17</f>
        <v>22</v>
      </c>
      <c r="J15" t="str">
        <f>SUM('Stats G2'!N17+'Stats G2'!H17)&amp;"-"&amp;SUM('Stats G2'!E17+'Stats G2'!K17)</f>
        <v>11-15</v>
      </c>
      <c r="K15" t="str">
        <f>SUM('Stats G2'!N17)&amp;"-"&amp;SUM('Stats G2'!K17)</f>
        <v>0-2</v>
      </c>
      <c r="L15" t="str">
        <f>SUM('Stats G2'!T17)&amp;"-"&amp;SUM('Stats G2'!Q17)</f>
        <v>0-0</v>
      </c>
    </row>
    <row r="16" spans="2:12" x14ac:dyDescent="0.25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5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5">
      <c r="H18" s="2" t="s">
        <v>14</v>
      </c>
      <c r="I18">
        <f>SUM(I3:I17)</f>
        <v>115</v>
      </c>
      <c r="J18" t="str">
        <f>SUM('Stats G2'!N20+'Stats G2'!H20)&amp;"-"&amp;SUM('Stats G2'!E20+'Stats G2'!K20)</f>
        <v>49-89</v>
      </c>
      <c r="K18" t="str">
        <f>SUM('Stats G2'!N20)&amp;"-"&amp;SUM('Stats G2'!K20)</f>
        <v>6-22</v>
      </c>
      <c r="L18" t="str">
        <f>SUM('Stats G2'!T20)&amp;"-"&amp;SUM('Stats G2'!Q20)</f>
        <v>11-14</v>
      </c>
    </row>
    <row r="20" spans="6:12" x14ac:dyDescent="0.25">
      <c r="F20" t="s">
        <v>13</v>
      </c>
      <c r="G20" t="str">
        <f>'Stats G2'!B21</f>
        <v>Drisdom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G2'!H23*2+'Stats G2'!N23*3+'Stats G2'!T23</f>
        <v>3</v>
      </c>
      <c r="J22" t="str">
        <f>SUM('Stats G2'!N23+'Stats G2'!H23)&amp;"-"&amp;SUM('Stats G2'!E23+'Stats G2'!K23)</f>
        <v>1-3</v>
      </c>
      <c r="K22" t="str">
        <f>SUM('Stats G2'!N23)&amp;"-"&amp;SUM('Stats G2'!K23)</f>
        <v>1-1</v>
      </c>
      <c r="L22" t="str">
        <f>SUM('Stats G2'!T23)&amp;"-"&amp;SUM('Stats G2'!Q23)</f>
        <v>0-0</v>
      </c>
    </row>
    <row r="23" spans="6:12" x14ac:dyDescent="0.25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G2'!H24*2+'Stats G2'!N24*3+'Stats G2'!T24</f>
        <v>24</v>
      </c>
      <c r="J23" t="str">
        <f>SUM('Stats G2'!N24+'Stats G2'!H24)&amp;"-"&amp;SUM('Stats G2'!E24+'Stats G2'!K24)</f>
        <v>7-15</v>
      </c>
      <c r="K23" t="str">
        <f>SUM('Stats G2'!N24)&amp;"-"&amp;SUM('Stats G2'!K24)</f>
        <v>7-14</v>
      </c>
      <c r="L23" t="str">
        <f>SUM('Stats G2'!T24)&amp;"-"&amp;SUM('Stats G2'!Q24)</f>
        <v>3-3</v>
      </c>
    </row>
    <row r="24" spans="6:12" x14ac:dyDescent="0.25">
      <c r="F24" t="str">
        <f>'Stats G2'!A25</f>
        <v>Duane</v>
      </c>
      <c r="G24" t="str">
        <f>'Stats G2'!B25</f>
        <v>Brown</v>
      </c>
      <c r="H24">
        <f>'Stats G2'!C25</f>
        <v>2</v>
      </c>
      <c r="I24">
        <f>'Stats G2'!H25*2+'Stats G2'!N25*3+'Stats G2'!T25</f>
        <v>16</v>
      </c>
      <c r="J24" t="str">
        <f>SUM('Stats G2'!N25+'Stats G2'!H25)&amp;"-"&amp;SUM('Stats G2'!E25+'Stats G2'!K25)</f>
        <v>7-10</v>
      </c>
      <c r="K24" t="str">
        <f>SUM('Stats G2'!N25)&amp;"-"&amp;SUM('Stats G2'!K25)</f>
        <v>1-3</v>
      </c>
      <c r="L24" t="str">
        <f>SUM('Stats G2'!T25)&amp;"-"&amp;SUM('Stats G2'!Q25)</f>
        <v>1-1</v>
      </c>
    </row>
    <row r="25" spans="6:12" x14ac:dyDescent="0.25">
      <c r="F25" t="str">
        <f>'Stats G2'!A26</f>
        <v xml:space="preserve">Tre </v>
      </c>
      <c r="G25" t="str">
        <f>'Stats G2'!B26</f>
        <v>Smith</v>
      </c>
      <c r="H25">
        <f>'Stats G2'!C26</f>
        <v>3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5">
      <c r="F26" t="str">
        <f>'Stats G2'!A27</f>
        <v>Brekott</v>
      </c>
      <c r="G26" t="str">
        <f>'Stats G2'!B27</f>
        <v>Chapman</v>
      </c>
      <c r="H26">
        <f>'Stats G2'!C27</f>
        <v>6</v>
      </c>
      <c r="I26">
        <f>'Stats G2'!H27*2+'Stats G2'!N27*3+'Stats G2'!T27</f>
        <v>12</v>
      </c>
      <c r="J26" t="str">
        <f>SUM('Stats G2'!N27+'Stats G2'!H27)&amp;"-"&amp;SUM('Stats G2'!E27+'Stats G2'!K27)</f>
        <v>5-8</v>
      </c>
      <c r="K26" t="str">
        <f>SUM('Stats G2'!N27)&amp;"-"&amp;SUM('Stats G2'!K27)</f>
        <v>1-3</v>
      </c>
      <c r="L26" t="str">
        <f>SUM('Stats G2'!T27)&amp;"-"&amp;SUM('Stats G2'!Q27)</f>
        <v>1-2</v>
      </c>
    </row>
    <row r="27" spans="6:12" x14ac:dyDescent="0.25">
      <c r="F27" t="str">
        <f>'Stats G2'!A28</f>
        <v xml:space="preserve">Ronnie </v>
      </c>
      <c r="G27" t="str">
        <f>'Stats G2'!B28</f>
        <v>Price</v>
      </c>
      <c r="H27">
        <f>'Stats G2'!C28</f>
        <v>7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5">
      <c r="F28" t="str">
        <f>'Stats G2'!A29</f>
        <v xml:space="preserve">Isaiah </v>
      </c>
      <c r="G28" t="str">
        <f>'Stats G2'!B29</f>
        <v>Wright</v>
      </c>
      <c r="H28">
        <f>'Stats G2'!C29</f>
        <v>8</v>
      </c>
      <c r="I28">
        <f>'Stats G2'!H29*2+'Stats G2'!N29*3+'Stats G2'!T29</f>
        <v>10</v>
      </c>
      <c r="J28" t="str">
        <f>SUM('Stats G2'!N29+'Stats G2'!H29)&amp;"-"&amp;SUM('Stats G2'!E29+'Stats G2'!K29)</f>
        <v>4-9</v>
      </c>
      <c r="K28" t="str">
        <f>SUM('Stats G2'!N29)&amp;"-"&amp;SUM('Stats G2'!K29)</f>
        <v>1-3</v>
      </c>
      <c r="L28" t="str">
        <f>SUM('Stats G2'!T29)&amp;"-"&amp;SUM('Stats G2'!Q29)</f>
        <v>1-1</v>
      </c>
    </row>
    <row r="29" spans="6:12" x14ac:dyDescent="0.25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G2'!H30*2+'Stats G2'!N30*3+'Stats G2'!T30</f>
        <v>15</v>
      </c>
      <c r="J29" t="str">
        <f>SUM('Stats G2'!N30+'Stats G2'!H30)&amp;"-"&amp;SUM('Stats G2'!E30+'Stats G2'!K30)</f>
        <v>5-15</v>
      </c>
      <c r="K29" t="str">
        <f>SUM('Stats G2'!N30)&amp;"-"&amp;SUM('Stats G2'!K30)</f>
        <v>5-14</v>
      </c>
      <c r="L29" t="str">
        <f>SUM('Stats G2'!T30)&amp;"-"&amp;SUM('Stats G2'!Q30)</f>
        <v>0-0</v>
      </c>
    </row>
    <row r="30" spans="6:12" x14ac:dyDescent="0.25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G2'!H31*2+'Stats G2'!N31*3+'Stats G2'!T31</f>
        <v>40</v>
      </c>
      <c r="J30" t="str">
        <f>SUM('Stats G2'!N31+'Stats G2'!H31)&amp;"-"&amp;SUM('Stats G2'!E31+'Stats G2'!K31)</f>
        <v>15-25</v>
      </c>
      <c r="K30" t="str">
        <f>SUM('Stats G2'!N31)&amp;"-"&amp;SUM('Stats G2'!K31)</f>
        <v>8-18</v>
      </c>
      <c r="L30" t="str">
        <f>SUM('Stats G2'!T31)&amp;"-"&amp;SUM('Stats G2'!Q31)</f>
        <v>2-2</v>
      </c>
    </row>
    <row r="31" spans="6:12" x14ac:dyDescent="0.25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5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5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G2'!H34*2+'Stats G2'!N34*3+'Stats G2'!T34</f>
        <v>6</v>
      </c>
      <c r="J33" t="str">
        <f>SUM('Stats G2'!N34+'Stats G2'!H34)&amp;"-"&amp;SUM('Stats G2'!E34+'Stats G2'!K34)</f>
        <v>2-7</v>
      </c>
      <c r="K33" t="str">
        <f>SUM('Stats G2'!N34)&amp;"-"&amp;SUM('Stats G2'!K34)</f>
        <v>2-5</v>
      </c>
      <c r="L33" t="str">
        <f>SUM('Stats G2'!T34)&amp;"-"&amp;SUM('Stats G2'!Q34)</f>
        <v>0-0</v>
      </c>
    </row>
    <row r="34" spans="6:12" x14ac:dyDescent="0.25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5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5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5">
      <c r="H37" s="2" t="s">
        <v>14</v>
      </c>
      <c r="I37">
        <f>SUM(I22:I36)</f>
        <v>126</v>
      </c>
      <c r="J37" t="str">
        <f>SUM('Stats G2'!N38+'Stats G2'!H38)&amp;"-"&amp;SUM('Stats G2'!E38+'Stats G2'!K38)</f>
        <v>46-92</v>
      </c>
      <c r="K37" t="str">
        <f>SUM('Stats G2'!N38)&amp;"-"&amp;SUM('Stats G2'!K38)</f>
        <v>26-61</v>
      </c>
      <c r="L37" t="str">
        <f>SUM('Stats G2'!T38)&amp;"-"&amp;SUM('Stats G2'!Q38)</f>
        <v>8-9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F26" sqref="F26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23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6</v>
      </c>
      <c r="H6" s="6">
        <v>4</v>
      </c>
      <c r="K6" s="6">
        <v>0</v>
      </c>
      <c r="N6" s="6">
        <v>0</v>
      </c>
      <c r="Q6" s="6">
        <v>2</v>
      </c>
      <c r="T6" s="6">
        <v>2</v>
      </c>
    </row>
    <row r="7" spans="1:21" s="6" customFormat="1" x14ac:dyDescent="0.25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5">
      <c r="A8" s="6" t="str">
        <f>_xlfn.IFNA(VLOOKUP($B$3&amp;ROWS($A$5:A8),Rosters!$B$2:$C$162,2,0),"?")</f>
        <v>Oscar</v>
      </c>
      <c r="B8" s="6" t="str">
        <f>_xlfn.IFNA(VLOOKUP($B$3&amp;ROWS($B$5:B8),Rosters!$B$2:$D$162,3,0),"?")</f>
        <v>Lopez</v>
      </c>
      <c r="C8" s="6">
        <f>_xlfn.IFNA(VLOOKUP($B$3&amp;ROWS($C$5:C8),Rosters!$B$2:$E$162,4,0),"")</f>
        <v>3</v>
      </c>
      <c r="E8" s="6">
        <v>15</v>
      </c>
      <c r="H8" s="6">
        <v>11</v>
      </c>
      <c r="K8" s="6">
        <v>6</v>
      </c>
      <c r="N8" s="6">
        <v>1</v>
      </c>
      <c r="Q8" s="6">
        <v>3</v>
      </c>
      <c r="T8" s="6">
        <v>1</v>
      </c>
    </row>
    <row r="9" spans="1:21" s="6" customFormat="1" x14ac:dyDescent="0.25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Quincy</v>
      </c>
      <c r="B10" s="6" t="str">
        <f>_xlfn.IFNA(VLOOKUP($B$3&amp;ROWS($B$5:B10),Rosters!$B$2:$D$162,3,0),"?")</f>
        <v>McGriff</v>
      </c>
      <c r="C10" s="6">
        <f>_xlfn.IFNA(VLOOKUP($B$3&amp;ROWS($C$5:C10),Rosters!$B$2:$E$162,4,0),"")</f>
        <v>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5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4</v>
      </c>
      <c r="F11" s="5"/>
      <c r="G11" s="5"/>
      <c r="H11" s="5">
        <v>2</v>
      </c>
      <c r="I11" s="5"/>
      <c r="J11" s="5"/>
      <c r="K11" s="5">
        <v>6</v>
      </c>
      <c r="L11" s="5"/>
      <c r="M11" s="5"/>
      <c r="N11" s="5">
        <v>3</v>
      </c>
      <c r="O11" s="5"/>
      <c r="P11" s="5"/>
      <c r="Q11" s="5">
        <v>1</v>
      </c>
      <c r="R11" s="5"/>
      <c r="S11" s="5"/>
      <c r="T11" s="5">
        <v>1</v>
      </c>
      <c r="U11" s="5"/>
    </row>
    <row r="12" spans="1:21" s="6" customFormat="1" x14ac:dyDescent="0.25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15</v>
      </c>
      <c r="H12" s="6">
        <v>8</v>
      </c>
      <c r="K12" s="6">
        <v>4</v>
      </c>
      <c r="N12" s="6">
        <v>1</v>
      </c>
      <c r="Q12" s="6">
        <v>8</v>
      </c>
      <c r="T12" s="6">
        <v>7</v>
      </c>
    </row>
    <row r="13" spans="1:21" s="6" customFormat="1" x14ac:dyDescent="0.25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5</v>
      </c>
      <c r="H14" s="6">
        <v>2</v>
      </c>
      <c r="K14" s="6">
        <v>2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9</v>
      </c>
      <c r="F15" s="5"/>
      <c r="G15" s="5"/>
      <c r="H15" s="5">
        <v>5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2</v>
      </c>
      <c r="N16" s="6">
        <v>1</v>
      </c>
      <c r="Q16" s="6">
        <v>0</v>
      </c>
      <c r="T16" s="6">
        <v>0</v>
      </c>
    </row>
    <row r="17" spans="1:21" s="6" customFormat="1" x14ac:dyDescent="0.25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13</v>
      </c>
      <c r="F17" s="5"/>
      <c r="G17" s="5"/>
      <c r="H17" s="5">
        <v>11</v>
      </c>
      <c r="I17" s="5"/>
      <c r="J17" s="5"/>
      <c r="K17" s="5">
        <v>2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67</v>
      </c>
      <c r="H20">
        <f>SUM(H5:H19)</f>
        <v>43</v>
      </c>
      <c r="K20">
        <f>SUM(K5:K19)</f>
        <v>22</v>
      </c>
      <c r="N20">
        <f>SUM(N5:N19)</f>
        <v>6</v>
      </c>
      <c r="Q20">
        <f>SUM(Q5:Q19)</f>
        <v>14</v>
      </c>
      <c r="T20">
        <f>SUM(T5:T19)</f>
        <v>11</v>
      </c>
    </row>
    <row r="21" spans="1:21" x14ac:dyDescent="0.25">
      <c r="A21" s="2" t="s">
        <v>17</v>
      </c>
      <c r="B21" s="1" t="s">
        <v>26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0</v>
      </c>
      <c r="I23" s="5"/>
      <c r="J23" s="5"/>
      <c r="K23" s="5">
        <v>1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5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1</v>
      </c>
      <c r="H24" s="6">
        <v>0</v>
      </c>
      <c r="K24" s="6">
        <v>14</v>
      </c>
      <c r="N24" s="6">
        <v>7</v>
      </c>
      <c r="Q24" s="6">
        <v>3</v>
      </c>
      <c r="T24" s="6">
        <v>3</v>
      </c>
    </row>
    <row r="25" spans="1:21" s="6" customFormat="1" x14ac:dyDescent="0.25">
      <c r="A25" s="5" t="str">
        <f>_xlfn.IFNA(VLOOKUP($B$21&amp;ROWS($A$23:A25),Rosters!$B$2:$C$162,2,0),"?")</f>
        <v>Duane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7</v>
      </c>
      <c r="F25" s="5"/>
      <c r="G25" s="5"/>
      <c r="H25" s="5">
        <v>6</v>
      </c>
      <c r="I25" s="5"/>
      <c r="J25" s="5"/>
      <c r="K25" s="5">
        <v>3</v>
      </c>
      <c r="L25" s="5"/>
      <c r="M25" s="5"/>
      <c r="N25" s="5">
        <v>1</v>
      </c>
      <c r="O25" s="5"/>
      <c r="P25" s="5"/>
      <c r="Q25" s="5">
        <v>1</v>
      </c>
      <c r="R25" s="5"/>
      <c r="S25" s="5"/>
      <c r="T25" s="5">
        <v>1</v>
      </c>
      <c r="U25" s="5"/>
    </row>
    <row r="26" spans="1:21" s="6" customFormat="1" x14ac:dyDescent="0.25">
      <c r="A26" s="6" t="str">
        <f>_xlfn.IFNA(VLOOKUP($B$21&amp;ROWS($A$23:A26),Rosters!$B$2:$C$162,2,0),"?")</f>
        <v xml:space="preserve">Tre 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5">
      <c r="A27" s="5" t="str">
        <f>_xlfn.IFNA(VLOOKUP($B$21&amp;ROWS($A$23:A27),Rosters!$B$2:$C$162,2,0),"?")</f>
        <v>Brekott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5</v>
      </c>
      <c r="F27" s="5"/>
      <c r="G27" s="5"/>
      <c r="H27" s="5">
        <v>4</v>
      </c>
      <c r="I27" s="5"/>
      <c r="J27" s="5"/>
      <c r="K27" s="5">
        <v>3</v>
      </c>
      <c r="L27" s="5"/>
      <c r="M27" s="5"/>
      <c r="N27" s="5">
        <v>1</v>
      </c>
      <c r="O27" s="5"/>
      <c r="P27" s="5"/>
      <c r="Q27" s="5">
        <v>2</v>
      </c>
      <c r="R27" s="5"/>
      <c r="S27" s="5"/>
      <c r="T27" s="5">
        <v>1</v>
      </c>
      <c r="U27" s="5"/>
    </row>
    <row r="28" spans="1:21" s="6" customFormat="1" x14ac:dyDescent="0.25">
      <c r="A28" s="6" t="str">
        <f>_xlfn.IFNA(VLOOKUP($B$21&amp;ROWS($A$23:A28),Rosters!$B$2:$C$162,2,0),"?")</f>
        <v xml:space="preserve">Ronnie 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 xml:space="preserve">Isaiah 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6</v>
      </c>
      <c r="F29" s="5"/>
      <c r="G29" s="5"/>
      <c r="H29" s="5">
        <v>3</v>
      </c>
      <c r="I29" s="5"/>
      <c r="J29" s="5"/>
      <c r="K29" s="5">
        <v>3</v>
      </c>
      <c r="L29" s="5"/>
      <c r="M29" s="5"/>
      <c r="N29" s="5">
        <v>1</v>
      </c>
      <c r="O29" s="5"/>
      <c r="P29" s="5"/>
      <c r="Q29" s="5">
        <v>1</v>
      </c>
      <c r="R29" s="5"/>
      <c r="S29" s="5"/>
      <c r="T29" s="5">
        <v>1</v>
      </c>
      <c r="U29" s="5"/>
    </row>
    <row r="30" spans="1:21" s="6" customFormat="1" x14ac:dyDescent="0.25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1</v>
      </c>
      <c r="H30" s="6">
        <v>0</v>
      </c>
      <c r="K30" s="6">
        <v>14</v>
      </c>
      <c r="N30" s="6">
        <v>5</v>
      </c>
      <c r="Q30" s="6">
        <v>0</v>
      </c>
      <c r="T30" s="6">
        <v>0</v>
      </c>
    </row>
    <row r="31" spans="1:21" s="6" customFormat="1" x14ac:dyDescent="0.25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7</v>
      </c>
      <c r="F31" s="5"/>
      <c r="G31" s="5"/>
      <c r="H31" s="5">
        <v>7</v>
      </c>
      <c r="I31" s="5"/>
      <c r="J31" s="5"/>
      <c r="K31" s="5">
        <v>18</v>
      </c>
      <c r="L31" s="5"/>
      <c r="M31" s="5"/>
      <c r="N31" s="5">
        <v>8</v>
      </c>
      <c r="O31" s="5"/>
      <c r="P31" s="5"/>
      <c r="Q31" s="5">
        <v>2</v>
      </c>
      <c r="R31" s="5"/>
      <c r="S31" s="5"/>
      <c r="T31" s="5">
        <v>2</v>
      </c>
      <c r="U31" s="5"/>
    </row>
    <row r="32" spans="1:21" s="6" customFormat="1" x14ac:dyDescent="0.25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2</v>
      </c>
      <c r="F34"/>
      <c r="G34"/>
      <c r="H34" s="6">
        <v>0</v>
      </c>
      <c r="I34"/>
      <c r="J34"/>
      <c r="K34" s="6">
        <v>5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31</v>
      </c>
      <c r="H38">
        <f>SUM(H23:H37)</f>
        <v>20</v>
      </c>
      <c r="K38">
        <f>SUM(K23:K37)</f>
        <v>61</v>
      </c>
      <c r="N38">
        <f>SUM(N23:N37)</f>
        <v>26</v>
      </c>
      <c r="Q38">
        <f>SUM(Q23:Q37)</f>
        <v>9</v>
      </c>
      <c r="T38">
        <f>SUM(T23:T37)</f>
        <v>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7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5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5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5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5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5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5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5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5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5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5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5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5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272</v>
      </c>
    </row>
    <row r="66" spans="1:5" x14ac:dyDescent="0.25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273</v>
      </c>
      <c r="D93" t="s">
        <v>204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5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5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5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5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2021-07-02T06:02:32Z</dcterms:modified>
</cp:coreProperties>
</file>