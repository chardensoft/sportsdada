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Powder/Week2/"/>
    </mc:Choice>
  </mc:AlternateContent>
  <xr:revisionPtr revIDLastSave="0" documentId="13_ncr:1_{91151671-4294-3D44-988B-B84C03852FD4}" xr6:coauthVersionLast="47" xr6:coauthVersionMax="47" xr10:uidLastSave="{00000000-0000-0000-0000-000000000000}"/>
  <bookViews>
    <workbookView xWindow="0" yWindow="3040" windowWidth="17280" windowHeight="8960" xr2:uid="{EE0D2CFE-D8D2-0843-8E19-49493B39F60E}"/>
  </bookViews>
  <sheets>
    <sheet name="G2 Box Score" sheetId="2" r:id="rId1"/>
    <sheet name="Stats G2" sheetId="1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3" i="2" l="1"/>
  <c r="N23" i="2"/>
  <c r="O23" i="2"/>
  <c r="M24" i="2"/>
  <c r="N24" i="2"/>
  <c r="O24" i="2"/>
  <c r="M25" i="2"/>
  <c r="N25" i="2"/>
  <c r="O25" i="2"/>
  <c r="M26" i="2"/>
  <c r="N26" i="2"/>
  <c r="O26" i="2"/>
  <c r="M27" i="2"/>
  <c r="N27" i="2"/>
  <c r="O27" i="2"/>
  <c r="M28" i="2"/>
  <c r="N28" i="2"/>
  <c r="O28" i="2"/>
  <c r="M29" i="2"/>
  <c r="N29" i="2"/>
  <c r="O29" i="2"/>
  <c r="M30" i="2"/>
  <c r="N30" i="2"/>
  <c r="O30" i="2"/>
  <c r="M31" i="2"/>
  <c r="N31" i="2"/>
  <c r="O31" i="2"/>
  <c r="M32" i="2"/>
  <c r="N32" i="2"/>
  <c r="O32" i="2"/>
  <c r="M33" i="2"/>
  <c r="N33" i="2"/>
  <c r="O33" i="2"/>
  <c r="M34" i="2"/>
  <c r="N34" i="2"/>
  <c r="O34" i="2"/>
  <c r="M35" i="2"/>
  <c r="N35" i="2"/>
  <c r="O35" i="2"/>
  <c r="M36" i="2"/>
  <c r="N36" i="2"/>
  <c r="O36" i="2"/>
  <c r="M37" i="2"/>
  <c r="N37" i="2"/>
  <c r="O37" i="2"/>
  <c r="M4" i="2"/>
  <c r="N4" i="2"/>
  <c r="O4" i="2"/>
  <c r="M5" i="2"/>
  <c r="N5" i="2"/>
  <c r="O5" i="2"/>
  <c r="M6" i="2"/>
  <c r="N6" i="2"/>
  <c r="O6" i="2"/>
  <c r="M7" i="2"/>
  <c r="N7" i="2"/>
  <c r="O7" i="2"/>
  <c r="M8" i="2"/>
  <c r="N8" i="2"/>
  <c r="O8" i="2"/>
  <c r="M9" i="2"/>
  <c r="N9" i="2"/>
  <c r="O9" i="2"/>
  <c r="M10" i="2"/>
  <c r="N10" i="2"/>
  <c r="O10" i="2"/>
  <c r="M11" i="2"/>
  <c r="N11" i="2"/>
  <c r="O11" i="2"/>
  <c r="M12" i="2"/>
  <c r="N12" i="2"/>
  <c r="O12" i="2"/>
  <c r="M13" i="2"/>
  <c r="N13" i="2"/>
  <c r="O13" i="2"/>
  <c r="M14" i="2"/>
  <c r="N14" i="2"/>
  <c r="O14" i="2"/>
  <c r="M15" i="2"/>
  <c r="N15" i="2"/>
  <c r="O15" i="2"/>
  <c r="M16" i="2"/>
  <c r="N16" i="2"/>
  <c r="O16" i="2"/>
  <c r="M17" i="2"/>
  <c r="N17" i="2"/>
  <c r="O17" i="2"/>
  <c r="M18" i="2"/>
  <c r="N18" i="2"/>
  <c r="O18" i="2"/>
  <c r="O22" i="2"/>
  <c r="N22" i="2"/>
  <c r="M22" i="2"/>
  <c r="O3" i="2"/>
  <c r="N3" i="2"/>
  <c r="M3" i="2"/>
  <c r="L37" i="2"/>
  <c r="L18" i="2"/>
  <c r="I23" i="2"/>
  <c r="J23" i="2"/>
  <c r="I24" i="2"/>
  <c r="J24" i="2"/>
  <c r="I25" i="2"/>
  <c r="K25" i="2" s="1"/>
  <c r="J25" i="2"/>
  <c r="I26" i="2"/>
  <c r="J26" i="2"/>
  <c r="K26" i="2" s="1"/>
  <c r="I27" i="2"/>
  <c r="J27" i="2"/>
  <c r="K27" i="2" s="1"/>
  <c r="I28" i="2"/>
  <c r="J28" i="2"/>
  <c r="K28" i="2" s="1"/>
  <c r="I29" i="2"/>
  <c r="J29" i="2"/>
  <c r="I30" i="2"/>
  <c r="J30" i="2"/>
  <c r="K30" i="2" s="1"/>
  <c r="I31" i="2"/>
  <c r="J31" i="2"/>
  <c r="I32" i="2"/>
  <c r="J32" i="2"/>
  <c r="I33" i="2"/>
  <c r="K33" i="2" s="1"/>
  <c r="J33" i="2"/>
  <c r="I34" i="2"/>
  <c r="J34" i="2"/>
  <c r="I35" i="2"/>
  <c r="J35" i="2"/>
  <c r="K35" i="2" s="1"/>
  <c r="I36" i="2"/>
  <c r="J36" i="2"/>
  <c r="K36" i="2" s="1"/>
  <c r="J22" i="2"/>
  <c r="I22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K17" i="2" s="1"/>
  <c r="J3" i="2"/>
  <c r="K3" i="2" s="1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3" i="2"/>
  <c r="T38" i="1"/>
  <c r="Q38" i="1"/>
  <c r="N38" i="1"/>
  <c r="K38" i="1"/>
  <c r="H38" i="1"/>
  <c r="E38" i="1"/>
  <c r="T20" i="1"/>
  <c r="Q20" i="1"/>
  <c r="N20" i="1"/>
  <c r="K20" i="1"/>
  <c r="H20" i="1"/>
  <c r="E20" i="1"/>
  <c r="H36" i="2"/>
  <c r="G36" i="2"/>
  <c r="F36" i="2"/>
  <c r="H35" i="2"/>
  <c r="G35" i="2"/>
  <c r="F35" i="2"/>
  <c r="H34" i="2"/>
  <c r="G34" i="2"/>
  <c r="F34" i="2"/>
  <c r="H33" i="2"/>
  <c r="G33" i="2"/>
  <c r="F33" i="2"/>
  <c r="H32" i="2"/>
  <c r="G32" i="2"/>
  <c r="F32" i="2"/>
  <c r="H31" i="2"/>
  <c r="G31" i="2"/>
  <c r="F31" i="2"/>
  <c r="H30" i="2"/>
  <c r="G30" i="2"/>
  <c r="F30" i="2"/>
  <c r="H29" i="2"/>
  <c r="G29" i="2"/>
  <c r="F29" i="2"/>
  <c r="H28" i="2"/>
  <c r="G28" i="2"/>
  <c r="F28" i="2"/>
  <c r="H27" i="2"/>
  <c r="G27" i="2"/>
  <c r="F27" i="2"/>
  <c r="H26" i="2"/>
  <c r="G26" i="2"/>
  <c r="F26" i="2"/>
  <c r="H25" i="2"/>
  <c r="G25" i="2"/>
  <c r="F25" i="2"/>
  <c r="H24" i="2"/>
  <c r="G24" i="2"/>
  <c r="F24" i="2"/>
  <c r="H23" i="2"/>
  <c r="G23" i="2"/>
  <c r="F23" i="2"/>
  <c r="H22" i="2"/>
  <c r="G22" i="2"/>
  <c r="F22" i="2"/>
  <c r="H17" i="2"/>
  <c r="G17" i="2"/>
  <c r="F17" i="2"/>
  <c r="H16" i="2"/>
  <c r="G16" i="2"/>
  <c r="F16" i="2"/>
  <c r="H15" i="2"/>
  <c r="G15" i="2"/>
  <c r="F15" i="2"/>
  <c r="H14" i="2"/>
  <c r="G14" i="2"/>
  <c r="F14" i="2"/>
  <c r="H13" i="2"/>
  <c r="G13" i="2"/>
  <c r="F13" i="2"/>
  <c r="H12" i="2"/>
  <c r="G12" i="2"/>
  <c r="F12" i="2"/>
  <c r="H11" i="2"/>
  <c r="G11" i="2"/>
  <c r="F11" i="2"/>
  <c r="H10" i="2"/>
  <c r="G10" i="2"/>
  <c r="F10" i="2"/>
  <c r="H9" i="2"/>
  <c r="G9" i="2"/>
  <c r="F9" i="2"/>
  <c r="H8" i="2"/>
  <c r="G8" i="2"/>
  <c r="F8" i="2"/>
  <c r="H7" i="2"/>
  <c r="G7" i="2"/>
  <c r="F7" i="2"/>
  <c r="H6" i="2"/>
  <c r="G6" i="2"/>
  <c r="F6" i="2"/>
  <c r="H5" i="2"/>
  <c r="G5" i="2"/>
  <c r="F5" i="2"/>
  <c r="H4" i="2"/>
  <c r="G4" i="2"/>
  <c r="F4" i="2"/>
  <c r="K34" i="2" l="1"/>
  <c r="K32" i="2"/>
  <c r="K31" i="2"/>
  <c r="K24" i="2"/>
  <c r="K23" i="2"/>
  <c r="K22" i="2"/>
  <c r="K11" i="2"/>
  <c r="K29" i="2"/>
  <c r="K10" i="2"/>
  <c r="K9" i="2"/>
  <c r="K15" i="2"/>
  <c r="K7" i="2"/>
  <c r="K14" i="2"/>
  <c r="K6" i="2"/>
  <c r="K16" i="2"/>
  <c r="K13" i="2"/>
  <c r="K5" i="2"/>
  <c r="K8" i="2"/>
  <c r="K12" i="2"/>
  <c r="K4" i="2"/>
  <c r="K37" i="2"/>
  <c r="J37" i="2"/>
  <c r="I37" i="2"/>
  <c r="I18" i="2"/>
  <c r="J18" i="2"/>
  <c r="H3" i="2"/>
  <c r="G3" i="2"/>
  <c r="F3" i="2"/>
  <c r="K18" i="2" l="1"/>
</calcChain>
</file>

<file path=xl/sharedStrings.xml><?xml version="1.0" encoding="utf-8"?>
<sst xmlns="http://schemas.openxmlformats.org/spreadsheetml/2006/main" count="102" uniqueCount="67">
  <si>
    <t>#</t>
  </si>
  <si>
    <t>Select</t>
  </si>
  <si>
    <t>First</t>
  </si>
  <si>
    <t>Last</t>
  </si>
  <si>
    <t>?</t>
  </si>
  <si>
    <t>Home Team (Gray)</t>
  </si>
  <si>
    <t>Home (Gray)</t>
  </si>
  <si>
    <t>Away (Black)</t>
  </si>
  <si>
    <t>Away Team (Black)</t>
  </si>
  <si>
    <t>Total:</t>
  </si>
  <si>
    <t>Gray Team</t>
  </si>
  <si>
    <t>Black Team</t>
  </si>
  <si>
    <t>ASTs</t>
  </si>
  <si>
    <t>BLKs</t>
  </si>
  <si>
    <t>TOVs</t>
  </si>
  <si>
    <t>Timeouts used:</t>
  </si>
  <si>
    <t xml:space="preserve">Timeouts used: </t>
  </si>
  <si>
    <t>GAME 2</t>
  </si>
  <si>
    <t>Steve</t>
  </si>
  <si>
    <t>Panos</t>
  </si>
  <si>
    <t>James</t>
  </si>
  <si>
    <t>Walljasper</t>
  </si>
  <si>
    <t>Drew</t>
  </si>
  <si>
    <t>Lokeni</t>
  </si>
  <si>
    <t>Jeremy</t>
  </si>
  <si>
    <t>Dowdell</t>
  </si>
  <si>
    <t>Caleb</t>
  </si>
  <si>
    <t>Leonhardt</t>
  </si>
  <si>
    <t xml:space="preserve">Adam </t>
  </si>
  <si>
    <t>Egan</t>
  </si>
  <si>
    <t>Wil</t>
  </si>
  <si>
    <t>Carter</t>
  </si>
  <si>
    <t>Tony</t>
  </si>
  <si>
    <t>Roberts</t>
  </si>
  <si>
    <t>Quan</t>
  </si>
  <si>
    <t>Thompson</t>
  </si>
  <si>
    <t>Rylan</t>
  </si>
  <si>
    <t>Jones</t>
  </si>
  <si>
    <t>Tone</t>
  </si>
  <si>
    <t>Anderson</t>
  </si>
  <si>
    <t>Charles</t>
  </si>
  <si>
    <t>Nunn</t>
  </si>
  <si>
    <t>Brandon</t>
  </si>
  <si>
    <t>Sly</t>
  </si>
  <si>
    <t>Duce</t>
  </si>
  <si>
    <t>Zaid</t>
  </si>
  <si>
    <t xml:space="preserve">Jaleel </t>
  </si>
  <si>
    <t>Rayjon</t>
  </si>
  <si>
    <t>Tucker</t>
  </si>
  <si>
    <t>Kentrell</t>
  </si>
  <si>
    <t>Barkley</t>
  </si>
  <si>
    <t>Dontay</t>
  </si>
  <si>
    <t>Bassett</t>
  </si>
  <si>
    <t>Kyndahl</t>
  </si>
  <si>
    <t>Hill</t>
  </si>
  <si>
    <t>Jordan</t>
  </si>
  <si>
    <t>Loveridge</t>
  </si>
  <si>
    <t>Thomas</t>
  </si>
  <si>
    <t>Bullock</t>
  </si>
  <si>
    <t>Brendan</t>
  </si>
  <si>
    <t>Morris</t>
  </si>
  <si>
    <t>Demarcus</t>
  </si>
  <si>
    <t>Harrison</t>
  </si>
  <si>
    <t>AST</t>
  </si>
  <si>
    <t>BLK</t>
  </si>
  <si>
    <t>TOV</t>
  </si>
  <si>
    <t>TimeOuts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</si>
</sst>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theme="2"/>
      <name val="Calibri"/>
      <family val="2"/>
      <scheme val="minor"/>
    </font>
    <font>
      <sz val="1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4" fillId="2" borderId="0" xfId="0" applyFont="1" applyFill="1"/>
    <xf numFmtId="0" fontId="5" fillId="2" borderId="0" xfId="0" applyFont="1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arden/Library/Containers/com.microsoft.Excel/Data/Documents/ASTs,%20BLKs,%20TOVs,%20TimeOuts%20G2%206:2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"/>
    </sheetNames>
    <definedNames>
      <definedName name="Button0_Click"/>
      <definedName name="Button00_Click"/>
      <definedName name="Button01_Click"/>
      <definedName name="Button010_Click"/>
      <definedName name="Button011_Click"/>
      <definedName name="Button02_Click"/>
      <definedName name="Button03_Click"/>
      <definedName name="Button04_Click"/>
      <definedName name="Button05_Click"/>
      <definedName name="Button06_Click"/>
      <definedName name="Button07_Click"/>
      <definedName name="Button08_Click"/>
      <definedName name="Button09_Click"/>
      <definedName name="Button1_Click"/>
      <definedName name="Button10_Click"/>
      <definedName name="Button100_Click"/>
      <definedName name="Button101_Click"/>
      <definedName name="Button102_Click"/>
      <definedName name="Button103_Click"/>
      <definedName name="Button104_Click"/>
      <definedName name="Button105_Click"/>
      <definedName name="Button106_Click"/>
      <definedName name="Button107_Click"/>
      <definedName name="Button108_Click"/>
      <definedName name="Button109_Click"/>
      <definedName name="Button11_Click"/>
      <definedName name="Button110_Click"/>
      <definedName name="Button111_Click"/>
      <definedName name="Button112_Click"/>
      <definedName name="Button113_Click"/>
      <definedName name="Button114_Click"/>
      <definedName name="Button115_Click"/>
      <definedName name="Button116_Click"/>
      <definedName name="Button117_Click"/>
      <definedName name="Button118_Click"/>
      <definedName name="Button119_Click"/>
      <definedName name="Button12_Click"/>
      <definedName name="Button120_Click"/>
      <definedName name="Button121_Click"/>
      <definedName name="Button122_Click"/>
      <definedName name="Button123_Click"/>
      <definedName name="Button124_Click"/>
      <definedName name="Button125_Click"/>
      <definedName name="Button126_Click"/>
      <definedName name="Button127_Click"/>
      <definedName name="Button128_Click"/>
      <definedName name="Button129_Click"/>
      <definedName name="Button13_Click"/>
      <definedName name="Button130_Click"/>
      <definedName name="Button131_Click"/>
      <definedName name="Button132_Click"/>
      <definedName name="Button133_Click"/>
      <definedName name="Button134_Click"/>
      <definedName name="Button135_Click"/>
      <definedName name="Button136_Click"/>
      <definedName name="Button137_Click"/>
      <definedName name="Button138_Click"/>
      <definedName name="Button139_Click"/>
      <definedName name="Button14_Click"/>
      <definedName name="Button140_Click"/>
      <definedName name="Button141_Click"/>
      <definedName name="Button142_Click"/>
      <definedName name="Button143_Click"/>
      <definedName name="Button144_Click"/>
      <definedName name="Button145_Click"/>
      <definedName name="Button146_Click"/>
      <definedName name="Button147_Click"/>
      <definedName name="Button148_Click"/>
      <definedName name="Button149_Click"/>
      <definedName name="Button15_Click"/>
      <definedName name="Button150_Click"/>
      <definedName name="Button151_Click"/>
      <definedName name="Button152_Click"/>
      <definedName name="Button153_Click"/>
      <definedName name="Button154_Click"/>
      <definedName name="Button155_Click"/>
      <definedName name="Button156_Click"/>
      <definedName name="Button157_Click"/>
      <definedName name="Button158_Click"/>
      <definedName name="Button159_Click"/>
      <definedName name="Button16_Click"/>
      <definedName name="Button160_Click"/>
      <definedName name="Button161_Click"/>
      <definedName name="Button162_Click"/>
      <definedName name="Button163_Click"/>
      <definedName name="Button164_Click"/>
      <definedName name="Button165_Click"/>
      <definedName name="Button166_Click"/>
      <definedName name="Button167_Click"/>
      <definedName name="Button168_Click"/>
      <definedName name="Button169_Click"/>
      <definedName name="Button17_Click"/>
      <definedName name="Button170_Click"/>
      <definedName name="Button171_Click"/>
      <definedName name="Button172_Click"/>
      <definedName name="Button173_Click"/>
      <definedName name="Button174_Click"/>
      <definedName name="Button175_Click"/>
      <definedName name="Button176_Click"/>
      <definedName name="Button177_Click"/>
      <definedName name="Button178_Click"/>
      <definedName name="Button179_Click"/>
      <definedName name="Button180_Click"/>
      <definedName name="Button181_Click"/>
      <definedName name="Button182_Click"/>
      <definedName name="Button183_Click"/>
      <definedName name="Button184_Click"/>
      <definedName name="Button185_Click"/>
      <definedName name="Button2_Click"/>
      <definedName name="Button2100_Click"/>
      <definedName name="Button2101_Click"/>
      <definedName name="Button2102_Click"/>
      <definedName name="Button2103_Click"/>
      <definedName name="Button2104_Click"/>
      <definedName name="Button2105_Click"/>
      <definedName name="Button2106_Click"/>
      <definedName name="Button2107_Click"/>
      <definedName name="Button2108_Click"/>
      <definedName name="Button2109_Click"/>
      <definedName name="Button2110_Click"/>
      <definedName name="Button2111_Click"/>
      <definedName name="Button2112_Click"/>
      <definedName name="Button2113_Click"/>
      <definedName name="Button2114_Click"/>
      <definedName name="Button2115_Click"/>
      <definedName name="Button2116_Click"/>
      <definedName name="Button2117_Click"/>
      <definedName name="Button2118_Click"/>
      <definedName name="Button2119_Click"/>
      <definedName name="Button2120_Click"/>
      <definedName name="Button2121_Click"/>
      <definedName name="Button2122_Click"/>
      <definedName name="Button2123_Click"/>
      <definedName name="Button2124_Click"/>
      <definedName name="Button2125_Click"/>
      <definedName name="Button2126_Click"/>
      <definedName name="Button2127_Click"/>
      <definedName name="Button2128_Click"/>
      <definedName name="Button2129_Click"/>
      <definedName name="Button2130_Click"/>
      <definedName name="Button2131_Click"/>
      <definedName name="Button2132_Click"/>
      <definedName name="Button2133_Click"/>
      <definedName name="Button2134_Click"/>
      <definedName name="Button2135_Click"/>
      <definedName name="Button2136_Click"/>
      <definedName name="Button2137_Click"/>
      <definedName name="Button2138_Click"/>
      <definedName name="Button2139_Click"/>
      <definedName name="Button2140_Click"/>
      <definedName name="Button2141_Click"/>
      <definedName name="Button2142_Click"/>
      <definedName name="Button2143_Click"/>
      <definedName name="Button2144_Click"/>
      <definedName name="Button2145_Click"/>
      <definedName name="Button2146_Click"/>
      <definedName name="Button2147_Click"/>
      <definedName name="Button2148_Click"/>
      <definedName name="Button2149_Click"/>
      <definedName name="Button2150_Click"/>
      <definedName name="Button2151_Click"/>
      <definedName name="Button2152_Click"/>
      <definedName name="Button2153_Click"/>
      <definedName name="Button2154_Click"/>
      <definedName name="Button2155_Click"/>
      <definedName name="Button2156_Click"/>
      <definedName name="Button2157_Click"/>
      <definedName name="Button2158_Click"/>
      <definedName name="Button2159_Click"/>
      <definedName name="Button2160_Click"/>
      <definedName name="Button2161_Click"/>
      <definedName name="Button2162_Click"/>
      <definedName name="Button2163_Click"/>
      <definedName name="Button2164_Click"/>
      <definedName name="Button2165_Click"/>
      <definedName name="Button2166_Click"/>
      <definedName name="Button2167_Click"/>
      <definedName name="Button2168_Click"/>
      <definedName name="Button2169_Click"/>
      <definedName name="Button2170_Click"/>
      <definedName name="Button2171_Click"/>
      <definedName name="Button2172_Click"/>
      <definedName name="Button2173_Click"/>
      <definedName name="Button2174_Click"/>
      <definedName name="Button2175_Click"/>
      <definedName name="Button2176_Click"/>
      <definedName name="Button2177_Click"/>
      <definedName name="Button2178_Click"/>
      <definedName name="Button2179_Click"/>
      <definedName name="Button2210_Click"/>
      <definedName name="Button2211_Click"/>
      <definedName name="Button2212_Click"/>
      <definedName name="Button2213_Click"/>
      <definedName name="Button2214_Click"/>
      <definedName name="Button2215_Click"/>
      <definedName name="Button2216_Click"/>
      <definedName name="Button2217_Click"/>
      <definedName name="Button2218_Click"/>
      <definedName name="Button2219_Click"/>
      <definedName name="Button2220_Click"/>
      <definedName name="Button2221_Click"/>
      <definedName name="Button2222_Click"/>
      <definedName name="Button2223_Click"/>
      <definedName name="Button2224_Click"/>
      <definedName name="Button2225_Click"/>
      <definedName name="Button2226_Click"/>
      <definedName name="Button2227_Click"/>
      <definedName name="Button2228_Click"/>
      <definedName name="Button2229_Click"/>
      <definedName name="Button2230_Click"/>
      <definedName name="Button2231_Click"/>
      <definedName name="Button2232_Click"/>
      <definedName name="Button2233_Click"/>
      <definedName name="Button2234_Click"/>
      <definedName name="Button2235_Click"/>
      <definedName name="Button2236_Click"/>
      <definedName name="Button2237_Click"/>
      <definedName name="Button2238_Click"/>
      <definedName name="Button2239_Click"/>
      <definedName name="Button2240_Click"/>
      <definedName name="Button2241_Click"/>
      <definedName name="Button2242_Click"/>
      <definedName name="Button2243_Click"/>
      <definedName name="Button2244_Click"/>
      <definedName name="Button2245_Click"/>
      <definedName name="Button2246_Click"/>
      <definedName name="Button2247_Click"/>
      <definedName name="Button2248_Click"/>
      <definedName name="Button2249_Click"/>
      <definedName name="Button2250_Click"/>
      <definedName name="Button2251_Click"/>
      <definedName name="Button2252_Click"/>
      <definedName name="Button2253_Click"/>
      <definedName name="Button2254_Click"/>
      <definedName name="Button2255_Click"/>
      <definedName name="Button2256_Click"/>
      <definedName name="Button2257_Click"/>
      <definedName name="Button2258_Click"/>
      <definedName name="Button2259_Click"/>
      <definedName name="Button226_Click"/>
      <definedName name="Button2260_Click"/>
      <definedName name="Button2261_Click"/>
      <definedName name="Button2262_Click"/>
      <definedName name="Button2263_Click"/>
      <definedName name="Button2264_Click"/>
      <definedName name="Button2265_Click"/>
      <definedName name="Button2266_Click"/>
      <definedName name="Button2267_Click"/>
      <definedName name="Button2268_Click"/>
      <definedName name="Button2269_Click"/>
      <definedName name="Button227_Click"/>
      <definedName name="Button2270_Click"/>
      <definedName name="Button2271_Click"/>
      <definedName name="Button2272_Click"/>
      <definedName name="Button2273_Click"/>
      <definedName name="Button2274_Click"/>
      <definedName name="Button2275_Click"/>
      <definedName name="Button2276_Click"/>
      <definedName name="Button2277_Click"/>
      <definedName name="Button2278_Click"/>
      <definedName name="Button2279_Click"/>
      <definedName name="Button228_Click"/>
      <definedName name="Button2280_Click"/>
      <definedName name="Button2281_Click"/>
      <definedName name="Button2282_Click"/>
      <definedName name="Button2283_Click"/>
      <definedName name="Button2284_Click"/>
      <definedName name="Button2285_Click"/>
      <definedName name="Button2286_Click"/>
      <definedName name="Button2287_Click"/>
      <definedName name="Button2288_Click"/>
      <definedName name="Button2289_Click"/>
      <definedName name="Button229_Click"/>
      <definedName name="Button2290_Click"/>
      <definedName name="Button2291_Click"/>
      <definedName name="Button2292_Click"/>
      <definedName name="Button2293_Click"/>
      <definedName name="Button2294_Click"/>
      <definedName name="Button2295_Click"/>
      <definedName name="Button2296_Click"/>
      <definedName name="Button2297_Click"/>
      <definedName name="Button2298_Click"/>
      <definedName name="Button2299_Click"/>
      <definedName name="Button24_Click"/>
      <definedName name="Button25_Click"/>
      <definedName name="Button26_Click"/>
      <definedName name="Button27_Click"/>
      <definedName name="Button28_Click"/>
      <definedName name="Button29_Click"/>
      <definedName name="Button3_Click"/>
      <definedName name="Button30_Click"/>
      <definedName name="Button31_Click"/>
      <definedName name="Button32_Click"/>
      <definedName name="Button33_Click"/>
      <definedName name="Button34_Click"/>
      <definedName name="Button35_Click"/>
      <definedName name="Button36_Click"/>
      <definedName name="Button37_Click"/>
      <definedName name="Button38_Click"/>
      <definedName name="Button39_Click"/>
      <definedName name="Button4_Click"/>
      <definedName name="Button40_Click"/>
      <definedName name="Button41_Click"/>
      <definedName name="Button42_Click"/>
      <definedName name="Button43_Click"/>
      <definedName name="Button44_Click"/>
      <definedName name="Button45_Click"/>
      <definedName name="Button46_Click"/>
      <definedName name="Button47_Click"/>
      <definedName name="Button48_Click"/>
      <definedName name="Button49_Click"/>
      <definedName name="Button5_Click"/>
      <definedName name="Button50_Click"/>
      <definedName name="Button51_Click"/>
      <definedName name="Button52_Click"/>
      <definedName name="Button53_Click"/>
      <definedName name="Button54_Click"/>
      <definedName name="Button55_Click"/>
      <definedName name="Button56_Click"/>
      <definedName name="Button57_Click"/>
      <definedName name="Button58_Click"/>
      <definedName name="Button59_Click"/>
      <definedName name="Button6_Click"/>
      <definedName name="Button60_Click"/>
      <definedName name="Button61_Click"/>
      <definedName name="Button62_Click"/>
      <definedName name="Button63_Click"/>
      <definedName name="Button64_Click"/>
      <definedName name="Button65_Click"/>
      <definedName name="Button66_Click"/>
      <definedName name="Button67_Click"/>
      <definedName name="Button68_Click"/>
      <definedName name="Button69_Click"/>
      <definedName name="Button7_Click"/>
      <definedName name="Button70_Click"/>
      <definedName name="Button71_Click"/>
      <definedName name="Button72_Click"/>
      <definedName name="Button73_Click"/>
      <definedName name="Button74_Click"/>
      <definedName name="Button75_Click"/>
      <definedName name="Button76_Click"/>
      <definedName name="Button77_Click"/>
      <definedName name="Button78_Click"/>
      <definedName name="Button79_Click"/>
      <definedName name="Button8_Click"/>
      <definedName name="Button80_Click"/>
      <definedName name="Button81_Click"/>
      <definedName name="Button82_Click"/>
      <definedName name="Button83_Click"/>
      <definedName name="Button84_Click"/>
      <definedName name="Button85_Click"/>
      <definedName name="Button86_Click"/>
      <definedName name="Button87_Click"/>
      <definedName name="Button88_Click"/>
      <definedName name="Button89_Click"/>
      <definedName name="Button9_Click"/>
      <definedName name="Button90_Click"/>
      <definedName name="Button91_Click"/>
      <definedName name="Button92_Click"/>
      <definedName name="Button93_Click"/>
      <definedName name="Button94_Click"/>
      <definedName name="Button95_Click"/>
      <definedName name="Button96_Click"/>
      <definedName name="Button97_Click"/>
      <definedName name="Button98_Click"/>
      <definedName name="Button99_Click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O37"/>
  <sheetViews>
    <sheetView tabSelected="1" topLeftCell="A15" workbookViewId="0">
      <selection activeCell="G21" sqref="G21"/>
    </sheetView>
  </sheetViews>
  <sheetFormatPr baseColWidth="10" defaultColWidth="11.1640625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5" x14ac:dyDescent="0.2">
      <c r="B1" s="2" t="s">
        <v>17</v>
      </c>
      <c r="F1" t="s">
        <v>5</v>
      </c>
      <c r="G1" t="s">
        <v>29</v>
      </c>
    </row>
    <row r="2" spans="2:15" x14ac:dyDescent="0.2">
      <c r="F2" t="s">
        <v>2</v>
      </c>
      <c r="G2" t="s">
        <v>3</v>
      </c>
      <c r="H2" t="s">
        <v>0</v>
      </c>
      <c r="I2" t="s">
        <v>63</v>
      </c>
      <c r="J2" t="s">
        <v>64</v>
      </c>
      <c r="K2" t="s">
        <v>65</v>
      </c>
      <c r="L2" t="s">
        <v>66</v>
      </c>
    </row>
    <row r="3" spans="2:15" x14ac:dyDescent="0.2">
      <c r="C3" s="3"/>
      <c r="D3" s="4"/>
      <c r="F3" t="str">
        <f>'Stats G2'!A5</f>
        <v>Steve</v>
      </c>
      <c r="G3" t="str">
        <f>'Stats G2'!B5</f>
        <v>Panos</v>
      </c>
      <c r="H3">
        <f>'Stats G2'!C5</f>
        <v>0</v>
      </c>
      <c r="I3">
        <f>'Stats G2'!E5</f>
        <v>0</v>
      </c>
      <c r="J3">
        <f>'Stats G2'!H5</f>
        <v>0</v>
      </c>
      <c r="K3">
        <f>J3+I3</f>
        <v>0</v>
      </c>
      <c r="M3">
        <f>'Stats G2'!N5</f>
        <v>0</v>
      </c>
      <c r="N3">
        <f>'Stats G2'!Q5</f>
        <v>0</v>
      </c>
      <c r="O3">
        <f>'Stats G2'!T5</f>
        <v>0</v>
      </c>
    </row>
    <row r="4" spans="2:15" x14ac:dyDescent="0.2">
      <c r="F4" t="str">
        <f>'Stats G2'!A6</f>
        <v>James</v>
      </c>
      <c r="G4" t="str">
        <f>'Stats G2'!B6</f>
        <v>Walljasper</v>
      </c>
      <c r="H4">
        <f>'Stats G2'!C6</f>
        <v>1</v>
      </c>
      <c r="I4">
        <f>'Stats G2'!E6</f>
        <v>2</v>
      </c>
      <c r="J4">
        <f>'Stats G2'!H6</f>
        <v>0</v>
      </c>
      <c r="K4">
        <f t="shared" ref="K4:K17" si="0">J4+I4</f>
        <v>2</v>
      </c>
      <c r="M4">
        <f>'Stats G2'!N6</f>
        <v>0</v>
      </c>
      <c r="N4">
        <f>'Stats G2'!Q6</f>
        <v>0</v>
      </c>
      <c r="O4">
        <f>'Stats G2'!T6</f>
        <v>0</v>
      </c>
    </row>
    <row r="5" spans="2:15" x14ac:dyDescent="0.2">
      <c r="F5" t="str">
        <f>'Stats G2'!A7</f>
        <v>Drew</v>
      </c>
      <c r="G5" t="str">
        <f>'Stats G2'!B7</f>
        <v>Lokeni</v>
      </c>
      <c r="H5">
        <f>'Stats G2'!C7</f>
        <v>7</v>
      </c>
      <c r="I5">
        <f>'Stats G2'!E7</f>
        <v>0</v>
      </c>
      <c r="J5">
        <f>'Stats G2'!H7</f>
        <v>0</v>
      </c>
      <c r="K5">
        <f t="shared" si="0"/>
        <v>0</v>
      </c>
      <c r="M5">
        <f>'Stats G2'!N7</f>
        <v>0</v>
      </c>
      <c r="N5">
        <f>'Stats G2'!Q7</f>
        <v>0</v>
      </c>
      <c r="O5">
        <f>'Stats G2'!T7</f>
        <v>0</v>
      </c>
    </row>
    <row r="6" spans="2:15" x14ac:dyDescent="0.2">
      <c r="F6" t="str">
        <f>'Stats G2'!A8</f>
        <v>Jeremy</v>
      </c>
      <c r="G6" t="str">
        <f>'Stats G2'!B8</f>
        <v>Dowdell</v>
      </c>
      <c r="H6">
        <f>'Stats G2'!C8</f>
        <v>8</v>
      </c>
      <c r="I6">
        <f>'Stats G2'!E8</f>
        <v>0</v>
      </c>
      <c r="J6">
        <f>'Stats G2'!H8</f>
        <v>0</v>
      </c>
      <c r="K6">
        <f t="shared" si="0"/>
        <v>0</v>
      </c>
      <c r="M6">
        <f>'Stats G2'!N8</f>
        <v>0</v>
      </c>
      <c r="N6">
        <f>'Stats G2'!Q8</f>
        <v>0</v>
      </c>
      <c r="O6">
        <f>'Stats G2'!T8</f>
        <v>0</v>
      </c>
    </row>
    <row r="7" spans="2:15" x14ac:dyDescent="0.2">
      <c r="F7" t="str">
        <f>'Stats G2'!A9</f>
        <v>Caleb</v>
      </c>
      <c r="G7" t="str">
        <f>'Stats G2'!B9</f>
        <v>Leonhardt</v>
      </c>
      <c r="H7">
        <f>'Stats G2'!C9</f>
        <v>12</v>
      </c>
      <c r="I7">
        <f>'Stats G2'!E9</f>
        <v>0</v>
      </c>
      <c r="J7">
        <f>'Stats G2'!H9</f>
        <v>0</v>
      </c>
      <c r="K7">
        <f t="shared" si="0"/>
        <v>0</v>
      </c>
      <c r="M7">
        <f>'Stats G2'!N9</f>
        <v>0</v>
      </c>
      <c r="N7">
        <f>'Stats G2'!Q9</f>
        <v>0</v>
      </c>
      <c r="O7">
        <f>'Stats G2'!T9</f>
        <v>0</v>
      </c>
    </row>
    <row r="8" spans="2:15" x14ac:dyDescent="0.2">
      <c r="F8" t="str">
        <f>'Stats G2'!A10</f>
        <v xml:space="preserve">Adam </v>
      </c>
      <c r="G8" t="str">
        <f>'Stats G2'!B10</f>
        <v>Egan</v>
      </c>
      <c r="H8">
        <f>'Stats G2'!C10</f>
        <v>13</v>
      </c>
      <c r="I8">
        <f>'Stats G2'!E10</f>
        <v>4</v>
      </c>
      <c r="J8">
        <f>'Stats G2'!H10</f>
        <v>0</v>
      </c>
      <c r="K8">
        <f t="shared" si="0"/>
        <v>4</v>
      </c>
      <c r="M8">
        <f>'Stats G2'!N10</f>
        <v>0</v>
      </c>
      <c r="N8">
        <f>'Stats G2'!Q10</f>
        <v>0</v>
      </c>
      <c r="O8">
        <f>'Stats G2'!T10</f>
        <v>0</v>
      </c>
    </row>
    <row r="9" spans="2:15" x14ac:dyDescent="0.2">
      <c r="F9" t="str">
        <f>'Stats G2'!A11</f>
        <v>Wil</v>
      </c>
      <c r="G9" t="str">
        <f>'Stats G2'!B11</f>
        <v>Carter</v>
      </c>
      <c r="H9">
        <f>'Stats G2'!C11</f>
        <v>15</v>
      </c>
      <c r="I9">
        <f>'Stats G2'!E11</f>
        <v>3</v>
      </c>
      <c r="J9">
        <f>'Stats G2'!H11</f>
        <v>0</v>
      </c>
      <c r="K9">
        <f t="shared" si="0"/>
        <v>3</v>
      </c>
      <c r="M9">
        <f>'Stats G2'!N11</f>
        <v>0</v>
      </c>
      <c r="N9">
        <f>'Stats G2'!Q11</f>
        <v>0</v>
      </c>
      <c r="O9">
        <f>'Stats G2'!T11</f>
        <v>0</v>
      </c>
    </row>
    <row r="10" spans="2:15" x14ac:dyDescent="0.2">
      <c r="F10" t="str">
        <f>'Stats G2'!A12</f>
        <v>Tony</v>
      </c>
      <c r="G10" t="str">
        <f>'Stats G2'!B12</f>
        <v>Roberts</v>
      </c>
      <c r="H10">
        <f>'Stats G2'!C12</f>
        <v>21</v>
      </c>
      <c r="I10">
        <f>'Stats G2'!E12</f>
        <v>3</v>
      </c>
      <c r="J10">
        <f>'Stats G2'!H12</f>
        <v>1</v>
      </c>
      <c r="K10">
        <f t="shared" si="0"/>
        <v>4</v>
      </c>
      <c r="M10">
        <f>'Stats G2'!N12</f>
        <v>0</v>
      </c>
      <c r="N10">
        <f>'Stats G2'!Q12</f>
        <v>0</v>
      </c>
      <c r="O10">
        <f>'Stats G2'!T12</f>
        <v>0</v>
      </c>
    </row>
    <row r="11" spans="2:15" x14ac:dyDescent="0.2">
      <c r="F11" t="str">
        <f>'Stats G2'!A13</f>
        <v>Quan</v>
      </c>
      <c r="G11" t="str">
        <f>'Stats G2'!B13</f>
        <v>Thompson</v>
      </c>
      <c r="H11">
        <f>'Stats G2'!C13</f>
        <v>24</v>
      </c>
      <c r="I11">
        <f>'Stats G2'!E13</f>
        <v>0</v>
      </c>
      <c r="J11">
        <f>'Stats G2'!H13</f>
        <v>0</v>
      </c>
      <c r="K11">
        <f t="shared" si="0"/>
        <v>0</v>
      </c>
      <c r="M11">
        <f>'Stats G2'!N13</f>
        <v>0</v>
      </c>
      <c r="N11">
        <f>'Stats G2'!Q13</f>
        <v>0</v>
      </c>
      <c r="O11">
        <f>'Stats G2'!T13</f>
        <v>0</v>
      </c>
    </row>
    <row r="12" spans="2:15" x14ac:dyDescent="0.2">
      <c r="F12" t="str">
        <f>'Stats G2'!A14</f>
        <v>Rylan</v>
      </c>
      <c r="G12" t="str">
        <f>'Stats G2'!B14</f>
        <v>Jones</v>
      </c>
      <c r="H12">
        <f>'Stats G2'!C14</f>
        <v>30</v>
      </c>
      <c r="I12">
        <f>'Stats G2'!E14</f>
        <v>8</v>
      </c>
      <c r="J12">
        <f>'Stats G2'!H14</f>
        <v>1</v>
      </c>
      <c r="K12">
        <f t="shared" si="0"/>
        <v>9</v>
      </c>
      <c r="M12">
        <f>'Stats G2'!N14</f>
        <v>0</v>
      </c>
      <c r="N12">
        <f>'Stats G2'!Q14</f>
        <v>0</v>
      </c>
      <c r="O12">
        <f>'Stats G2'!T14</f>
        <v>0</v>
      </c>
    </row>
    <row r="13" spans="2:15" x14ac:dyDescent="0.2">
      <c r="F13" t="str">
        <f>'Stats G2'!A15</f>
        <v>?</v>
      </c>
      <c r="G13" t="str">
        <f>'Stats G2'!B15</f>
        <v>?</v>
      </c>
      <c r="H13">
        <f>'Stats G2'!C15</f>
        <v>0</v>
      </c>
      <c r="I13">
        <f>'Stats G2'!E15</f>
        <v>0</v>
      </c>
      <c r="J13">
        <f>'Stats G2'!H15</f>
        <v>0</v>
      </c>
      <c r="K13">
        <f t="shared" si="0"/>
        <v>0</v>
      </c>
      <c r="M13">
        <f>'Stats G2'!N15</f>
        <v>0</v>
      </c>
      <c r="N13">
        <f>'Stats G2'!Q15</f>
        <v>0</v>
      </c>
      <c r="O13">
        <f>'Stats G2'!T15</f>
        <v>0</v>
      </c>
    </row>
    <row r="14" spans="2:15" x14ac:dyDescent="0.2">
      <c r="F14" t="str">
        <f>'Stats G2'!A16</f>
        <v>?</v>
      </c>
      <c r="G14" t="str">
        <f>'Stats G2'!B16</f>
        <v>?</v>
      </c>
      <c r="H14">
        <f>'Stats G2'!C16</f>
        <v>0</v>
      </c>
      <c r="I14">
        <f>'Stats G2'!E16</f>
        <v>0</v>
      </c>
      <c r="J14">
        <f>'Stats G2'!H16</f>
        <v>0</v>
      </c>
      <c r="K14">
        <f t="shared" si="0"/>
        <v>0</v>
      </c>
      <c r="M14">
        <f>'Stats G2'!N16</f>
        <v>0</v>
      </c>
      <c r="N14">
        <f>'Stats G2'!Q16</f>
        <v>0</v>
      </c>
      <c r="O14">
        <f>'Stats G2'!T16</f>
        <v>0</v>
      </c>
    </row>
    <row r="15" spans="2:15" x14ac:dyDescent="0.2">
      <c r="F15" t="str">
        <f>'Stats G2'!A17</f>
        <v>?</v>
      </c>
      <c r="G15" t="str">
        <f>'Stats G2'!B17</f>
        <v>?</v>
      </c>
      <c r="H15">
        <f>'Stats G2'!C17</f>
        <v>0</v>
      </c>
      <c r="I15">
        <f>'Stats G2'!E17</f>
        <v>0</v>
      </c>
      <c r="J15">
        <f>'Stats G2'!H17</f>
        <v>0</v>
      </c>
      <c r="K15">
        <f t="shared" si="0"/>
        <v>0</v>
      </c>
      <c r="M15">
        <f>'Stats G2'!N17</f>
        <v>0</v>
      </c>
      <c r="N15">
        <f>'Stats G2'!Q17</f>
        <v>0</v>
      </c>
      <c r="O15">
        <f>'Stats G2'!T17</f>
        <v>0</v>
      </c>
    </row>
    <row r="16" spans="2:15" x14ac:dyDescent="0.2">
      <c r="F16" t="str">
        <f>'Stats G2'!A18</f>
        <v>?</v>
      </c>
      <c r="G16" t="str">
        <f>'Stats G2'!B18</f>
        <v>?</v>
      </c>
      <c r="H16">
        <f>'Stats G2'!C18</f>
        <v>0</v>
      </c>
      <c r="I16">
        <f>'Stats G2'!E18</f>
        <v>0</v>
      </c>
      <c r="J16">
        <f>'Stats G2'!H18</f>
        <v>0</v>
      </c>
      <c r="K16">
        <f t="shared" si="0"/>
        <v>0</v>
      </c>
      <c r="M16">
        <f>'Stats G2'!N18</f>
        <v>0</v>
      </c>
      <c r="N16">
        <f>'Stats G2'!Q18</f>
        <v>0</v>
      </c>
      <c r="O16">
        <f>'Stats G2'!T18</f>
        <v>0</v>
      </c>
    </row>
    <row r="17" spans="6:15" x14ac:dyDescent="0.2">
      <c r="F17" t="str">
        <f>'Stats G2'!A19</f>
        <v>?</v>
      </c>
      <c r="G17" t="str">
        <f>'Stats G2'!B19</f>
        <v>?</v>
      </c>
      <c r="H17">
        <f>'Stats G2'!C19</f>
        <v>0</v>
      </c>
      <c r="I17">
        <f>'Stats G2'!E19</f>
        <v>0</v>
      </c>
      <c r="J17">
        <f>'Stats G2'!H19</f>
        <v>0</v>
      </c>
      <c r="K17">
        <f t="shared" si="0"/>
        <v>0</v>
      </c>
      <c r="M17">
        <f>'Stats G2'!N19</f>
        <v>0</v>
      </c>
      <c r="N17">
        <f>'Stats G2'!Q19</f>
        <v>0</v>
      </c>
      <c r="O17">
        <f>'Stats G2'!T19</f>
        <v>0</v>
      </c>
    </row>
    <row r="18" spans="6:15" x14ac:dyDescent="0.2">
      <c r="H18" s="2" t="s">
        <v>9</v>
      </c>
      <c r="I18">
        <f t="shared" ref="I18:K18" si="1">SUM(I3:I17)</f>
        <v>20</v>
      </c>
      <c r="J18">
        <f t="shared" si="1"/>
        <v>2</v>
      </c>
      <c r="K18">
        <f t="shared" si="1"/>
        <v>22</v>
      </c>
      <c r="L18">
        <f>'Stats G2'!X6</f>
        <v>0</v>
      </c>
      <c r="M18">
        <f>'Stats G2'!N20</f>
        <v>0</v>
      </c>
      <c r="N18">
        <f>'Stats G2'!Q20</f>
        <v>0</v>
      </c>
      <c r="O18">
        <f>'Stats G2'!T20</f>
        <v>0</v>
      </c>
    </row>
    <row r="20" spans="6:15" x14ac:dyDescent="0.2">
      <c r="F20" t="s">
        <v>8</v>
      </c>
      <c r="G20" t="s">
        <v>33</v>
      </c>
    </row>
    <row r="21" spans="6:15" x14ac:dyDescent="0.2">
      <c r="F21" t="s">
        <v>2</v>
      </c>
      <c r="G21" t="s">
        <v>3</v>
      </c>
      <c r="H21" t="s">
        <v>0</v>
      </c>
      <c r="I21" t="s">
        <v>63</v>
      </c>
      <c r="J21" t="s">
        <v>64</v>
      </c>
      <c r="K21" t="s">
        <v>65</v>
      </c>
      <c r="L21" t="s">
        <v>66</v>
      </c>
    </row>
    <row r="22" spans="6:15" x14ac:dyDescent="0.2">
      <c r="F22" t="str">
        <f>'Stats G2'!A23</f>
        <v>Tone</v>
      </c>
      <c r="G22" t="str">
        <f>'Stats G2'!B23</f>
        <v>Anderson</v>
      </c>
      <c r="H22">
        <f>'Stats G2'!C23</f>
        <v>0</v>
      </c>
      <c r="I22">
        <f>'Stats G2'!E23</f>
        <v>3</v>
      </c>
      <c r="J22">
        <f>'Stats G2'!H23</f>
        <v>0</v>
      </c>
      <c r="K22">
        <f t="shared" ref="K22:K36" si="2">J22+I22</f>
        <v>3</v>
      </c>
      <c r="M22">
        <f>'Stats G2'!N23</f>
        <v>0</v>
      </c>
      <c r="N22">
        <f>'Stats G2'!Q23</f>
        <v>0</v>
      </c>
      <c r="O22">
        <f>'Stats G2'!T23</f>
        <v>0</v>
      </c>
    </row>
    <row r="23" spans="6:15" x14ac:dyDescent="0.2">
      <c r="F23" t="str">
        <f>'Stats G2'!A24</f>
        <v>Charles</v>
      </c>
      <c r="G23" t="str">
        <f>'Stats G2'!B24</f>
        <v>Nunn</v>
      </c>
      <c r="H23">
        <f>'Stats G2'!C24</f>
        <v>1</v>
      </c>
      <c r="I23">
        <f>'Stats G2'!E24</f>
        <v>2</v>
      </c>
      <c r="J23">
        <f>'Stats G2'!H24</f>
        <v>0</v>
      </c>
      <c r="K23">
        <f t="shared" si="2"/>
        <v>2</v>
      </c>
      <c r="M23">
        <f>'Stats G2'!N24</f>
        <v>0</v>
      </c>
      <c r="N23">
        <f>'Stats G2'!Q24</f>
        <v>0</v>
      </c>
      <c r="O23">
        <f>'Stats G2'!T24</f>
        <v>0</v>
      </c>
    </row>
    <row r="24" spans="6:15" x14ac:dyDescent="0.2">
      <c r="F24" t="str">
        <f>'Stats G2'!A25</f>
        <v>Brandon</v>
      </c>
      <c r="G24" t="str">
        <f>'Stats G2'!B25</f>
        <v>Sly</v>
      </c>
      <c r="H24">
        <f>'Stats G2'!C25</f>
        <v>2</v>
      </c>
      <c r="I24">
        <f>'Stats G2'!E25</f>
        <v>2</v>
      </c>
      <c r="J24">
        <f>'Stats G2'!H25</f>
        <v>0</v>
      </c>
      <c r="K24">
        <f t="shared" si="2"/>
        <v>2</v>
      </c>
      <c r="M24">
        <f>'Stats G2'!N25</f>
        <v>0</v>
      </c>
      <c r="N24">
        <f>'Stats G2'!Q25</f>
        <v>0</v>
      </c>
      <c r="O24">
        <f>'Stats G2'!T25</f>
        <v>0</v>
      </c>
    </row>
    <row r="25" spans="6:15" x14ac:dyDescent="0.2">
      <c r="F25" t="str">
        <f>'Stats G2'!A26</f>
        <v>Duce</v>
      </c>
      <c r="G25" t="str">
        <f>'Stats G2'!B26</f>
        <v>Zaid</v>
      </c>
      <c r="H25">
        <f>'Stats G2'!C26</f>
        <v>5</v>
      </c>
      <c r="I25">
        <f>'Stats G2'!E26</f>
        <v>0</v>
      </c>
      <c r="J25">
        <f>'Stats G2'!H26</f>
        <v>0</v>
      </c>
      <c r="K25">
        <f t="shared" si="2"/>
        <v>0</v>
      </c>
      <c r="M25">
        <f>'Stats G2'!N26</f>
        <v>0</v>
      </c>
      <c r="N25">
        <f>'Stats G2'!Q26</f>
        <v>0</v>
      </c>
      <c r="O25">
        <f>'Stats G2'!T26</f>
        <v>0</v>
      </c>
    </row>
    <row r="26" spans="6:15" x14ac:dyDescent="0.2">
      <c r="F26" t="str">
        <f>'Stats G2'!A27</f>
        <v xml:space="preserve">Jaleel </v>
      </c>
      <c r="G26" t="str">
        <f>'Stats G2'!B27</f>
        <v>Roberts</v>
      </c>
      <c r="H26">
        <f>'Stats G2'!C27</f>
        <v>9</v>
      </c>
      <c r="I26">
        <f>'Stats G2'!E27</f>
        <v>0</v>
      </c>
      <c r="J26">
        <f>'Stats G2'!H27</f>
        <v>0</v>
      </c>
      <c r="K26">
        <f t="shared" si="2"/>
        <v>0</v>
      </c>
      <c r="M26">
        <f>'Stats G2'!N27</f>
        <v>0</v>
      </c>
      <c r="N26">
        <f>'Stats G2'!Q27</f>
        <v>0</v>
      </c>
      <c r="O26">
        <f>'Stats G2'!T27</f>
        <v>0</v>
      </c>
    </row>
    <row r="27" spans="6:15" x14ac:dyDescent="0.2">
      <c r="F27" t="str">
        <f>'Stats G2'!A28</f>
        <v>Rayjon</v>
      </c>
      <c r="G27" t="str">
        <f>'Stats G2'!B28</f>
        <v>Tucker</v>
      </c>
      <c r="H27">
        <f>'Stats G2'!C28</f>
        <v>9</v>
      </c>
      <c r="I27">
        <f>'Stats G2'!E28</f>
        <v>2</v>
      </c>
      <c r="J27">
        <f>'Stats G2'!H28</f>
        <v>1</v>
      </c>
      <c r="K27">
        <f t="shared" si="2"/>
        <v>3</v>
      </c>
      <c r="M27">
        <f>'Stats G2'!N28</f>
        <v>0</v>
      </c>
      <c r="N27">
        <f>'Stats G2'!Q28</f>
        <v>0</v>
      </c>
      <c r="O27">
        <f>'Stats G2'!T28</f>
        <v>0</v>
      </c>
    </row>
    <row r="28" spans="6:15" x14ac:dyDescent="0.2">
      <c r="F28" t="str">
        <f>'Stats G2'!A29</f>
        <v>Kentrell</v>
      </c>
      <c r="G28" t="str">
        <f>'Stats G2'!B29</f>
        <v>Barkley</v>
      </c>
      <c r="H28">
        <f>'Stats G2'!C29</f>
        <v>12</v>
      </c>
      <c r="I28">
        <f>'Stats G2'!E29</f>
        <v>0</v>
      </c>
      <c r="J28">
        <f>'Stats G2'!H29</f>
        <v>0</v>
      </c>
      <c r="K28">
        <f t="shared" si="2"/>
        <v>0</v>
      </c>
      <c r="M28">
        <f>'Stats G2'!N29</f>
        <v>0</v>
      </c>
      <c r="N28">
        <f>'Stats G2'!Q29</f>
        <v>0</v>
      </c>
      <c r="O28">
        <f>'Stats G2'!T29</f>
        <v>0</v>
      </c>
    </row>
    <row r="29" spans="6:15" x14ac:dyDescent="0.2">
      <c r="F29" t="str">
        <f>'Stats G2'!A30</f>
        <v>Dontay</v>
      </c>
      <c r="G29" t="str">
        <f>'Stats G2'!B30</f>
        <v>Bassett</v>
      </c>
      <c r="H29">
        <f>'Stats G2'!C30</f>
        <v>13</v>
      </c>
      <c r="I29">
        <f>'Stats G2'!E30</f>
        <v>0</v>
      </c>
      <c r="J29">
        <f>'Stats G2'!H30</f>
        <v>0</v>
      </c>
      <c r="K29">
        <f t="shared" si="2"/>
        <v>0</v>
      </c>
      <c r="M29">
        <f>'Stats G2'!N30</f>
        <v>0</v>
      </c>
      <c r="N29">
        <f>'Stats G2'!Q30</f>
        <v>0</v>
      </c>
      <c r="O29">
        <f>'Stats G2'!T30</f>
        <v>0</v>
      </c>
    </row>
    <row r="30" spans="6:15" x14ac:dyDescent="0.2">
      <c r="F30" t="str">
        <f>'Stats G2'!A31</f>
        <v>Kyndahl</v>
      </c>
      <c r="G30" t="str">
        <f>'Stats G2'!B31</f>
        <v>Hill</v>
      </c>
      <c r="H30">
        <f>'Stats G2'!C31</f>
        <v>15</v>
      </c>
      <c r="I30">
        <f>'Stats G2'!E31</f>
        <v>0</v>
      </c>
      <c r="J30">
        <f>'Stats G2'!H31</f>
        <v>0</v>
      </c>
      <c r="K30">
        <f t="shared" si="2"/>
        <v>0</v>
      </c>
      <c r="M30">
        <f>'Stats G2'!N31</f>
        <v>0</v>
      </c>
      <c r="N30">
        <f>'Stats G2'!Q31</f>
        <v>0</v>
      </c>
      <c r="O30">
        <f>'Stats G2'!T31</f>
        <v>0</v>
      </c>
    </row>
    <row r="31" spans="6:15" x14ac:dyDescent="0.2">
      <c r="F31" t="str">
        <f>'Stats G2'!A32</f>
        <v>Jordan</v>
      </c>
      <c r="G31" t="str">
        <f>'Stats G2'!B32</f>
        <v>Loveridge</v>
      </c>
      <c r="H31">
        <f>'Stats G2'!C32</f>
        <v>21</v>
      </c>
      <c r="I31">
        <f>'Stats G2'!E32</f>
        <v>1</v>
      </c>
      <c r="J31">
        <f>'Stats G2'!H32</f>
        <v>0</v>
      </c>
      <c r="K31">
        <f t="shared" si="2"/>
        <v>1</v>
      </c>
      <c r="M31">
        <f>'Stats G2'!N32</f>
        <v>0</v>
      </c>
      <c r="N31">
        <f>'Stats G2'!Q32</f>
        <v>0</v>
      </c>
      <c r="O31">
        <f>'Stats G2'!T32</f>
        <v>0</v>
      </c>
    </row>
    <row r="32" spans="6:15" x14ac:dyDescent="0.2">
      <c r="F32" t="str">
        <f>'Stats G2'!A33</f>
        <v>Thomas</v>
      </c>
      <c r="G32" t="str">
        <f>'Stats G2'!B33</f>
        <v>Bullock</v>
      </c>
      <c r="H32">
        <f>'Stats G2'!C33</f>
        <v>22</v>
      </c>
      <c r="I32">
        <f>'Stats G2'!E33</f>
        <v>1</v>
      </c>
      <c r="J32">
        <f>'Stats G2'!H33</f>
        <v>0</v>
      </c>
      <c r="K32">
        <f t="shared" si="2"/>
        <v>1</v>
      </c>
      <c r="M32">
        <f>'Stats G2'!N33</f>
        <v>0</v>
      </c>
      <c r="N32">
        <f>'Stats G2'!Q33</f>
        <v>0</v>
      </c>
      <c r="O32">
        <f>'Stats G2'!T33</f>
        <v>0</v>
      </c>
    </row>
    <row r="33" spans="6:15" x14ac:dyDescent="0.2">
      <c r="F33" t="str">
        <f>'Stats G2'!A34</f>
        <v>Brendan</v>
      </c>
      <c r="G33" t="str">
        <f>'Stats G2'!B34</f>
        <v>Morris</v>
      </c>
      <c r="H33">
        <f>'Stats G2'!C34</f>
        <v>23</v>
      </c>
      <c r="I33">
        <f>'Stats G2'!E34</f>
        <v>1</v>
      </c>
      <c r="J33">
        <f>'Stats G2'!H34</f>
        <v>0</v>
      </c>
      <c r="K33">
        <f t="shared" si="2"/>
        <v>1</v>
      </c>
      <c r="M33">
        <f>'Stats G2'!N34</f>
        <v>0</v>
      </c>
      <c r="N33">
        <f>'Stats G2'!Q34</f>
        <v>0</v>
      </c>
      <c r="O33">
        <f>'Stats G2'!T34</f>
        <v>0</v>
      </c>
    </row>
    <row r="34" spans="6:15" x14ac:dyDescent="0.2">
      <c r="F34" t="str">
        <f>'Stats G2'!A35</f>
        <v>Demarcus</v>
      </c>
      <c r="G34" t="str">
        <f>'Stats G2'!B35</f>
        <v>Harrison</v>
      </c>
      <c r="H34">
        <f>'Stats G2'!C35</f>
        <v>31</v>
      </c>
      <c r="I34">
        <f>'Stats G2'!E35</f>
        <v>1</v>
      </c>
      <c r="J34">
        <f>'Stats G2'!H35</f>
        <v>0</v>
      </c>
      <c r="K34">
        <f t="shared" si="2"/>
        <v>1</v>
      </c>
      <c r="M34">
        <f>'Stats G2'!N35</f>
        <v>0</v>
      </c>
      <c r="N34">
        <f>'Stats G2'!Q35</f>
        <v>0</v>
      </c>
      <c r="O34">
        <f>'Stats G2'!T35</f>
        <v>0</v>
      </c>
    </row>
    <row r="35" spans="6:15" x14ac:dyDescent="0.2">
      <c r="F35" t="str">
        <f>'Stats G2'!A36</f>
        <v>?</v>
      </c>
      <c r="G35" t="str">
        <f>'Stats G2'!B36</f>
        <v>?</v>
      </c>
      <c r="H35">
        <f>'Stats G2'!C36</f>
        <v>0</v>
      </c>
      <c r="I35">
        <f>'Stats G2'!E36</f>
        <v>0</v>
      </c>
      <c r="J35">
        <f>'Stats G2'!H36</f>
        <v>0</v>
      </c>
      <c r="K35">
        <f t="shared" si="2"/>
        <v>0</v>
      </c>
      <c r="M35">
        <f>'Stats G2'!N36</f>
        <v>0</v>
      </c>
      <c r="N35">
        <f>'Stats G2'!Q36</f>
        <v>0</v>
      </c>
      <c r="O35">
        <f>'Stats G2'!T36</f>
        <v>0</v>
      </c>
    </row>
    <row r="36" spans="6:15" x14ac:dyDescent="0.2">
      <c r="F36" t="str">
        <f>'Stats G2'!A37</f>
        <v>?</v>
      </c>
      <c r="G36" t="str">
        <f>'Stats G2'!B37</f>
        <v>?</v>
      </c>
      <c r="H36">
        <f>'Stats G2'!C37</f>
        <v>0</v>
      </c>
      <c r="I36">
        <f>'Stats G2'!E37</f>
        <v>0</v>
      </c>
      <c r="J36">
        <f>'Stats G2'!H37</f>
        <v>0</v>
      </c>
      <c r="K36">
        <f t="shared" si="2"/>
        <v>0</v>
      </c>
      <c r="M36">
        <f>'Stats G2'!N37</f>
        <v>0</v>
      </c>
      <c r="N36">
        <f>'Stats G2'!Q37</f>
        <v>0</v>
      </c>
      <c r="O36">
        <f>'Stats G2'!T37</f>
        <v>0</v>
      </c>
    </row>
    <row r="37" spans="6:15" x14ac:dyDescent="0.2">
      <c r="H37" s="2" t="s">
        <v>9</v>
      </c>
      <c r="I37">
        <f t="shared" ref="I37:K37" si="3">SUM(I22:I36)</f>
        <v>13</v>
      </c>
      <c r="J37">
        <f t="shared" si="3"/>
        <v>1</v>
      </c>
      <c r="K37">
        <f t="shared" si="3"/>
        <v>14</v>
      </c>
      <c r="L37">
        <f>'Stats G2'!X23</f>
        <v>0</v>
      </c>
      <c r="M37">
        <f>'Stats G2'!N38</f>
        <v>0</v>
      </c>
      <c r="N37">
        <f>'Stats G2'!Q38</f>
        <v>0</v>
      </c>
      <c r="O37">
        <f>'Stats G2'!T38</f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W38"/>
  <sheetViews>
    <sheetView topLeftCell="A3" zoomScale="70" zoomScaleNormal="70" workbookViewId="0">
      <selection activeCell="K36" sqref="K36"/>
    </sheetView>
  </sheetViews>
  <sheetFormatPr baseColWidth="10" defaultColWidth="11.1640625" defaultRowHeight="16" x14ac:dyDescent="0.2"/>
  <cols>
    <col min="2" max="2" width="12.5" bestFit="1" customWidth="1"/>
    <col min="3" max="3" width="5.164062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  <col min="22" max="22" width="3" customWidth="1"/>
    <col min="23" max="23" width="14.1640625" bestFit="1" customWidth="1"/>
  </cols>
  <sheetData>
    <row r="1" spans="1:23" hidden="1" x14ac:dyDescent="0.2">
      <c r="A1" s="1" t="s">
        <v>1</v>
      </c>
      <c r="B1" t="s">
        <v>6</v>
      </c>
      <c r="C1" t="s">
        <v>7</v>
      </c>
    </row>
    <row r="2" spans="1:23" hidden="1" x14ac:dyDescent="0.2"/>
    <row r="3" spans="1:23" x14ac:dyDescent="0.2">
      <c r="A3" s="2" t="s">
        <v>10</v>
      </c>
      <c r="B3" s="1" t="s">
        <v>6</v>
      </c>
    </row>
    <row r="4" spans="1:23" x14ac:dyDescent="0.2">
      <c r="A4" t="s">
        <v>2</v>
      </c>
      <c r="B4" t="s">
        <v>3</v>
      </c>
      <c r="C4" t="s">
        <v>0</v>
      </c>
      <c r="E4" t="s">
        <v>12</v>
      </c>
      <c r="H4" t="s">
        <v>13</v>
      </c>
      <c r="K4" t="s">
        <v>14</v>
      </c>
    </row>
    <row r="5" spans="1:23" s="6" customFormat="1" x14ac:dyDescent="0.2">
      <c r="A5" s="5" t="s">
        <v>18</v>
      </c>
      <c r="B5" s="5" t="s">
        <v>19</v>
      </c>
      <c r="C5" s="5">
        <v>0</v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</row>
    <row r="6" spans="1:23" s="6" customFormat="1" x14ac:dyDescent="0.2">
      <c r="A6" t="s">
        <v>20</v>
      </c>
      <c r="B6" t="s">
        <v>21</v>
      </c>
      <c r="C6">
        <v>1</v>
      </c>
      <c r="E6" s="6">
        <v>2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 t="s">
        <v>15</v>
      </c>
    </row>
    <row r="7" spans="1:23" s="6" customFormat="1" x14ac:dyDescent="0.2">
      <c r="A7" s="5" t="s">
        <v>22</v>
      </c>
      <c r="B7" s="5" t="s">
        <v>23</v>
      </c>
      <c r="C7" s="5">
        <v>7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3" s="6" customFormat="1" x14ac:dyDescent="0.2">
      <c r="A8" t="s">
        <v>24</v>
      </c>
      <c r="B8" t="s">
        <v>25</v>
      </c>
      <c r="C8">
        <v>8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3" s="6" customFormat="1" x14ac:dyDescent="0.2">
      <c r="A9" s="5" t="s">
        <v>26</v>
      </c>
      <c r="B9" s="5" t="s">
        <v>27</v>
      </c>
      <c r="C9" s="5">
        <v>12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3" s="6" customFormat="1" x14ac:dyDescent="0.2">
      <c r="A10" t="s">
        <v>28</v>
      </c>
      <c r="B10" t="s">
        <v>29</v>
      </c>
      <c r="C10">
        <v>13</v>
      </c>
      <c r="E10" s="6">
        <v>4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3" s="6" customFormat="1" x14ac:dyDescent="0.2">
      <c r="A11" s="8" t="s">
        <v>30</v>
      </c>
      <c r="B11" s="8" t="s">
        <v>31</v>
      </c>
      <c r="C11" s="8">
        <v>15</v>
      </c>
      <c r="D11" s="5"/>
      <c r="E11" s="5">
        <v>3</v>
      </c>
      <c r="F11" s="5"/>
      <c r="G11" s="5"/>
      <c r="H11" s="5">
        <v>0</v>
      </c>
      <c r="I11" s="5"/>
      <c r="J11" s="5"/>
      <c r="K11" s="5">
        <v>4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3" s="6" customFormat="1" x14ac:dyDescent="0.2">
      <c r="A12" t="s">
        <v>32</v>
      </c>
      <c r="B12" t="s">
        <v>33</v>
      </c>
      <c r="C12">
        <v>21</v>
      </c>
      <c r="E12" s="6">
        <v>3</v>
      </c>
      <c r="H12" s="6">
        <v>1</v>
      </c>
      <c r="K12" s="6">
        <v>3</v>
      </c>
      <c r="N12" s="6">
        <v>0</v>
      </c>
      <c r="Q12" s="6">
        <v>0</v>
      </c>
      <c r="T12" s="6">
        <v>0</v>
      </c>
    </row>
    <row r="13" spans="1:23" s="6" customFormat="1" x14ac:dyDescent="0.2">
      <c r="A13" s="5" t="s">
        <v>34</v>
      </c>
      <c r="B13" s="5" t="s">
        <v>35</v>
      </c>
      <c r="C13" s="5">
        <v>24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3" s="6" customFormat="1" x14ac:dyDescent="0.2">
      <c r="A14" t="s">
        <v>36</v>
      </c>
      <c r="B14" t="s">
        <v>37</v>
      </c>
      <c r="C14">
        <v>30</v>
      </c>
      <c r="E14" s="6">
        <v>8</v>
      </c>
      <c r="H14" s="6">
        <v>1</v>
      </c>
      <c r="K14" s="6">
        <v>2</v>
      </c>
      <c r="N14" s="6">
        <v>0</v>
      </c>
      <c r="Q14" s="6">
        <v>0</v>
      </c>
      <c r="T14" s="6">
        <v>0</v>
      </c>
    </row>
    <row r="15" spans="1:23" s="6" customFormat="1" x14ac:dyDescent="0.2">
      <c r="A15" s="5" t="s">
        <v>4</v>
      </c>
      <c r="B15" s="5" t="s">
        <v>4</v>
      </c>
      <c r="C15" s="5"/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3" s="6" customFormat="1" x14ac:dyDescent="0.2">
      <c r="A16" t="s">
        <v>4</v>
      </c>
      <c r="B16" t="s">
        <v>4</v>
      </c>
      <c r="C16"/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3" s="6" customFormat="1" x14ac:dyDescent="0.2">
      <c r="A17" s="5" t="s">
        <v>4</v>
      </c>
      <c r="B17" s="5" t="s">
        <v>4</v>
      </c>
      <c r="C17" s="5"/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3" s="6" customFormat="1" x14ac:dyDescent="0.2">
      <c r="A18" t="s">
        <v>4</v>
      </c>
      <c r="B18" t="s">
        <v>4</v>
      </c>
      <c r="C18"/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3" s="6" customFormat="1" x14ac:dyDescent="0.2">
      <c r="A19" s="5" t="s">
        <v>4</v>
      </c>
      <c r="B19" s="5" t="s">
        <v>4</v>
      </c>
      <c r="C19" s="5"/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3" x14ac:dyDescent="0.2">
      <c r="E20">
        <f>SUM(E5:E19)</f>
        <v>20</v>
      </c>
      <c r="H20">
        <f>SUM(H5:H19)</f>
        <v>2</v>
      </c>
      <c r="K20">
        <f>SUM(K5:K19)</f>
        <v>9</v>
      </c>
      <c r="N20">
        <f>SUM(N5:N19)</f>
        <v>0</v>
      </c>
      <c r="Q20">
        <f>SUM(Q5:Q19)</f>
        <v>0</v>
      </c>
      <c r="T20">
        <f>SUM(T5:T19)</f>
        <v>0</v>
      </c>
    </row>
    <row r="21" spans="1:23" x14ac:dyDescent="0.2">
      <c r="A21" s="2" t="s">
        <v>11</v>
      </c>
      <c r="B21" s="1" t="s">
        <v>7</v>
      </c>
    </row>
    <row r="22" spans="1:23" x14ac:dyDescent="0.2">
      <c r="A22" t="s">
        <v>2</v>
      </c>
      <c r="B22" t="s">
        <v>3</v>
      </c>
      <c r="C22" t="s">
        <v>0</v>
      </c>
      <c r="E22" t="s">
        <v>12</v>
      </c>
      <c r="H22" t="s">
        <v>13</v>
      </c>
      <c r="K22" t="s">
        <v>14</v>
      </c>
    </row>
    <row r="23" spans="1:23" s="6" customFormat="1" x14ac:dyDescent="0.2">
      <c r="A23" s="5" t="s">
        <v>38</v>
      </c>
      <c r="B23" s="5" t="s">
        <v>39</v>
      </c>
      <c r="C23" s="5">
        <v>0</v>
      </c>
      <c r="D23" s="5"/>
      <c r="E23" s="5">
        <v>3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W23" s="6" t="s">
        <v>16</v>
      </c>
    </row>
    <row r="24" spans="1:23" s="6" customFormat="1" x14ac:dyDescent="0.2">
      <c r="A24" t="s">
        <v>40</v>
      </c>
      <c r="B24" t="s">
        <v>41</v>
      </c>
      <c r="C24">
        <v>1</v>
      </c>
      <c r="E24" s="6">
        <v>2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3" s="6" customFormat="1" x14ac:dyDescent="0.2">
      <c r="A25" s="5" t="s">
        <v>42</v>
      </c>
      <c r="B25" s="5" t="s">
        <v>43</v>
      </c>
      <c r="C25" s="5">
        <v>2</v>
      </c>
      <c r="D25" s="5"/>
      <c r="E25" s="5">
        <v>2</v>
      </c>
      <c r="F25" s="5"/>
      <c r="G25" s="5"/>
      <c r="H25" s="5">
        <v>0</v>
      </c>
      <c r="I25" s="5"/>
      <c r="J25" s="5"/>
      <c r="K25" s="5">
        <v>3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3" s="6" customFormat="1" x14ac:dyDescent="0.2">
      <c r="A26" t="s">
        <v>44</v>
      </c>
      <c r="B26" t="s">
        <v>45</v>
      </c>
      <c r="C26">
        <v>5</v>
      </c>
      <c r="E26" s="6">
        <v>0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3" s="6" customFormat="1" x14ac:dyDescent="0.2">
      <c r="A27" s="7" t="s">
        <v>46</v>
      </c>
      <c r="B27" s="7" t="s">
        <v>33</v>
      </c>
      <c r="C27" s="7">
        <v>9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3" s="6" customFormat="1" x14ac:dyDescent="0.2">
      <c r="A28" t="s">
        <v>47</v>
      </c>
      <c r="B28" t="s">
        <v>48</v>
      </c>
      <c r="C28">
        <v>9</v>
      </c>
      <c r="E28" s="6">
        <v>2</v>
      </c>
      <c r="H28" s="6">
        <v>1</v>
      </c>
      <c r="K28" s="6">
        <v>5</v>
      </c>
      <c r="N28" s="6">
        <v>0</v>
      </c>
      <c r="Q28" s="6">
        <v>0</v>
      </c>
      <c r="T28" s="6">
        <v>0</v>
      </c>
    </row>
    <row r="29" spans="1:23" s="6" customFormat="1" x14ac:dyDescent="0.2">
      <c r="A29" s="5" t="s">
        <v>49</v>
      </c>
      <c r="B29" s="5" t="s">
        <v>50</v>
      </c>
      <c r="C29" s="5">
        <v>12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1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3" s="6" customFormat="1" x14ac:dyDescent="0.2">
      <c r="A30" t="s">
        <v>51</v>
      </c>
      <c r="B30" t="s">
        <v>52</v>
      </c>
      <c r="C30">
        <v>13</v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3" s="6" customFormat="1" x14ac:dyDescent="0.2">
      <c r="A31" s="5" t="s">
        <v>53</v>
      </c>
      <c r="B31" s="5" t="s">
        <v>54</v>
      </c>
      <c r="C31" s="5">
        <v>15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3" s="6" customFormat="1" x14ac:dyDescent="0.2">
      <c r="A32" t="s">
        <v>55</v>
      </c>
      <c r="B32" t="s">
        <v>56</v>
      </c>
      <c r="C32">
        <v>21</v>
      </c>
      <c r="E32" s="6">
        <v>1</v>
      </c>
      <c r="H32" s="6">
        <v>0</v>
      </c>
      <c r="K32" s="6">
        <v>1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">
        <v>57</v>
      </c>
      <c r="B33" s="5" t="s">
        <v>58</v>
      </c>
      <c r="C33" s="5">
        <v>22</v>
      </c>
      <c r="D33" s="5"/>
      <c r="E33" s="5">
        <v>1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t="s">
        <v>59</v>
      </c>
      <c r="B34" t="s">
        <v>60</v>
      </c>
      <c r="C34">
        <v>23</v>
      </c>
      <c r="D34"/>
      <c r="E34" s="6">
        <v>1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">
        <v>61</v>
      </c>
      <c r="B35" s="5" t="s">
        <v>62</v>
      </c>
      <c r="C35" s="5">
        <v>31</v>
      </c>
      <c r="D35" s="5"/>
      <c r="E35" s="5">
        <v>1</v>
      </c>
      <c r="F35" s="5"/>
      <c r="G35" s="5"/>
      <c r="H35" s="5">
        <v>0</v>
      </c>
      <c r="I35" s="5"/>
      <c r="J35" s="5"/>
      <c r="K35" s="5">
        <v>1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t="s">
        <v>4</v>
      </c>
      <c r="B36" t="s">
        <v>4</v>
      </c>
      <c r="C36"/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">
        <v>4</v>
      </c>
      <c r="B37" s="5" t="s">
        <v>4</v>
      </c>
      <c r="C37" s="5"/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13</v>
      </c>
      <c r="H38">
        <f>SUM(H23:H37)</f>
        <v>1</v>
      </c>
      <c r="K38">
        <f>SUM(K23:K37)</f>
        <v>11</v>
      </c>
      <c r="N38">
        <f>SUM(N23:N37)</f>
        <v>0</v>
      </c>
      <c r="Q38">
        <f>SUM(Q23:Q37)</f>
        <v>0</v>
      </c>
      <c r="T38">
        <f>SUM(T23:T37)</f>
        <v>0</v>
      </c>
    </row>
  </sheetData>
  <dataValidations count="1">
    <dataValidation type="list" allowBlank="1" showInputMessage="1" showErrorMessage="1" sqref="B3 B21" xr:uid="{C0688EB3-74DB-9949-A8A7-34166CC2C504}">
      <formula1>$A$1:$C$1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1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1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1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1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1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1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1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1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1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1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1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1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1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1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1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1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1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1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1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1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1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1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1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1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1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1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1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1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1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1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1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1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1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1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1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1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1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1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1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1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1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1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1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1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1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1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1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1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1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1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1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1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1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1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1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1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1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1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1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1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1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1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1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1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1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1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1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1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1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1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1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1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1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1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1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1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1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1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1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1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1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1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1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1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1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1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1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1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1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1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1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1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1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1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1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1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1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1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1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1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1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1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1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1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1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1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1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1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1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1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1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1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1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1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1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1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1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1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1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1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1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1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1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1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1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1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1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1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1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1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1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1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1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1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1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1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1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1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1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1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1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1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1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1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1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1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1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1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1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1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1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1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1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1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1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1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1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1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1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1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1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1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1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1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1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1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1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1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1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1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1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1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1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1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1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1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1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1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1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1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1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1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1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1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1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1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1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1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1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1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1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1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1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1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1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1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1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1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1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1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1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1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1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1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1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1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1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1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1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1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1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1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1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1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1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1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1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1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1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1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1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1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1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1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1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1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1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1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1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1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1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1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1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1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1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1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1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1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1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1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1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1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1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1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1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1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1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1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1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1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1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1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1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1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1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1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1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1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1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1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1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1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1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1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1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1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1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1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1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1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1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1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1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1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1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1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1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1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1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1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1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1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1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1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1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1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1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1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1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1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1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1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1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1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1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1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1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1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1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1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1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1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1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1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1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1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1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1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1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1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1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1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1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1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1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1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1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1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1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1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1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1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1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1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1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1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1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1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1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1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1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1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1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1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1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1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1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1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1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1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1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1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1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1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1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1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1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1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1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1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1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1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1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1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1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1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1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1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1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1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1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1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1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1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1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1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1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1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1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1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1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1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1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1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1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1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1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1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1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1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1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1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1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1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1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1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1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1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1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1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1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1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1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1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1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1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G2 Box Score</vt:lpstr>
      <vt:lpstr>Stats G2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2021-06-30T22:10:26Z</dcterms:modified>
</cp:coreProperties>
</file>