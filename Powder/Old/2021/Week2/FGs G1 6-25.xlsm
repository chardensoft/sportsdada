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2/"/>
    </mc:Choice>
  </mc:AlternateContent>
  <xr:revisionPtr revIDLastSave="0" documentId="13_ncr:1_{FAC18A97-EB9D-CB46-9850-A0AF8E7C838D}" xr6:coauthVersionLast="47" xr6:coauthVersionMax="47" xr10:uidLastSave="{00000000-0000-0000-0000-000000000000}"/>
  <bookViews>
    <workbookView xWindow="5760" yWindow="3400" windowWidth="17280" windowHeight="8960" xr2:uid="{EE0D2CFE-D8D2-0843-8E19-49493B39F60E}"/>
  </bookViews>
  <sheets>
    <sheet name="G1 Box Score" sheetId="2" r:id="rId1"/>
    <sheet name="Stats G1" sheetId="1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3" i="2" l="1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H36" i="2"/>
  <c r="G36" i="2"/>
  <c r="F36" i="2"/>
  <c r="H35" i="2"/>
  <c r="G35" i="2"/>
  <c r="F35" i="2"/>
  <c r="H34" i="2"/>
  <c r="G34" i="2"/>
  <c r="F34" i="2"/>
  <c r="H33" i="2"/>
  <c r="G33" i="2"/>
  <c r="F33" i="2"/>
  <c r="H32" i="2"/>
  <c r="G32" i="2"/>
  <c r="F32" i="2"/>
  <c r="H31" i="2"/>
  <c r="G31" i="2"/>
  <c r="F31" i="2"/>
  <c r="H30" i="2"/>
  <c r="G30" i="2"/>
  <c r="F30" i="2"/>
  <c r="H29" i="2"/>
  <c r="G29" i="2"/>
  <c r="F29" i="2"/>
  <c r="H28" i="2"/>
  <c r="G28" i="2"/>
  <c r="F28" i="2"/>
  <c r="H27" i="2"/>
  <c r="G27" i="2"/>
  <c r="F27" i="2"/>
  <c r="H26" i="2"/>
  <c r="G26" i="2"/>
  <c r="F26" i="2"/>
  <c r="H25" i="2"/>
  <c r="G25" i="2"/>
  <c r="F25" i="2"/>
  <c r="H24" i="2"/>
  <c r="G24" i="2"/>
  <c r="F24" i="2"/>
  <c r="H23" i="2"/>
  <c r="G23" i="2"/>
  <c r="F23" i="2"/>
  <c r="H22" i="2"/>
  <c r="G22" i="2"/>
  <c r="F22" i="2"/>
  <c r="H17" i="2"/>
  <c r="G17" i="2"/>
  <c r="F17" i="2"/>
  <c r="H16" i="2"/>
  <c r="G16" i="2"/>
  <c r="F16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K37" i="2" l="1"/>
  <c r="I37" i="2"/>
  <c r="D3" i="2" s="1"/>
  <c r="L18" i="2"/>
  <c r="K18" i="2"/>
  <c r="L37" i="2"/>
  <c r="J37" i="2"/>
  <c r="J18" i="2"/>
  <c r="I18" i="2"/>
  <c r="B3" i="2" s="1"/>
  <c r="H3" i="2"/>
  <c r="G3" i="2"/>
  <c r="F3" i="2"/>
</calcChain>
</file>

<file path=xl/sharedStrings.xml><?xml version="1.0" encoding="utf-8"?>
<sst xmlns="http://schemas.openxmlformats.org/spreadsheetml/2006/main" count="109" uniqueCount="64">
  <si>
    <t>#</t>
  </si>
  <si>
    <t>Select</t>
  </si>
  <si>
    <t>First</t>
  </si>
  <si>
    <t>Last</t>
  </si>
  <si>
    <t>2PA</t>
  </si>
  <si>
    <t>2PM</t>
  </si>
  <si>
    <t>3PA</t>
  </si>
  <si>
    <t>3PM</t>
  </si>
  <si>
    <t>FTA</t>
  </si>
  <si>
    <t>FTM</t>
  </si>
  <si>
    <t>?</t>
  </si>
  <si>
    <t>Home Team (Gray)</t>
  </si>
  <si>
    <t>Home (Gray)</t>
  </si>
  <si>
    <t>Away (Black)</t>
  </si>
  <si>
    <t>FG</t>
  </si>
  <si>
    <t>3PT</t>
  </si>
  <si>
    <t>FT</t>
  </si>
  <si>
    <t>Away Team (Black)</t>
  </si>
  <si>
    <t>Total:</t>
  </si>
  <si>
    <t>Gray</t>
  </si>
  <si>
    <t>Black</t>
  </si>
  <si>
    <t>-</t>
  </si>
  <si>
    <t>Gray Team</t>
  </si>
  <si>
    <t>Black Team</t>
  </si>
  <si>
    <t>GAME 1</t>
  </si>
  <si>
    <t>Neema</t>
  </si>
  <si>
    <t>Namdar</t>
  </si>
  <si>
    <t xml:space="preserve">Sam </t>
  </si>
  <si>
    <t>Velez</t>
  </si>
  <si>
    <t xml:space="preserve">Tyus </t>
  </si>
  <si>
    <t>Jefferson</t>
  </si>
  <si>
    <t>Frank</t>
  </si>
  <si>
    <t>Jackson</t>
  </si>
  <si>
    <t>Trey</t>
  </si>
  <si>
    <t>Kennedy</t>
  </si>
  <si>
    <t>Will</t>
  </si>
  <si>
    <t>Joyce</t>
  </si>
  <si>
    <t>Jael</t>
  </si>
  <si>
    <t>Vaught</t>
  </si>
  <si>
    <t>Fardaws</t>
  </si>
  <si>
    <t>Aimaq</t>
  </si>
  <si>
    <t>Yoeli</t>
  </si>
  <si>
    <t>Childs</t>
  </si>
  <si>
    <t>Nicholas</t>
  </si>
  <si>
    <t>Paulos</t>
  </si>
  <si>
    <t>Zac</t>
  </si>
  <si>
    <t>Seljaas</t>
  </si>
  <si>
    <t>Sam</t>
  </si>
  <si>
    <t>Orchard</t>
  </si>
  <si>
    <t>Merril</t>
  </si>
  <si>
    <t>Parker</t>
  </si>
  <si>
    <t>Van Dyke</t>
  </si>
  <si>
    <t>Riley</t>
  </si>
  <si>
    <t>Battin</t>
  </si>
  <si>
    <t>Danny</t>
  </si>
  <si>
    <t>Berger</t>
  </si>
  <si>
    <t>Peter</t>
  </si>
  <si>
    <t>Brown</t>
  </si>
  <si>
    <t>Jalen</t>
  </si>
  <si>
    <t>Moore</t>
  </si>
  <si>
    <t>Zavon</t>
  </si>
  <si>
    <t>Sean</t>
  </si>
  <si>
    <t>Harris</t>
  </si>
  <si>
    <t>PTS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</si>
</sst>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4" fillId="2" borderId="0" xfId="0" applyFont="1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arden/Library/Containers/com.microsoft.Excel/Data/Documents/FGs%20G1%206: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"/>
    </sheetNames>
    <definedNames>
      <definedName name="Button0_Click"/>
      <definedName name="Button00_Click"/>
      <definedName name="Button01_Click"/>
      <definedName name="Button010_Click"/>
      <definedName name="Button011_Click"/>
      <definedName name="Button02_Click"/>
      <definedName name="Button03_Click"/>
      <definedName name="Button04_Click"/>
      <definedName name="Button05_Click"/>
      <definedName name="Button06_Click"/>
      <definedName name="Button07_Click"/>
      <definedName name="Button08_Click"/>
      <definedName name="Button09_Click"/>
      <definedName name="Button1_Click"/>
      <definedName name="Button10_Click"/>
      <definedName name="Button100_Click"/>
      <definedName name="Button101_Click"/>
      <definedName name="Button102_Click"/>
      <definedName name="Button103_Click"/>
      <definedName name="Button104_Click"/>
      <definedName name="Button105_Click"/>
      <definedName name="Button106_Click"/>
      <definedName name="Button107_Click"/>
      <definedName name="Button108_Click"/>
      <definedName name="Button109_Click"/>
      <definedName name="Button11_Click"/>
      <definedName name="Button110_Click"/>
      <definedName name="Button111_Click"/>
      <definedName name="Button112_Click"/>
      <definedName name="Button113_Click"/>
      <definedName name="Button114_Click"/>
      <definedName name="Button115_Click"/>
      <definedName name="Button116_Click"/>
      <definedName name="Button117_Click"/>
      <definedName name="Button118_Click"/>
      <definedName name="Button119_Click"/>
      <definedName name="Button12_Click"/>
      <definedName name="Button120_Click"/>
      <definedName name="Button121_Click"/>
      <definedName name="Button122_Click"/>
      <definedName name="Button123_Click"/>
      <definedName name="Button124_Click"/>
      <definedName name="Button125_Click"/>
      <definedName name="Button126_Click"/>
      <definedName name="Button127_Click"/>
      <definedName name="Button128_Click"/>
      <definedName name="Button129_Click"/>
      <definedName name="Button13_Click"/>
      <definedName name="Button130_Click"/>
      <definedName name="Button131_Click"/>
      <definedName name="Button132_Click"/>
      <definedName name="Button133_Click"/>
      <definedName name="Button134_Click"/>
      <definedName name="Button135_Click"/>
      <definedName name="Button136_Click"/>
      <definedName name="Button137_Click"/>
      <definedName name="Button138_Click"/>
      <definedName name="Button139_Click"/>
      <definedName name="Button14_Click"/>
      <definedName name="Button140_Click"/>
      <definedName name="Button141_Click"/>
      <definedName name="Button142_Click"/>
      <definedName name="Button143_Click"/>
      <definedName name="Button144_Click"/>
      <definedName name="Button145_Click"/>
      <definedName name="Button146_Click"/>
      <definedName name="Button147_Click"/>
      <definedName name="Button148_Click"/>
      <definedName name="Button149_Click"/>
      <definedName name="Button15_Click"/>
      <definedName name="Button150_Click"/>
      <definedName name="Button151_Click"/>
      <definedName name="Button152_Click"/>
      <definedName name="Button153_Click"/>
      <definedName name="Button154_Click"/>
      <definedName name="Button155_Click"/>
      <definedName name="Button156_Click"/>
      <definedName name="Button157_Click"/>
      <definedName name="Button158_Click"/>
      <definedName name="Button159_Click"/>
      <definedName name="Button16_Click"/>
      <definedName name="Button160_Click"/>
      <definedName name="Button161_Click"/>
      <definedName name="Button162_Click"/>
      <definedName name="Button163_Click"/>
      <definedName name="Button164_Click"/>
      <definedName name="Button165_Click"/>
      <definedName name="Button166_Click"/>
      <definedName name="Button167_Click"/>
      <definedName name="Button168_Click"/>
      <definedName name="Button169_Click"/>
      <definedName name="Button17_Click"/>
      <definedName name="Button170_Click"/>
      <definedName name="Button171_Click"/>
      <definedName name="Button172_Click"/>
      <definedName name="Button173_Click"/>
      <definedName name="Button174_Click"/>
      <definedName name="Button175_Click"/>
      <definedName name="Button176_Click"/>
      <definedName name="Button177_Click"/>
      <definedName name="Button178_Click"/>
      <definedName name="Button179_Click"/>
      <definedName name="Button180_Click"/>
      <definedName name="Button181_Click"/>
      <definedName name="Button182_Click"/>
      <definedName name="Button183_Click"/>
      <definedName name="Button184_Click"/>
      <definedName name="Button185_Click"/>
      <definedName name="Button2_Click"/>
      <definedName name="Button2100_Click"/>
      <definedName name="Button2101_Click"/>
      <definedName name="Button2102_Click"/>
      <definedName name="Button2103_Click"/>
      <definedName name="Button2104_Click"/>
      <definedName name="Button2105_Click"/>
      <definedName name="Button2106_Click"/>
      <definedName name="Button2107_Click"/>
      <definedName name="Button2108_Click"/>
      <definedName name="Button2109_Click"/>
      <definedName name="Button2110_Click"/>
      <definedName name="Button2111_Click"/>
      <definedName name="Button2112_Click"/>
      <definedName name="Button2113_Click"/>
      <definedName name="Button2114_Click"/>
      <definedName name="Button2115_Click"/>
      <definedName name="Button2116_Click"/>
      <definedName name="Button2117_Click"/>
      <definedName name="Button2118_Click"/>
      <definedName name="Button2119_Click"/>
      <definedName name="Button2120_Click"/>
      <definedName name="Button2121_Click"/>
      <definedName name="Button2122_Click"/>
      <definedName name="Button2123_Click"/>
      <definedName name="Button2124_Click"/>
      <definedName name="Button2125_Click"/>
      <definedName name="Button2126_Click"/>
      <definedName name="Button2127_Click"/>
      <definedName name="Button2128_Click"/>
      <definedName name="Button2129_Click"/>
      <definedName name="Button2130_Click"/>
      <definedName name="Button2131_Click"/>
      <definedName name="Button2132_Click"/>
      <definedName name="Button2133_Click"/>
      <definedName name="Button2134_Click"/>
      <definedName name="Button2135_Click"/>
      <definedName name="Button2136_Click"/>
      <definedName name="Button2137_Click"/>
      <definedName name="Button2138_Click"/>
      <definedName name="Button2139_Click"/>
      <definedName name="Button2140_Click"/>
      <definedName name="Button2141_Click"/>
      <definedName name="Button2142_Click"/>
      <definedName name="Button2143_Click"/>
      <definedName name="Button2144_Click"/>
      <definedName name="Button2145_Click"/>
      <definedName name="Button2146_Click"/>
      <definedName name="Button2147_Click"/>
      <definedName name="Button2148_Click"/>
      <definedName name="Button2149_Click"/>
      <definedName name="Button2150_Click"/>
      <definedName name="Button2151_Click"/>
      <definedName name="Button2152_Click"/>
      <definedName name="Button2153_Click"/>
      <definedName name="Button2154_Click"/>
      <definedName name="Button2155_Click"/>
      <definedName name="Button2156_Click"/>
      <definedName name="Button2157_Click"/>
      <definedName name="Button2158_Click"/>
      <definedName name="Button2159_Click"/>
      <definedName name="Button2160_Click"/>
      <definedName name="Button2161_Click"/>
      <definedName name="Button2162_Click"/>
      <definedName name="Button2163_Click"/>
      <definedName name="Button2164_Click"/>
      <definedName name="Button2165_Click"/>
      <definedName name="Button2166_Click"/>
      <definedName name="Button2167_Click"/>
      <definedName name="Button2168_Click"/>
      <definedName name="Button2169_Click"/>
      <definedName name="Button2170_Click"/>
      <definedName name="Button2171_Click"/>
      <definedName name="Button2172_Click"/>
      <definedName name="Button2173_Click"/>
      <definedName name="Button2174_Click"/>
      <definedName name="Button2175_Click"/>
      <definedName name="Button2176_Click"/>
      <definedName name="Button2177_Click"/>
      <definedName name="Button2178_Click"/>
      <definedName name="Button2179_Click"/>
      <definedName name="Button2210_Click"/>
      <definedName name="Button2211_Click"/>
      <definedName name="Button2212_Click"/>
      <definedName name="Button2213_Click"/>
      <definedName name="Button2214_Click"/>
      <definedName name="Button2215_Click"/>
      <definedName name="Button2216_Click"/>
      <definedName name="Button2217_Click"/>
      <definedName name="Button2218_Click"/>
      <definedName name="Button2219_Click"/>
      <definedName name="Button2220_Click"/>
      <definedName name="Button2221_Click"/>
      <definedName name="Button2222_Click"/>
      <definedName name="Button2223_Click"/>
      <definedName name="Button2224_Click"/>
      <definedName name="Button2225_Click"/>
      <definedName name="Button2226_Click"/>
      <definedName name="Button2227_Click"/>
      <definedName name="Button2228_Click"/>
      <definedName name="Button2229_Click"/>
      <definedName name="Button2230_Click"/>
      <definedName name="Button2231_Click"/>
      <definedName name="Button2232_Click"/>
      <definedName name="Button2233_Click"/>
      <definedName name="Button2234_Click"/>
      <definedName name="Button2235_Click"/>
      <definedName name="Button2236_Click"/>
      <definedName name="Button2237_Click"/>
      <definedName name="Button2238_Click"/>
      <definedName name="Button2239_Click"/>
      <definedName name="Button2240_Click"/>
      <definedName name="Button2241_Click"/>
      <definedName name="Button2242_Click"/>
      <definedName name="Button2243_Click"/>
      <definedName name="Button2244_Click"/>
      <definedName name="Button2245_Click"/>
      <definedName name="Button2246_Click"/>
      <definedName name="Button2247_Click"/>
      <definedName name="Button2248_Click"/>
      <definedName name="Button2249_Click"/>
      <definedName name="Button2250_Click"/>
      <definedName name="Button2251_Click"/>
      <definedName name="Button2252_Click"/>
      <definedName name="Button2253_Click"/>
      <definedName name="Button2254_Click"/>
      <definedName name="Button2255_Click"/>
      <definedName name="Button2256_Click"/>
      <definedName name="Button2257_Click"/>
      <definedName name="Button2258_Click"/>
      <definedName name="Button2259_Click"/>
      <definedName name="Button226_Click"/>
      <definedName name="Button2260_Click"/>
      <definedName name="Button2261_Click"/>
      <definedName name="Button2262_Click"/>
      <definedName name="Button2263_Click"/>
      <definedName name="Button2264_Click"/>
      <definedName name="Button2265_Click"/>
      <definedName name="Button2266_Click"/>
      <definedName name="Button2267_Click"/>
      <definedName name="Button2268_Click"/>
      <definedName name="Button2269_Click"/>
      <definedName name="Button227_Click"/>
      <definedName name="Button2270_Click"/>
      <definedName name="Button2271_Click"/>
      <definedName name="Button2272_Click"/>
      <definedName name="Button2273_Click"/>
      <definedName name="Button2274_Click"/>
      <definedName name="Button2275_Click"/>
      <definedName name="Button2276_Click"/>
      <definedName name="Button2277_Click"/>
      <definedName name="Button2278_Click"/>
      <definedName name="Button2279_Click"/>
      <definedName name="Button228_Click"/>
      <definedName name="Button2280_Click"/>
      <definedName name="Button2281_Click"/>
      <definedName name="Button2282_Click"/>
      <definedName name="Button2283_Click"/>
      <definedName name="Button2284_Click"/>
      <definedName name="Button2285_Click"/>
      <definedName name="Button2286_Click"/>
      <definedName name="Button2287_Click"/>
      <definedName name="Button2288_Click"/>
      <definedName name="Button2289_Click"/>
      <definedName name="Button229_Click"/>
      <definedName name="Button2290_Click"/>
      <definedName name="Button2291_Click"/>
      <definedName name="Button2292_Click"/>
      <definedName name="Button2293_Click"/>
      <definedName name="Button2294_Click"/>
      <definedName name="Button2295_Click"/>
      <definedName name="Button2296_Click"/>
      <definedName name="Button2297_Click"/>
      <definedName name="Button2298_Click"/>
      <definedName name="Button2299_Click"/>
      <definedName name="Button24_Click"/>
      <definedName name="Button25_Click"/>
      <definedName name="Button26_Click"/>
      <definedName name="Button27_Click"/>
      <definedName name="Button28_Click"/>
      <definedName name="Button29_Click"/>
      <definedName name="Button3_Click"/>
      <definedName name="Button30_Click"/>
      <definedName name="Button31_Click"/>
      <definedName name="Button32_Click"/>
      <definedName name="Button33_Click"/>
      <definedName name="Button34_Click"/>
      <definedName name="Button35_Click"/>
      <definedName name="Button36_Click"/>
      <definedName name="Button37_Click"/>
      <definedName name="Button38_Click"/>
      <definedName name="Button39_Click"/>
      <definedName name="Button4_Click"/>
      <definedName name="Button40_Click"/>
      <definedName name="Button41_Click"/>
      <definedName name="Button42_Click"/>
      <definedName name="Button43_Click"/>
      <definedName name="Button44_Click"/>
      <definedName name="Button45_Click"/>
      <definedName name="Button46_Click"/>
      <definedName name="Button47_Click"/>
      <definedName name="Button48_Click"/>
      <definedName name="Button49_Click"/>
      <definedName name="Button5_Click"/>
      <definedName name="Button50_Click"/>
      <definedName name="Button51_Click"/>
      <definedName name="Button52_Click"/>
      <definedName name="Button53_Click"/>
      <definedName name="Button54_Click"/>
      <definedName name="Button55_Click"/>
      <definedName name="Button56_Click"/>
      <definedName name="Button57_Click"/>
      <definedName name="Button58_Click"/>
      <definedName name="Button59_Click"/>
      <definedName name="Button6_Click"/>
      <definedName name="Button60_Click"/>
      <definedName name="Button61_Click"/>
      <definedName name="Button62_Click"/>
      <definedName name="Button63_Click"/>
      <definedName name="Button64_Click"/>
      <definedName name="Button65_Click"/>
      <definedName name="Button66_Click"/>
      <definedName name="Button67_Click"/>
      <definedName name="Button68_Click"/>
      <definedName name="Button69_Click"/>
      <definedName name="Button7_Click"/>
      <definedName name="Button70_Click"/>
      <definedName name="Button71_Click"/>
      <definedName name="Button72_Click"/>
      <definedName name="Button73_Click"/>
      <definedName name="Button74_Click"/>
      <definedName name="Button75_Click"/>
      <definedName name="Button76_Click"/>
      <definedName name="Button77_Click"/>
      <definedName name="Button78_Click"/>
      <definedName name="Button79_Click"/>
      <definedName name="Button8_Click"/>
      <definedName name="Button80_Click"/>
      <definedName name="Button81_Click"/>
      <definedName name="Button82_Click"/>
      <definedName name="Button83_Click"/>
      <definedName name="Button84_Click"/>
      <definedName name="Button85_Click"/>
      <definedName name="Button86_Click"/>
      <definedName name="Button87_Click"/>
      <definedName name="Button88_Click"/>
      <definedName name="Button89_Click"/>
      <definedName name="Button9_Click"/>
      <definedName name="Button90_Click"/>
      <definedName name="Button91_Click"/>
      <definedName name="Button92_Click"/>
      <definedName name="Button93_Click"/>
      <definedName name="Button94_Click"/>
      <definedName name="Button95_Click"/>
      <definedName name="Button96_Click"/>
      <definedName name="Button97_Click"/>
      <definedName name="Button98_Click"/>
      <definedName name="Button99_Click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A10" workbookViewId="0">
      <selection activeCell="G21" sqref="G21"/>
    </sheetView>
  </sheetViews>
  <sheetFormatPr baseColWidth="10" defaultColWidth="11.1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24</v>
      </c>
      <c r="F1" t="s">
        <v>11</v>
      </c>
      <c r="G1" t="s">
        <v>55</v>
      </c>
    </row>
    <row r="2" spans="2:12" x14ac:dyDescent="0.2">
      <c r="B2" t="s">
        <v>19</v>
      </c>
      <c r="D2" t="s">
        <v>20</v>
      </c>
      <c r="F2" t="s">
        <v>2</v>
      </c>
      <c r="G2" t="s">
        <v>3</v>
      </c>
      <c r="H2" t="s">
        <v>0</v>
      </c>
      <c r="I2" t="s">
        <v>63</v>
      </c>
      <c r="J2" t="s">
        <v>14</v>
      </c>
      <c r="K2" t="s">
        <v>15</v>
      </c>
      <c r="L2" t="s">
        <v>16</v>
      </c>
    </row>
    <row r="3" spans="2:12" x14ac:dyDescent="0.2">
      <c r="B3">
        <f>I18</f>
        <v>120</v>
      </c>
      <c r="C3" s="3" t="s">
        <v>21</v>
      </c>
      <c r="D3" s="4">
        <f>I37</f>
        <v>111</v>
      </c>
      <c r="F3" t="str">
        <f>'Stats G1'!A5</f>
        <v>Sam</v>
      </c>
      <c r="G3" t="str">
        <f>'Stats G1'!B5</f>
        <v>Orchard</v>
      </c>
      <c r="H3">
        <f>'Stats G1'!C5</f>
        <v>3</v>
      </c>
      <c r="I3">
        <f>'Stats G1'!H5*2+'Stats G1'!N5*3+'Stats G1'!T5</f>
        <v>15</v>
      </c>
      <c r="J3" t="str">
        <f>SUM('Stats G1'!N5+'Stats G1'!H5)&amp;"-"&amp;SUM('Stats G1'!E5+'Stats G1'!K5)</f>
        <v>6-11</v>
      </c>
      <c r="K3" t="str">
        <f>SUM('Stats G1'!N5)&amp;"-"&amp;SUM('Stats G1'!K5)</f>
        <v>1-3</v>
      </c>
      <c r="L3" t="str">
        <f>SUM('Stats G1'!T5)&amp;"-"&amp;SUM('Stats G1'!Q5)</f>
        <v>2-2</v>
      </c>
    </row>
    <row r="4" spans="2:12" x14ac:dyDescent="0.2">
      <c r="F4" t="str">
        <f>'Stats G1'!A6</f>
        <v>Sam</v>
      </c>
      <c r="G4" t="str">
        <f>'Stats G1'!B6</f>
        <v>Merril</v>
      </c>
      <c r="H4">
        <f>'Stats G1'!C6</f>
        <v>5</v>
      </c>
      <c r="I4">
        <f>'Stats G1'!H6*2+'Stats G1'!N6*3+'Stats G1'!T6</f>
        <v>12</v>
      </c>
      <c r="J4" t="str">
        <f>SUM('Stats G1'!N6+'Stats G1'!H6)&amp;"-"&amp;SUM('Stats G1'!E6+'Stats G1'!K6)</f>
        <v>4-11</v>
      </c>
      <c r="K4" t="str">
        <f>SUM('Stats G1'!N6)&amp;"-"&amp;SUM('Stats G1'!K6)</f>
        <v>1-5</v>
      </c>
      <c r="L4" t="str">
        <f>SUM('Stats G1'!T6)&amp;"-"&amp;SUM('Stats G1'!Q6)</f>
        <v>3-3</v>
      </c>
    </row>
    <row r="5" spans="2:12" x14ac:dyDescent="0.2">
      <c r="F5" t="str">
        <f>'Stats G1'!A7</f>
        <v>Parker</v>
      </c>
      <c r="G5" t="str">
        <f>'Stats G1'!B7</f>
        <v>Van Dyke</v>
      </c>
      <c r="H5">
        <f>'Stats G1'!C7</f>
        <v>7</v>
      </c>
      <c r="I5">
        <f>'Stats G1'!H7*2+'Stats G1'!N7*3+'Stats G1'!T7</f>
        <v>36</v>
      </c>
      <c r="J5" t="str">
        <f>SUM('Stats G1'!N7+'Stats G1'!H7)&amp;"-"&amp;SUM('Stats G1'!E7+'Stats G1'!K7)</f>
        <v>14-25</v>
      </c>
      <c r="K5" t="str">
        <f>SUM('Stats G1'!N7)&amp;"-"&amp;SUM('Stats G1'!K7)</f>
        <v>4-10</v>
      </c>
      <c r="L5" t="str">
        <f>SUM('Stats G1'!T7)&amp;"-"&amp;SUM('Stats G1'!Q7)</f>
        <v>4-4</v>
      </c>
    </row>
    <row r="6" spans="2:12" x14ac:dyDescent="0.2">
      <c r="F6" t="str">
        <f>'Stats G1'!A8</f>
        <v>Riley</v>
      </c>
      <c r="G6" t="str">
        <f>'Stats G1'!B8</f>
        <v>Battin</v>
      </c>
      <c r="H6">
        <f>'Stats G1'!C8</f>
        <v>11</v>
      </c>
      <c r="I6">
        <f>'Stats G1'!H8*2+'Stats G1'!N8*3+'Stats G1'!T8</f>
        <v>30</v>
      </c>
      <c r="J6" t="str">
        <f>SUM('Stats G1'!N8+'Stats G1'!H8)&amp;"-"&amp;SUM('Stats G1'!E8+'Stats G1'!K8)</f>
        <v>13-28</v>
      </c>
      <c r="K6" t="str">
        <f>SUM('Stats G1'!N8)&amp;"-"&amp;SUM('Stats G1'!K8)</f>
        <v>1-8</v>
      </c>
      <c r="L6" t="str">
        <f>SUM('Stats G1'!T8)&amp;"-"&amp;SUM('Stats G1'!Q8)</f>
        <v>3-4</v>
      </c>
    </row>
    <row r="7" spans="2:12" x14ac:dyDescent="0.2">
      <c r="F7" t="str">
        <f>'Stats G1'!A9</f>
        <v>Danny</v>
      </c>
      <c r="G7" t="str">
        <f>'Stats G1'!B9</f>
        <v>Berger</v>
      </c>
      <c r="H7">
        <f>'Stats G1'!C9</f>
        <v>12</v>
      </c>
      <c r="I7">
        <f>'Stats G1'!H9*2+'Stats G1'!N9*3+'Stats G1'!T9</f>
        <v>0</v>
      </c>
      <c r="J7" t="str">
        <f>SUM('Stats G1'!N9+'Stats G1'!H9)&amp;"-"&amp;SUM('Stats G1'!E9+'Stats G1'!K9)</f>
        <v>0-0</v>
      </c>
      <c r="K7" t="str">
        <f>SUM('Stats G1'!N9)&amp;"-"&amp;SUM('Stats G1'!K9)</f>
        <v>0-0</v>
      </c>
      <c r="L7" t="str">
        <f>SUM('Stats G1'!T9)&amp;"-"&amp;SUM('Stats G1'!Q9)</f>
        <v>0-0</v>
      </c>
    </row>
    <row r="8" spans="2:12" x14ac:dyDescent="0.2">
      <c r="F8" t="str">
        <f>'Stats G1'!A10</f>
        <v>Peter</v>
      </c>
      <c r="G8" t="str">
        <f>'Stats G1'!B10</f>
        <v>Brown</v>
      </c>
      <c r="H8">
        <f>'Stats G1'!C10</f>
        <v>21</v>
      </c>
      <c r="I8">
        <f>'Stats G1'!H10*2+'Stats G1'!N10*3+'Stats G1'!T10</f>
        <v>2</v>
      </c>
      <c r="J8" t="str">
        <f>SUM('Stats G1'!N10+'Stats G1'!H10)&amp;"-"&amp;SUM('Stats G1'!E10+'Stats G1'!K10)</f>
        <v>1-3</v>
      </c>
      <c r="K8" t="str">
        <f>SUM('Stats G1'!N10)&amp;"-"&amp;SUM('Stats G1'!K10)</f>
        <v>0-1</v>
      </c>
      <c r="L8" t="str">
        <f>SUM('Stats G1'!T10)&amp;"-"&amp;SUM('Stats G1'!Q10)</f>
        <v>0-0</v>
      </c>
    </row>
    <row r="9" spans="2:12" x14ac:dyDescent="0.2">
      <c r="F9" t="str">
        <f>'Stats G1'!A11</f>
        <v>Jalen</v>
      </c>
      <c r="G9" t="str">
        <f>'Stats G1'!B11</f>
        <v>Moore</v>
      </c>
      <c r="H9">
        <f>'Stats G1'!C11</f>
        <v>21</v>
      </c>
      <c r="I9">
        <f>'Stats G1'!H11*2+'Stats G1'!N11*3+'Stats G1'!T11</f>
        <v>0</v>
      </c>
      <c r="J9" t="str">
        <f>SUM('Stats G1'!N11+'Stats G1'!H11)&amp;"-"&amp;SUM('Stats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</row>
    <row r="10" spans="2:12" x14ac:dyDescent="0.2">
      <c r="F10" t="str">
        <f>'Stats G1'!A12</f>
        <v>Zavon</v>
      </c>
      <c r="G10" t="str">
        <f>'Stats G1'!B12</f>
        <v>Jackson</v>
      </c>
      <c r="H10">
        <f>'Stats G1'!C12</f>
        <v>24</v>
      </c>
      <c r="I10">
        <f>'Stats G1'!H12*2+'Stats G1'!N12*3+'Stats G1'!T12</f>
        <v>18</v>
      </c>
      <c r="J10" t="str">
        <f>SUM('Stats G1'!N12+'Stats G1'!H12)&amp;"-"&amp;SUM('Stats G1'!E12+'Stats G1'!K12)</f>
        <v>7-9</v>
      </c>
      <c r="K10" t="str">
        <f>SUM('Stats G1'!N12)&amp;"-"&amp;SUM('Stats G1'!K12)</f>
        <v>0-1</v>
      </c>
      <c r="L10" t="str">
        <f>SUM('Stats G1'!T12)&amp;"-"&amp;SUM('Stats G1'!Q12)</f>
        <v>4-7</v>
      </c>
    </row>
    <row r="11" spans="2:12" x14ac:dyDescent="0.2">
      <c r="F11" t="str">
        <f>'Stats G1'!A13</f>
        <v>Sean</v>
      </c>
      <c r="G11" t="str">
        <f>'Stats G1'!B13</f>
        <v>Harris</v>
      </c>
      <c r="H11">
        <f>'Stats G1'!C13</f>
        <v>30</v>
      </c>
      <c r="I11">
        <f>'Stats G1'!H13*2+'Stats G1'!N13*3+'Stats G1'!T13</f>
        <v>7</v>
      </c>
      <c r="J11" t="str">
        <f>SUM('Stats G1'!N13+'Stats G1'!H13)&amp;"-"&amp;SUM('Stats G1'!E13+'Stats G1'!K13)</f>
        <v>3-7</v>
      </c>
      <c r="K11" t="str">
        <f>SUM('Stats G1'!N13)&amp;"-"&amp;SUM('Stats G1'!K13)</f>
        <v>1-4</v>
      </c>
      <c r="L11" t="str">
        <f>SUM('Stats G1'!T13)&amp;"-"&amp;SUM('Stats G1'!Q13)</f>
        <v>0-0</v>
      </c>
    </row>
    <row r="12" spans="2:12" x14ac:dyDescent="0.2">
      <c r="F12" t="str">
        <f>'Stats G1'!A14</f>
        <v>?</v>
      </c>
      <c r="G12" t="str">
        <f>'Stats G1'!B14</f>
        <v>?</v>
      </c>
      <c r="H12">
        <f>'Stats G1'!C14</f>
        <v>0</v>
      </c>
      <c r="I12">
        <f>'Stats G1'!H14*2+'Stats G1'!N14*3+'Stats G1'!T14</f>
        <v>0</v>
      </c>
      <c r="J12" t="str">
        <f>SUM('Stats G1'!N14+'Stats G1'!H14)&amp;"-"&amp;SUM('Stats G1'!E14+'Stats G1'!K14)</f>
        <v>0-0</v>
      </c>
      <c r="K12" t="str">
        <f>SUM('Stats G1'!N14)&amp;"-"&amp;SUM('Stats G1'!K14)</f>
        <v>0-0</v>
      </c>
      <c r="L12" t="str">
        <f>SUM('Stats G1'!T14)&amp;"-"&amp;SUM('Stats G1'!Q14)</f>
        <v>0-0</v>
      </c>
    </row>
    <row r="13" spans="2:12" x14ac:dyDescent="0.2">
      <c r="F13" t="str">
        <f>'Stats G1'!A15</f>
        <v>?</v>
      </c>
      <c r="G13" t="str">
        <f>'Stats G1'!B15</f>
        <v>?</v>
      </c>
      <c r="H13">
        <f>'Stats G1'!C15</f>
        <v>0</v>
      </c>
      <c r="I13">
        <f>'Stats G1'!H15*2+'Stats G1'!N15*3+'Stats G1'!T15</f>
        <v>0</v>
      </c>
      <c r="J13" t="str">
        <f>SUM('Stats G1'!N15+'Stats G1'!H15)&amp;"-"&amp;SUM('Stats G1'!E15+'Stats G1'!K15)</f>
        <v>0-0</v>
      </c>
      <c r="K13" t="str">
        <f>SUM('Stats G1'!N15)&amp;"-"&amp;SUM('Stats G1'!K15)</f>
        <v>0-0</v>
      </c>
      <c r="L13" t="str">
        <f>SUM('Stats G1'!T15)&amp;"-"&amp;SUM('Stats G1'!Q15)</f>
        <v>0-0</v>
      </c>
    </row>
    <row r="14" spans="2:12" x14ac:dyDescent="0.2">
      <c r="F14" t="str">
        <f>'Stats G1'!A16</f>
        <v>?</v>
      </c>
      <c r="G14" t="str">
        <f>'Stats G1'!B16</f>
        <v>?</v>
      </c>
      <c r="H14">
        <f>'Stats G1'!C16</f>
        <v>0</v>
      </c>
      <c r="I14">
        <f>'Stats G1'!H16*2+'Stats G1'!N16*3+'Stats G1'!T16</f>
        <v>0</v>
      </c>
      <c r="J14" t="str">
        <f>SUM('Stats G1'!N16+'Stats G1'!H16)&amp;"-"&amp;SUM('Stats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</row>
    <row r="15" spans="2:12" x14ac:dyDescent="0.2">
      <c r="F15" t="str">
        <f>'Stats G1'!A17</f>
        <v>?</v>
      </c>
      <c r="G15" t="str">
        <f>'Stats G1'!B17</f>
        <v>?</v>
      </c>
      <c r="H15">
        <f>'Stats G1'!C17</f>
        <v>0</v>
      </c>
      <c r="I15">
        <f>'Stats G1'!H17*2+'Stats G1'!N17*3+'Stats G1'!T17</f>
        <v>0</v>
      </c>
      <c r="J15" t="str">
        <f>SUM('Stats G1'!N17+'Stats G1'!H17)&amp;"-"&amp;SUM('Stats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</row>
    <row r="16" spans="2:12" x14ac:dyDescent="0.2">
      <c r="F16" t="str">
        <f>'Stats G1'!A18</f>
        <v>?</v>
      </c>
      <c r="G16" t="str">
        <f>'Stats G1'!B18</f>
        <v>?</v>
      </c>
      <c r="H16">
        <f>'Stats G1'!C18</f>
        <v>0</v>
      </c>
      <c r="I16">
        <f>'Stats G1'!H18*2+'Stats G1'!N18*3+'Stats G1'!T18</f>
        <v>0</v>
      </c>
      <c r="J16" t="str">
        <f>SUM('Stats G1'!N18+'Stats G1'!H18)&amp;"-"&amp;SUM('Stats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</row>
    <row r="17" spans="6:12" x14ac:dyDescent="0.2">
      <c r="F17" t="str">
        <f>'Stats G1'!A19</f>
        <v>?</v>
      </c>
      <c r="G17" t="str">
        <f>'Stats G1'!B19</f>
        <v>?</v>
      </c>
      <c r="H17">
        <f>'Stats G1'!C19</f>
        <v>0</v>
      </c>
      <c r="I17">
        <f>'Stats G1'!H19*2+'Stats G1'!N19*3+'Stats G1'!T19</f>
        <v>0</v>
      </c>
      <c r="J17" t="str">
        <f>SUM('Stats G1'!N19+'Stats G1'!H19)&amp;"-"&amp;SUM('Stats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</row>
    <row r="18" spans="6:12" x14ac:dyDescent="0.2">
      <c r="H18" s="2" t="s">
        <v>18</v>
      </c>
      <c r="I18">
        <f>SUM(I3:I17)</f>
        <v>120</v>
      </c>
      <c r="J18" t="str">
        <f>SUM('Stats G1'!N20+'Stats G1'!H20)&amp;"-"&amp;SUM('Stats G1'!E20+'Stats G1'!K20)</f>
        <v>48-94</v>
      </c>
      <c r="K18" t="str">
        <f>SUM('Stats G1'!N20)&amp;"-"&amp;SUM('Stats G1'!K20)</f>
        <v>8-32</v>
      </c>
      <c r="L18" t="str">
        <f>SUM('Stats G1'!T20)&amp;"-"&amp;SUM('Stats G1'!Q20)</f>
        <v>16-20</v>
      </c>
    </row>
    <row r="20" spans="6:12" x14ac:dyDescent="0.2">
      <c r="F20" t="s">
        <v>17</v>
      </c>
      <c r="G20" t="s">
        <v>36</v>
      </c>
    </row>
    <row r="21" spans="6:12" x14ac:dyDescent="0.2">
      <c r="F21" t="s">
        <v>2</v>
      </c>
      <c r="G21" t="s">
        <v>3</v>
      </c>
      <c r="H21" t="s">
        <v>0</v>
      </c>
      <c r="I21" t="s">
        <v>63</v>
      </c>
      <c r="J21" t="s">
        <v>14</v>
      </c>
      <c r="K21" t="s">
        <v>15</v>
      </c>
      <c r="L21" t="s">
        <v>16</v>
      </c>
    </row>
    <row r="22" spans="6:12" x14ac:dyDescent="0.2">
      <c r="F22" t="str">
        <f>'Stats G1'!A23</f>
        <v>Neema</v>
      </c>
      <c r="G22" t="str">
        <f>'Stats G1'!B23</f>
        <v>Namdar</v>
      </c>
      <c r="H22">
        <f>'Stats G1'!C23</f>
        <v>0</v>
      </c>
      <c r="I22">
        <f>'Stats G1'!H23*2+'Stats G1'!N23*3+'Stats G1'!T23</f>
        <v>17</v>
      </c>
      <c r="J22" t="str">
        <f>SUM('Stats G1'!N23+'Stats G1'!H23)&amp;"-"&amp;SUM('Stats G1'!E23+'Stats G1'!K23)</f>
        <v>6-15</v>
      </c>
      <c r="K22" t="str">
        <f>SUM('Stats G1'!N23)&amp;"-"&amp;SUM('Stats G1'!K23)</f>
        <v>5-12</v>
      </c>
      <c r="L22" t="str">
        <f>SUM('Stats G1'!T23)&amp;"-"&amp;SUM('Stats G1'!Q23)</f>
        <v>0-0</v>
      </c>
    </row>
    <row r="23" spans="6:12" x14ac:dyDescent="0.2">
      <c r="F23" t="str">
        <f>'Stats G1'!A24</f>
        <v xml:space="preserve">Sam </v>
      </c>
      <c r="G23" t="str">
        <f>'Stats G1'!B24</f>
        <v>Velez</v>
      </c>
      <c r="H23">
        <f>'Stats G1'!C24</f>
        <v>1</v>
      </c>
      <c r="I23">
        <f>'Stats G1'!H24*2+'Stats G1'!N24*3+'Stats G1'!T24</f>
        <v>0</v>
      </c>
      <c r="J23" t="str">
        <f>SUM('Stats G1'!N24+'Stats G1'!H24)&amp;"-"&amp;SUM('Stats G1'!E24+'Stats G1'!K24)</f>
        <v>0-0</v>
      </c>
      <c r="K23" t="str">
        <f>SUM('Stats G1'!N24)&amp;"-"&amp;SUM('Stats G1'!K24)</f>
        <v>0-0</v>
      </c>
      <c r="L23" t="str">
        <f>SUM('Stats G1'!T24)&amp;"-"&amp;SUM('Stats G1'!Q24)</f>
        <v>0-0</v>
      </c>
    </row>
    <row r="24" spans="6:12" x14ac:dyDescent="0.2">
      <c r="F24" t="str">
        <f>'Stats G1'!A25</f>
        <v xml:space="preserve">Tyus </v>
      </c>
      <c r="G24" t="str">
        <f>'Stats G1'!B25</f>
        <v>Jefferson</v>
      </c>
      <c r="H24">
        <f>'Stats G1'!C25</f>
        <v>3</v>
      </c>
      <c r="I24">
        <f>'Stats G1'!H25*2+'Stats G1'!N25*3+'Stats G1'!T25</f>
        <v>0</v>
      </c>
      <c r="J24" t="str">
        <f>SUM('Stats G1'!N25+'Stats G1'!H25)&amp;"-"&amp;SUM('Stats G1'!E25+'Stats G1'!K25)</f>
        <v>0-0</v>
      </c>
      <c r="K24" t="str">
        <f>SUM('Stats G1'!N25)&amp;"-"&amp;SUM('Stats G1'!K25)</f>
        <v>0-0</v>
      </c>
      <c r="L24" t="str">
        <f>SUM('Stats G1'!T25)&amp;"-"&amp;SUM('Stats G1'!Q25)</f>
        <v>0-0</v>
      </c>
    </row>
    <row r="25" spans="6:12" x14ac:dyDescent="0.2">
      <c r="F25" t="str">
        <f>'Stats G1'!A26</f>
        <v>Frank</v>
      </c>
      <c r="G25" t="str">
        <f>'Stats G1'!B26</f>
        <v>Jackson</v>
      </c>
      <c r="H25">
        <f>'Stats G1'!C26</f>
        <v>5</v>
      </c>
      <c r="I25">
        <f>'Stats G1'!H26*2+'Stats G1'!N26*3+'Stats G1'!T26</f>
        <v>0</v>
      </c>
      <c r="J25" t="str">
        <f>SUM('Stats G1'!N26+'Stats G1'!H26)&amp;"-"&amp;SUM('Stats G1'!E26+'Stats G1'!K26)</f>
        <v>0-0</v>
      </c>
      <c r="K25" t="str">
        <f>SUM('Stats G1'!N26)&amp;"-"&amp;SUM('Stats G1'!K26)</f>
        <v>0-0</v>
      </c>
      <c r="L25" t="str">
        <f>SUM('Stats G1'!T26)&amp;"-"&amp;SUM('Stats G1'!Q26)</f>
        <v>0-0</v>
      </c>
    </row>
    <row r="26" spans="6:12" x14ac:dyDescent="0.2">
      <c r="F26" t="str">
        <f>'Stats G1'!A27</f>
        <v>Trey</v>
      </c>
      <c r="G26" t="str">
        <f>'Stats G1'!B27</f>
        <v>Kennedy</v>
      </c>
      <c r="H26">
        <f>'Stats G1'!C27</f>
        <v>10</v>
      </c>
      <c r="I26">
        <f>'Stats G1'!H27*2+'Stats G1'!N27*3+'Stats G1'!T27</f>
        <v>0</v>
      </c>
      <c r="J26" t="str">
        <f>SUM('Stats G1'!N27+'Stats G1'!H27)&amp;"-"&amp;SUM('Stats G1'!E27+'Stats G1'!K27)</f>
        <v>0-0</v>
      </c>
      <c r="K26" t="str">
        <f>SUM('Stats G1'!N27)&amp;"-"&amp;SUM('Stats G1'!K27)</f>
        <v>0-0</v>
      </c>
      <c r="L26" t="str">
        <f>SUM('Stats G1'!T27)&amp;"-"&amp;SUM('Stats G1'!Q27)</f>
        <v>0-0</v>
      </c>
    </row>
    <row r="27" spans="6:12" x14ac:dyDescent="0.2">
      <c r="F27" t="str">
        <f>'Stats G1'!A28</f>
        <v>Will</v>
      </c>
      <c r="G27" t="str">
        <f>'Stats G1'!B28</f>
        <v>Joyce</v>
      </c>
      <c r="H27">
        <f>'Stats G1'!C28</f>
        <v>11</v>
      </c>
      <c r="I27">
        <f>'Stats G1'!H28*2+'Stats G1'!N28*3+'Stats G1'!T28</f>
        <v>0</v>
      </c>
      <c r="J27" t="str">
        <f>SUM('Stats G1'!N28+'Stats G1'!H28)&amp;"-"&amp;SUM('Stats G1'!E28+'Stats G1'!K28)</f>
        <v>0-0</v>
      </c>
      <c r="K27" t="str">
        <f>SUM('Stats G1'!N28)&amp;"-"&amp;SUM('Stats G1'!K28)</f>
        <v>0-0</v>
      </c>
      <c r="L27" t="str">
        <f>SUM('Stats G1'!T28)&amp;"-"&amp;SUM('Stats G1'!Q28)</f>
        <v>0-0</v>
      </c>
    </row>
    <row r="28" spans="6:12" x14ac:dyDescent="0.2">
      <c r="F28" t="str">
        <f>'Stats G1'!A29</f>
        <v>Jael</v>
      </c>
      <c r="G28" t="str">
        <f>'Stats G1'!B29</f>
        <v>Vaught</v>
      </c>
      <c r="H28">
        <f>'Stats G1'!C29</f>
        <v>12</v>
      </c>
      <c r="I28">
        <f>'Stats G1'!H29*2+'Stats G1'!N29*3+'Stats G1'!T29</f>
        <v>24</v>
      </c>
      <c r="J28" t="str">
        <f>SUM('Stats G1'!N29+'Stats G1'!H29)&amp;"-"&amp;SUM('Stats G1'!E29+'Stats G1'!K29)</f>
        <v>11-23</v>
      </c>
      <c r="K28" t="str">
        <f>SUM('Stats G1'!N29)&amp;"-"&amp;SUM('Stats G1'!K29)</f>
        <v>1-3</v>
      </c>
      <c r="L28" t="str">
        <f>SUM('Stats G1'!T29)&amp;"-"&amp;SUM('Stats G1'!Q29)</f>
        <v>1-1</v>
      </c>
    </row>
    <row r="29" spans="6:12" x14ac:dyDescent="0.2">
      <c r="F29" t="str">
        <f>'Stats G1'!A30</f>
        <v>Fardaws</v>
      </c>
      <c r="G29" t="str">
        <f>'Stats G1'!B30</f>
        <v>Aimaq</v>
      </c>
      <c r="H29">
        <f>'Stats G1'!C30</f>
        <v>21</v>
      </c>
      <c r="I29">
        <f>'Stats G1'!H30*2+'Stats G1'!N30*3+'Stats G1'!T30</f>
        <v>0</v>
      </c>
      <c r="J29" t="str">
        <f>SUM('Stats G1'!N30+'Stats G1'!H30)&amp;"-"&amp;SUM('Stats G1'!E30+'Stats G1'!K30)</f>
        <v>0-0</v>
      </c>
      <c r="K29" t="str">
        <f>SUM('Stats G1'!N30)&amp;"-"&amp;SUM('Stats G1'!K30)</f>
        <v>0-0</v>
      </c>
      <c r="L29" t="str">
        <f>SUM('Stats G1'!T30)&amp;"-"&amp;SUM('Stats G1'!Q30)</f>
        <v>0-0</v>
      </c>
    </row>
    <row r="30" spans="6:12" x14ac:dyDescent="0.2">
      <c r="F30" t="str">
        <f>'Stats G1'!A31</f>
        <v>Yoeli</v>
      </c>
      <c r="G30" t="str">
        <f>'Stats G1'!B31</f>
        <v>Childs</v>
      </c>
      <c r="H30">
        <f>'Stats G1'!C31</f>
        <v>22</v>
      </c>
      <c r="I30">
        <f>'Stats G1'!H31*2+'Stats G1'!N31*3+'Stats G1'!T31</f>
        <v>30</v>
      </c>
      <c r="J30" t="str">
        <f>SUM('Stats G1'!N31+'Stats G1'!H31)&amp;"-"&amp;SUM('Stats G1'!E31+'Stats G1'!K31)</f>
        <v>12-24</v>
      </c>
      <c r="K30" t="str">
        <f>SUM('Stats G1'!N31)&amp;"-"&amp;SUM('Stats G1'!K31)</f>
        <v>1-8</v>
      </c>
      <c r="L30" t="str">
        <f>SUM('Stats G1'!T31)&amp;"-"&amp;SUM('Stats G1'!Q31)</f>
        <v>5-7</v>
      </c>
    </row>
    <row r="31" spans="6:12" x14ac:dyDescent="0.2">
      <c r="F31" t="str">
        <f>'Stats G1'!A32</f>
        <v>Nicholas</v>
      </c>
      <c r="G31" t="str">
        <f>'Stats G1'!B32</f>
        <v>Paulos</v>
      </c>
      <c r="H31">
        <f>'Stats G1'!C32</f>
        <v>31</v>
      </c>
      <c r="I31">
        <f>'Stats G1'!H32*2+'Stats G1'!N32*3+'Stats G1'!T32</f>
        <v>15</v>
      </c>
      <c r="J31" t="str">
        <f>SUM('Stats G1'!N32+'Stats G1'!H32)&amp;"-"&amp;SUM('Stats G1'!E32+'Stats G1'!K32)</f>
        <v>5-11</v>
      </c>
      <c r="K31" t="str">
        <f>SUM('Stats G1'!N32)&amp;"-"&amp;SUM('Stats G1'!K32)</f>
        <v>2-8</v>
      </c>
      <c r="L31" t="str">
        <f>SUM('Stats G1'!T32)&amp;"-"&amp;SUM('Stats G1'!Q32)</f>
        <v>3-3</v>
      </c>
    </row>
    <row r="32" spans="6:12" x14ac:dyDescent="0.2">
      <c r="F32" t="str">
        <f>'Stats G1'!A33</f>
        <v>Zac</v>
      </c>
      <c r="G32" t="str">
        <f>'Stats G1'!B33</f>
        <v>Seljaas</v>
      </c>
      <c r="H32">
        <f>'Stats G1'!C33</f>
        <v>99</v>
      </c>
      <c r="I32">
        <f>'Stats G1'!H33*2+'Stats G1'!N33*3+'Stats G1'!T33</f>
        <v>17</v>
      </c>
      <c r="J32" t="str">
        <f>SUM('Stats G1'!N33+'Stats G1'!H33)&amp;"-"&amp;SUM('Stats G1'!E33+'Stats G1'!K33)</f>
        <v>6-14</v>
      </c>
      <c r="K32" t="str">
        <f>SUM('Stats G1'!N33)&amp;"-"&amp;SUM('Stats G1'!K33)</f>
        <v>4-10</v>
      </c>
      <c r="L32" t="str">
        <f>SUM('Stats G1'!T33)&amp;"-"&amp;SUM('Stats G1'!Q33)</f>
        <v>1-1</v>
      </c>
    </row>
    <row r="33" spans="6:12" x14ac:dyDescent="0.2">
      <c r="F33" t="str">
        <f>'Stats G1'!A34</f>
        <v>?</v>
      </c>
      <c r="G33" t="str">
        <f>'Stats G1'!B34</f>
        <v>?</v>
      </c>
      <c r="H33">
        <f>'Stats G1'!C34</f>
        <v>55</v>
      </c>
      <c r="I33">
        <f>'Stats G1'!H34*2+'Stats G1'!N34*3+'Stats G1'!T34</f>
        <v>0</v>
      </c>
      <c r="J33" t="str">
        <f>SUM('Stats G1'!N34+'Stats G1'!H34)&amp;"-"&amp;SUM('Stats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</row>
    <row r="34" spans="6:12" x14ac:dyDescent="0.2">
      <c r="F34" t="str">
        <f>'Stats G1'!A35</f>
        <v>?</v>
      </c>
      <c r="G34" t="str">
        <f>'Stats G1'!B35</f>
        <v>?</v>
      </c>
      <c r="H34">
        <f>'Stats G1'!C35</f>
        <v>30</v>
      </c>
      <c r="I34">
        <f>'Stats G1'!H35*2+'Stats G1'!N35*3+'Stats G1'!T35</f>
        <v>8</v>
      </c>
      <c r="J34" t="str">
        <f>SUM('Stats G1'!N35+'Stats G1'!H35)&amp;"-"&amp;SUM('Stats G1'!E35+'Stats G1'!K35)</f>
        <v>3-10</v>
      </c>
      <c r="K34" t="str">
        <f>SUM('Stats G1'!N35)&amp;"-"&amp;SUM('Stats G1'!K35)</f>
        <v>2-6</v>
      </c>
      <c r="L34" t="str">
        <f>SUM('Stats G1'!T35)&amp;"-"&amp;SUM('Stats G1'!Q35)</f>
        <v>0-0</v>
      </c>
    </row>
    <row r="35" spans="6:12" x14ac:dyDescent="0.2">
      <c r="F35" t="str">
        <f>'Stats G1'!A36</f>
        <v>?</v>
      </c>
      <c r="G35" t="str">
        <f>'Stats G1'!B36</f>
        <v>?</v>
      </c>
      <c r="H35">
        <f>'Stats G1'!C36</f>
        <v>0</v>
      </c>
      <c r="I35">
        <f>'Stats G1'!H36*2+'Stats G1'!N36*3+'Stats G1'!T36</f>
        <v>0</v>
      </c>
      <c r="J35" t="str">
        <f>SUM('Stats G1'!N36+'Stats G1'!H36)&amp;"-"&amp;SUM('Stats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</row>
    <row r="36" spans="6:12" x14ac:dyDescent="0.2">
      <c r="F36" t="str">
        <f>'Stats G1'!A37</f>
        <v>?</v>
      </c>
      <c r="G36" t="str">
        <f>'Stats G1'!B37</f>
        <v>?</v>
      </c>
      <c r="H36">
        <f>'Stats G1'!C37</f>
        <v>0</v>
      </c>
      <c r="I36">
        <f>'Stats G1'!H37*2+'Stats G1'!N37*3+'Stats G1'!T37</f>
        <v>0</v>
      </c>
      <c r="J36" t="str">
        <f>SUM('Stats G1'!N37+'Stats G1'!H37)&amp;"-"&amp;SUM('Stats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2">
      <c r="H37" s="2" t="s">
        <v>18</v>
      </c>
      <c r="I37">
        <f>SUM(I22:I36)</f>
        <v>111</v>
      </c>
      <c r="J37" t="str">
        <f>SUM('Stats G1'!N38+'Stats G1'!H38)&amp;"-"&amp;SUM('Stats G1'!E38+'Stats G1'!K38)</f>
        <v>43-97</v>
      </c>
      <c r="K37" t="str">
        <f>SUM('Stats G1'!N38)&amp;"-"&amp;SUM('Stats G1'!K38)</f>
        <v>15-47</v>
      </c>
      <c r="L37" t="str">
        <f>SUM('Stats G1'!T38)&amp;"-"&amp;SUM('Stats G1'!Q38)</f>
        <v>10-12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3" workbookViewId="0">
      <selection activeCell="A23" sqref="A23:C37"/>
    </sheetView>
  </sheetViews>
  <sheetFormatPr baseColWidth="10" defaultColWidth="11.1640625" defaultRowHeight="16" x14ac:dyDescent="0.2"/>
  <cols>
    <col min="2" max="2" width="12.5" bestFit="1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</v>
      </c>
      <c r="B1" t="s">
        <v>12</v>
      </c>
      <c r="C1" t="s">
        <v>13</v>
      </c>
    </row>
    <row r="2" spans="1:21" hidden="1" x14ac:dyDescent="0.2"/>
    <row r="3" spans="1:21" x14ac:dyDescent="0.2">
      <c r="A3" s="2" t="s">
        <v>22</v>
      </c>
      <c r="B3" s="1" t="s">
        <v>12</v>
      </c>
    </row>
    <row r="4" spans="1:21" x14ac:dyDescent="0.2">
      <c r="A4" t="s">
        <v>2</v>
      </c>
      <c r="B4" t="s">
        <v>3</v>
      </c>
      <c r="C4" t="s">
        <v>0</v>
      </c>
      <c r="E4" t="s">
        <v>4</v>
      </c>
      <c r="H4" t="s">
        <v>5</v>
      </c>
      <c r="K4" t="s">
        <v>6</v>
      </c>
      <c r="N4" t="s">
        <v>7</v>
      </c>
      <c r="Q4" t="s">
        <v>8</v>
      </c>
      <c r="T4" t="s">
        <v>9</v>
      </c>
    </row>
    <row r="5" spans="1:21" s="6" customFormat="1" x14ac:dyDescent="0.2">
      <c r="A5" s="5" t="s">
        <v>47</v>
      </c>
      <c r="B5" s="5" t="s">
        <v>48</v>
      </c>
      <c r="C5" s="5">
        <v>3</v>
      </c>
      <c r="D5" s="5"/>
      <c r="E5" s="5">
        <v>8</v>
      </c>
      <c r="F5" s="5"/>
      <c r="G5" s="5"/>
      <c r="H5" s="5">
        <v>5</v>
      </c>
      <c r="I5" s="5"/>
      <c r="J5" s="5"/>
      <c r="K5" s="5">
        <v>3</v>
      </c>
      <c r="L5" s="5"/>
      <c r="M5" s="5"/>
      <c r="N5" s="5">
        <v>1</v>
      </c>
      <c r="O5" s="5"/>
      <c r="P5" s="5"/>
      <c r="Q5" s="5">
        <v>2</v>
      </c>
      <c r="R5" s="5"/>
      <c r="S5" s="5"/>
      <c r="T5" s="5">
        <v>2</v>
      </c>
      <c r="U5" s="5"/>
    </row>
    <row r="6" spans="1:21" s="6" customFormat="1" x14ac:dyDescent="0.2">
      <c r="A6" t="s">
        <v>47</v>
      </c>
      <c r="B6" t="s">
        <v>49</v>
      </c>
      <c r="C6">
        <v>5</v>
      </c>
      <c r="E6" s="6">
        <v>6</v>
      </c>
      <c r="H6" s="6">
        <v>3</v>
      </c>
      <c r="K6" s="6">
        <v>5</v>
      </c>
      <c r="N6" s="6">
        <v>1</v>
      </c>
      <c r="Q6" s="6">
        <v>3</v>
      </c>
      <c r="T6" s="6">
        <v>3</v>
      </c>
    </row>
    <row r="7" spans="1:21" s="6" customFormat="1" x14ac:dyDescent="0.2">
      <c r="A7" s="5" t="s">
        <v>50</v>
      </c>
      <c r="B7" s="5" t="s">
        <v>51</v>
      </c>
      <c r="C7" s="5">
        <v>7</v>
      </c>
      <c r="D7" s="5"/>
      <c r="E7" s="5">
        <v>15</v>
      </c>
      <c r="F7" s="5"/>
      <c r="G7" s="5"/>
      <c r="H7" s="5">
        <v>10</v>
      </c>
      <c r="I7" s="5"/>
      <c r="J7" s="5"/>
      <c r="K7" s="5">
        <v>10</v>
      </c>
      <c r="L7" s="5"/>
      <c r="M7" s="5"/>
      <c r="N7" s="5">
        <v>4</v>
      </c>
      <c r="O7" s="5"/>
      <c r="P7" s="5"/>
      <c r="Q7" s="5">
        <v>4</v>
      </c>
      <c r="R7" s="5"/>
      <c r="S7" s="5"/>
      <c r="T7" s="5">
        <v>4</v>
      </c>
      <c r="U7" s="5"/>
    </row>
    <row r="8" spans="1:21" s="6" customFormat="1" x14ac:dyDescent="0.2">
      <c r="A8" t="s">
        <v>52</v>
      </c>
      <c r="B8" t="s">
        <v>53</v>
      </c>
      <c r="C8">
        <v>11</v>
      </c>
      <c r="E8" s="6">
        <v>20</v>
      </c>
      <c r="H8" s="6">
        <v>12</v>
      </c>
      <c r="K8" s="6">
        <v>8</v>
      </c>
      <c r="N8" s="6">
        <v>1</v>
      </c>
      <c r="Q8" s="6">
        <v>4</v>
      </c>
      <c r="T8" s="6">
        <v>3</v>
      </c>
    </row>
    <row r="9" spans="1:21" s="6" customFormat="1" x14ac:dyDescent="0.2">
      <c r="A9" s="5" t="s">
        <v>54</v>
      </c>
      <c r="B9" s="5" t="s">
        <v>55</v>
      </c>
      <c r="C9" s="5">
        <v>12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t="s">
        <v>56</v>
      </c>
      <c r="B10" t="s">
        <v>57</v>
      </c>
      <c r="C10">
        <v>21</v>
      </c>
      <c r="E10" s="6">
        <v>2</v>
      </c>
      <c r="H10" s="6">
        <v>1</v>
      </c>
      <c r="K10" s="6">
        <v>1</v>
      </c>
      <c r="N10" s="6">
        <v>0</v>
      </c>
      <c r="Q10" s="6">
        <v>0</v>
      </c>
      <c r="T10" s="6">
        <v>0</v>
      </c>
    </row>
    <row r="11" spans="1:21" s="6" customFormat="1" x14ac:dyDescent="0.2">
      <c r="A11" s="7" t="s">
        <v>58</v>
      </c>
      <c r="B11" s="7" t="s">
        <v>59</v>
      </c>
      <c r="C11" s="7">
        <v>21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t="s">
        <v>60</v>
      </c>
      <c r="B12" t="s">
        <v>32</v>
      </c>
      <c r="C12">
        <v>24</v>
      </c>
      <c r="E12" s="6">
        <v>8</v>
      </c>
      <c r="H12" s="6">
        <v>7</v>
      </c>
      <c r="K12" s="6">
        <v>1</v>
      </c>
      <c r="N12" s="6">
        <v>0</v>
      </c>
      <c r="Q12" s="6">
        <v>7</v>
      </c>
      <c r="T12" s="6">
        <v>4</v>
      </c>
    </row>
    <row r="13" spans="1:21" s="6" customFormat="1" x14ac:dyDescent="0.2">
      <c r="A13" s="5" t="s">
        <v>61</v>
      </c>
      <c r="B13" s="5" t="s">
        <v>62</v>
      </c>
      <c r="C13" s="5">
        <v>30</v>
      </c>
      <c r="D13" s="5"/>
      <c r="E13" s="5">
        <v>3</v>
      </c>
      <c r="F13" s="5"/>
      <c r="G13" s="5"/>
      <c r="H13" s="5">
        <v>2</v>
      </c>
      <c r="I13" s="5"/>
      <c r="J13" s="5"/>
      <c r="K13" s="5">
        <v>4</v>
      </c>
      <c r="L13" s="5"/>
      <c r="M13" s="5"/>
      <c r="N13" s="5">
        <v>1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t="s">
        <v>10</v>
      </c>
      <c r="B14" t="s">
        <v>10</v>
      </c>
      <c r="C14"/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">
        <v>10</v>
      </c>
      <c r="B15" s="5" t="s">
        <v>10</v>
      </c>
      <c r="C15" s="5"/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t="s">
        <v>10</v>
      </c>
      <c r="B16" t="s">
        <v>10</v>
      </c>
      <c r="C16"/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">
        <v>10</v>
      </c>
      <c r="B17" s="5" t="s">
        <v>10</v>
      </c>
      <c r="C17" s="5"/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t="s">
        <v>10</v>
      </c>
      <c r="B18" t="s">
        <v>10</v>
      </c>
      <c r="C18"/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">
        <v>10</v>
      </c>
      <c r="B19" s="5" t="s">
        <v>10</v>
      </c>
      <c r="C19" s="5"/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62</v>
      </c>
      <c r="H20">
        <f>SUM(H5:H19)</f>
        <v>40</v>
      </c>
      <c r="K20">
        <f>SUM(K5:K19)</f>
        <v>32</v>
      </c>
      <c r="N20">
        <f>SUM(N5:N19)</f>
        <v>8</v>
      </c>
      <c r="Q20">
        <f>SUM(Q5:Q19)</f>
        <v>20</v>
      </c>
      <c r="T20">
        <f>SUM(T5:T19)</f>
        <v>16</v>
      </c>
    </row>
    <row r="21" spans="1:21" x14ac:dyDescent="0.2">
      <c r="A21" s="2" t="s">
        <v>23</v>
      </c>
      <c r="B21" s="1" t="s">
        <v>13</v>
      </c>
    </row>
    <row r="22" spans="1:21" x14ac:dyDescent="0.2">
      <c r="A22" t="s">
        <v>2</v>
      </c>
      <c r="B22" t="s">
        <v>3</v>
      </c>
      <c r="C22" t="s">
        <v>0</v>
      </c>
      <c r="E22" t="s">
        <v>4</v>
      </c>
      <c r="H22" t="s">
        <v>5</v>
      </c>
      <c r="K22" t="s">
        <v>6</v>
      </c>
      <c r="N22" t="s">
        <v>7</v>
      </c>
      <c r="Q22" t="s">
        <v>8</v>
      </c>
      <c r="T22" t="s">
        <v>9</v>
      </c>
    </row>
    <row r="23" spans="1:21" s="6" customFormat="1" x14ac:dyDescent="0.2">
      <c r="A23" s="5" t="s">
        <v>25</v>
      </c>
      <c r="B23" s="5" t="s">
        <v>26</v>
      </c>
      <c r="C23" s="5">
        <v>0</v>
      </c>
      <c r="D23" s="5"/>
      <c r="E23" s="5">
        <v>3</v>
      </c>
      <c r="F23" s="5"/>
      <c r="G23" s="5"/>
      <c r="H23" s="5">
        <v>1</v>
      </c>
      <c r="I23" s="5"/>
      <c r="J23" s="5"/>
      <c r="K23" s="5">
        <v>12</v>
      </c>
      <c r="L23" s="5"/>
      <c r="M23" s="5"/>
      <c r="N23" s="5">
        <v>5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t="s">
        <v>27</v>
      </c>
      <c r="B24" t="s">
        <v>28</v>
      </c>
      <c r="C24"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">
        <v>29</v>
      </c>
      <c r="B25" s="5" t="s">
        <v>30</v>
      </c>
      <c r="C25" s="5">
        <v>3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t="s">
        <v>31</v>
      </c>
      <c r="B26" t="s">
        <v>32</v>
      </c>
      <c r="C26">
        <v>5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">
        <v>33</v>
      </c>
      <c r="B27" s="5" t="s">
        <v>34</v>
      </c>
      <c r="C27" s="5">
        <v>10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t="s">
        <v>35</v>
      </c>
      <c r="B28" t="s">
        <v>36</v>
      </c>
      <c r="C28">
        <v>11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">
        <v>37</v>
      </c>
      <c r="B29" s="5" t="s">
        <v>38</v>
      </c>
      <c r="C29" s="5">
        <v>12</v>
      </c>
      <c r="D29" s="5"/>
      <c r="E29" s="5">
        <v>20</v>
      </c>
      <c r="F29" s="5"/>
      <c r="G29" s="5"/>
      <c r="H29" s="5">
        <v>10</v>
      </c>
      <c r="I29" s="5"/>
      <c r="J29" s="5"/>
      <c r="K29" s="5">
        <v>3</v>
      </c>
      <c r="L29" s="5"/>
      <c r="M29" s="5"/>
      <c r="N29" s="5">
        <v>1</v>
      </c>
      <c r="O29" s="5"/>
      <c r="P29" s="5"/>
      <c r="Q29" s="5">
        <v>1</v>
      </c>
      <c r="R29" s="5"/>
      <c r="S29" s="5"/>
      <c r="T29" s="5">
        <v>1</v>
      </c>
      <c r="U29" s="5"/>
    </row>
    <row r="30" spans="1:21" s="6" customFormat="1" x14ac:dyDescent="0.2">
      <c r="A30" t="s">
        <v>39</v>
      </c>
      <c r="B30" t="s">
        <v>40</v>
      </c>
      <c r="C30">
        <v>21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">
        <v>41</v>
      </c>
      <c r="B31" s="5" t="s">
        <v>42</v>
      </c>
      <c r="C31" s="5">
        <v>22</v>
      </c>
      <c r="D31" s="5"/>
      <c r="E31" s="5">
        <v>16</v>
      </c>
      <c r="F31" s="5"/>
      <c r="G31" s="5"/>
      <c r="H31" s="5">
        <v>11</v>
      </c>
      <c r="I31" s="5"/>
      <c r="J31" s="5"/>
      <c r="K31" s="5">
        <v>8</v>
      </c>
      <c r="L31" s="5"/>
      <c r="M31" s="5"/>
      <c r="N31" s="5">
        <v>1</v>
      </c>
      <c r="O31" s="5"/>
      <c r="P31" s="5"/>
      <c r="Q31" s="5">
        <v>7</v>
      </c>
      <c r="R31" s="5"/>
      <c r="S31" s="5"/>
      <c r="T31" s="5">
        <v>5</v>
      </c>
      <c r="U31" s="5"/>
    </row>
    <row r="32" spans="1:21" s="6" customFormat="1" x14ac:dyDescent="0.2">
      <c r="A32" t="s">
        <v>43</v>
      </c>
      <c r="B32" t="s">
        <v>44</v>
      </c>
      <c r="C32">
        <v>31</v>
      </c>
      <c r="E32" s="6">
        <v>3</v>
      </c>
      <c r="H32" s="6">
        <v>3</v>
      </c>
      <c r="K32" s="6">
        <v>8</v>
      </c>
      <c r="N32" s="6">
        <v>2</v>
      </c>
      <c r="Q32" s="6">
        <v>3</v>
      </c>
      <c r="T32" s="6">
        <v>3</v>
      </c>
    </row>
    <row r="33" spans="1:21" s="6" customFormat="1" x14ac:dyDescent="0.2">
      <c r="A33" s="5" t="s">
        <v>45</v>
      </c>
      <c r="B33" s="5" t="s">
        <v>46</v>
      </c>
      <c r="C33" s="5">
        <v>99</v>
      </c>
      <c r="D33" s="5"/>
      <c r="E33" s="5">
        <v>4</v>
      </c>
      <c r="F33" s="5"/>
      <c r="G33" s="5"/>
      <c r="H33" s="5">
        <v>2</v>
      </c>
      <c r="I33" s="5"/>
      <c r="J33" s="5"/>
      <c r="K33" s="5">
        <v>10</v>
      </c>
      <c r="L33" s="5"/>
      <c r="M33" s="5"/>
      <c r="N33" s="5">
        <v>4</v>
      </c>
      <c r="O33" s="5"/>
      <c r="P33" s="5"/>
      <c r="Q33" s="5">
        <v>1</v>
      </c>
      <c r="R33" s="5"/>
      <c r="S33" s="5"/>
      <c r="T33" s="5">
        <v>1</v>
      </c>
      <c r="U33" s="5"/>
    </row>
    <row r="34" spans="1:21" s="6" customFormat="1" x14ac:dyDescent="0.2">
      <c r="A34" t="s">
        <v>10</v>
      </c>
      <c r="B34" t="s">
        <v>10</v>
      </c>
      <c r="C34">
        <v>55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">
        <v>10</v>
      </c>
      <c r="B35" s="5" t="s">
        <v>10</v>
      </c>
      <c r="C35" s="5">
        <v>30</v>
      </c>
      <c r="D35" s="5"/>
      <c r="E35" s="5">
        <v>4</v>
      </c>
      <c r="F35" s="5"/>
      <c r="G35" s="5"/>
      <c r="H35" s="5">
        <v>1</v>
      </c>
      <c r="I35" s="5"/>
      <c r="J35" s="5"/>
      <c r="K35" s="5">
        <v>6</v>
      </c>
      <c r="L35" s="5"/>
      <c r="M35" s="5"/>
      <c r="N35" s="5">
        <v>2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t="s">
        <v>10</v>
      </c>
      <c r="B36" t="s">
        <v>10</v>
      </c>
      <c r="C36"/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">
        <v>10</v>
      </c>
      <c r="B37" s="5" t="s">
        <v>10</v>
      </c>
      <c r="C37" s="5"/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50</v>
      </c>
      <c r="H38">
        <f>SUM(H23:H37)</f>
        <v>28</v>
      </c>
      <c r="K38">
        <f>SUM(K23:K37)</f>
        <v>47</v>
      </c>
      <c r="N38">
        <f>SUM(N23:N37)</f>
        <v>15</v>
      </c>
      <c r="Q38">
        <f>SUM(Q23:Q37)</f>
        <v>12</v>
      </c>
      <c r="T38">
        <f>SUM(T23:T37)</f>
        <v>10</v>
      </c>
    </row>
  </sheetData>
  <dataValidations count="1">
    <dataValidation type="list" allowBlank="1" showInputMessage="1" showErrorMessage="1" sqref="B3 B21" xr:uid="{C0688EB3-74DB-9949-A8A7-34166CC2C504}">
      <formula1>$A$1:$C$1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1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1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1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1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1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1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1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1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1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1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1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1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1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1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1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1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1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1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1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1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1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1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1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1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1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1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1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1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1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1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1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1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1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1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1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1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1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1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1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1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1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1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1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1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1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1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1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1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1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1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1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1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1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1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1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1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1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1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1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1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1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1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1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1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1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1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1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1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1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1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1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1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1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1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1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1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1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1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1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1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1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1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1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1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1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1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1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1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1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1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1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1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1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1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1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1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1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1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1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1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1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1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1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1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1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1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1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1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1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1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1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1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1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1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1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1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1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1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1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1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1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1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1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1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1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1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1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1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1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1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1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1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1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1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1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1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1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1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1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1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1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1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1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1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1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1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1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1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1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1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1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1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1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1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1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1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1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1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1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1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1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1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1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1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1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1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1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1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1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1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1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1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1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1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1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1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1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1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1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1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1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1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1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1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1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1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1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1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1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1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1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1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1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1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1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1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1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1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1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1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1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1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1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1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1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1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1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1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1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1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1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1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1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1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1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1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1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1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1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1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1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1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1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1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1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1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1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1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1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1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1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1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1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1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1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1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1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1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1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1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1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1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1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1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1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1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1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1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1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1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1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1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1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1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1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1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1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1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1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1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1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1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1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1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1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1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1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1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1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1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1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1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1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1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1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1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1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1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1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1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1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1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1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1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1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1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1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1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1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1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1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1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1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1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1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1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1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1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1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1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1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1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1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1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1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1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1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1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1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1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1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1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1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1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1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1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1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1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1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1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1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1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1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1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1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1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1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1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1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1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1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1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1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1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1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1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1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1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1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1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1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1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1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1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1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1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1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1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1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1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1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1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1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1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1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1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1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1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1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1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G1 Box Score</vt:lpstr>
      <vt:lpstr>Stats G1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2021-06-30T22:12:04Z</dcterms:modified>
</cp:coreProperties>
</file>