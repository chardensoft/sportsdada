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C6622143-BF0B-F547-913B-C5DB42FCCDBD}" xr6:coauthVersionLast="47" xr6:coauthVersionMax="47" xr10:uidLastSave="{00000000-0000-0000-0000-000000000000}"/>
  <bookViews>
    <workbookView xWindow="0" yWindow="500" windowWidth="12360" windowHeight="15360" xr2:uid="{EE0D2CFE-D8D2-0843-8E19-49493B39F60E}"/>
  </bookViews>
  <sheets>
    <sheet name="G2 Box Score" sheetId="2" r:id="rId1"/>
    <sheet name="Stats G2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7" i="2" l="1"/>
  <c r="I37" i="2"/>
  <c r="D3" i="2" s="1"/>
  <c r="L18" i="2"/>
  <c r="K18" i="2"/>
  <c r="L37" i="2"/>
  <c r="J37" i="2"/>
  <c r="J18" i="2"/>
  <c r="I18" i="2"/>
  <c r="B3" i="2" s="1"/>
  <c r="H3" i="2"/>
  <c r="G3" i="2"/>
  <c r="F3" i="2"/>
</calcChain>
</file>

<file path=xl/sharedStrings.xml><?xml version="1.0" encoding="utf-8"?>
<sst xmlns="http://schemas.openxmlformats.org/spreadsheetml/2006/main" count="115" uniqueCount="68">
  <si>
    <t>#</t>
  </si>
  <si>
    <t>Select</t>
  </si>
  <si>
    <t>First</t>
  </si>
  <si>
    <t>Last</t>
  </si>
  <si>
    <t>2PA</t>
  </si>
  <si>
    <t>2PM</t>
  </si>
  <si>
    <t>3PA</t>
  </si>
  <si>
    <t>3PM</t>
  </si>
  <si>
    <t>FTA</t>
  </si>
  <si>
    <t>FTM</t>
  </si>
  <si>
    <t>?</t>
  </si>
  <si>
    <t>Home Team (Gray)</t>
  </si>
  <si>
    <t>Home (Gray)</t>
  </si>
  <si>
    <t>Away (Black)</t>
  </si>
  <si>
    <t>FG</t>
  </si>
  <si>
    <t>3PT</t>
  </si>
  <si>
    <t>FT</t>
  </si>
  <si>
    <t>Away Team (Black)</t>
  </si>
  <si>
    <t>Total:</t>
  </si>
  <si>
    <t>Gray</t>
  </si>
  <si>
    <t>Black</t>
  </si>
  <si>
    <t>-</t>
  </si>
  <si>
    <t>Gray Team</t>
  </si>
  <si>
    <t>Black Team</t>
  </si>
  <si>
    <t>GAME 1</t>
  </si>
  <si>
    <t>Terrence Drisdom</t>
  </si>
  <si>
    <t>Drisdom</t>
  </si>
  <si>
    <t>Shaun</t>
  </si>
  <si>
    <t>Green</t>
  </si>
  <si>
    <t>Duane</t>
  </si>
  <si>
    <t>Brown</t>
  </si>
  <si>
    <t>Tre</t>
  </si>
  <si>
    <t>Smith</t>
  </si>
  <si>
    <t>Brekott</t>
  </si>
  <si>
    <t>Chapman</t>
  </si>
  <si>
    <t xml:space="preserve">Isaiah </t>
  </si>
  <si>
    <t>Wright</t>
  </si>
  <si>
    <t>Tim</t>
  </si>
  <si>
    <t>Dakari</t>
  </si>
  <si>
    <t>Tucker</t>
  </si>
  <si>
    <t>AJ</t>
  </si>
  <si>
    <t>Hodges</t>
  </si>
  <si>
    <t>Corbin</t>
  </si>
  <si>
    <t>Lahot</t>
  </si>
  <si>
    <t>Mark</t>
  </si>
  <si>
    <t>Burton</t>
  </si>
  <si>
    <t>Cole</t>
  </si>
  <si>
    <t>Kadoguchi</t>
  </si>
  <si>
    <t>Deng</t>
  </si>
  <si>
    <t>Mayar</t>
  </si>
  <si>
    <t>Zach</t>
  </si>
  <si>
    <t>Cassita</t>
  </si>
  <si>
    <t>Zeus</t>
  </si>
  <si>
    <t>Martinez</t>
  </si>
  <si>
    <t>Dom</t>
  </si>
  <si>
    <t>Phillip</t>
  </si>
  <si>
    <t>Gerad</t>
  </si>
  <si>
    <t>David</t>
  </si>
  <si>
    <t>Trea</t>
  </si>
  <si>
    <t>Luol</t>
  </si>
  <si>
    <t>Arok</t>
  </si>
  <si>
    <t>Steven</t>
  </si>
  <si>
    <t>Adeyemi</t>
  </si>
  <si>
    <t>Both</t>
  </si>
  <si>
    <t>Gach</t>
  </si>
  <si>
    <t>1st half</t>
  </si>
  <si>
    <t>2nd half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</si>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</sst>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FGs%20G2%206: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4" sqref="D4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</v>
      </c>
      <c r="F1" t="s">
        <v>11</v>
      </c>
      <c r="G1" t="s">
        <v>26</v>
      </c>
    </row>
    <row r="2" spans="2:12" x14ac:dyDescent="0.2">
      <c r="B2" t="s">
        <v>19</v>
      </c>
      <c r="D2" t="s">
        <v>20</v>
      </c>
      <c r="F2" t="s">
        <v>2</v>
      </c>
      <c r="G2" t="s">
        <v>3</v>
      </c>
      <c r="H2" t="s">
        <v>0</v>
      </c>
      <c r="I2" t="s">
        <v>67</v>
      </c>
      <c r="J2" t="s">
        <v>14</v>
      </c>
      <c r="K2" t="s">
        <v>15</v>
      </c>
      <c r="L2" t="s">
        <v>16</v>
      </c>
    </row>
    <row r="3" spans="2:12" x14ac:dyDescent="0.2">
      <c r="B3">
        <f>I18</f>
        <v>125</v>
      </c>
      <c r="C3" s="3" t="s">
        <v>21</v>
      </c>
      <c r="D3" s="4">
        <f>I37</f>
        <v>104</v>
      </c>
      <c r="F3" t="str">
        <f>'Stats G2'!A5</f>
        <v>Terrence Drisdom</v>
      </c>
      <c r="G3" t="str">
        <f>'Stats G2'!B5</f>
        <v>Drisdom</v>
      </c>
      <c r="H3">
        <f>'Stats G2'!C5</f>
        <v>0</v>
      </c>
      <c r="I3">
        <f>'Stats G2'!H5*2+'Stats G2'!N5*3+'Stats G2'!T5</f>
        <v>27</v>
      </c>
      <c r="J3" t="str">
        <f>SUM('Stats G2'!N5+'Stats G2'!H5)&amp;"-"&amp;SUM('Stats G2'!E5+'Stats G2'!K5)</f>
        <v>9-15</v>
      </c>
      <c r="K3" t="str">
        <f>SUM('Stats G2'!N5)&amp;"-"&amp;SUM('Stats G2'!K5)</f>
        <v>2-2</v>
      </c>
      <c r="L3" t="str">
        <f>SUM('Stats G2'!T5)&amp;"-"&amp;SUM('Stats G2'!Q5)</f>
        <v>7-8</v>
      </c>
    </row>
    <row r="4" spans="2:12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G2'!H6*2+'Stats G2'!N6*3+'Stats G2'!T6</f>
        <v>20</v>
      </c>
      <c r="J4" t="str">
        <f>SUM('Stats G2'!N6+'Stats G2'!H6)&amp;"-"&amp;SUM('Stats G2'!E6+'Stats G2'!K6)</f>
        <v>6-16</v>
      </c>
      <c r="K4" t="str">
        <f>SUM('Stats G2'!N6)&amp;"-"&amp;SUM('Stats G2'!K6)</f>
        <v>4-10</v>
      </c>
      <c r="L4" t="str">
        <f>SUM('Stats G2'!T6)&amp;"-"&amp;SUM('Stats G2'!Q6)</f>
        <v>4-4</v>
      </c>
    </row>
    <row r="5" spans="2:12" x14ac:dyDescent="0.2">
      <c r="F5" t="str">
        <f>'Stats G2'!A7</f>
        <v>Duane</v>
      </c>
      <c r="G5" t="str">
        <f>'Stats G2'!B7</f>
        <v>Brown</v>
      </c>
      <c r="H5">
        <f>'Stats G2'!C7</f>
        <v>2</v>
      </c>
      <c r="I5">
        <f>'Stats G2'!H7*2+'Stats G2'!N7*3+'Stats G2'!T7</f>
        <v>14</v>
      </c>
      <c r="J5" t="str">
        <f>SUM('Stats G2'!N7+'Stats G2'!H7)&amp;"-"&amp;SUM('Stats G2'!E7+'Stats G2'!K7)</f>
        <v>6-9</v>
      </c>
      <c r="K5" t="str">
        <f>SUM('Stats G2'!N7)&amp;"-"&amp;SUM('Stats G2'!K7)</f>
        <v>0-1</v>
      </c>
      <c r="L5" t="str">
        <f>SUM('Stats G2'!T7)&amp;"-"&amp;SUM('Stats G2'!Q7)</f>
        <v>2-2</v>
      </c>
    </row>
    <row r="6" spans="2:12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G2'!H8*2+'Stats G2'!N8*3+'Stats G2'!T8</f>
        <v>0</v>
      </c>
      <c r="J6" t="str">
        <f>SUM('Stats G2'!N8+'Stats G2'!H8)&amp;"-"&amp;SUM('Stats G2'!E8+'Stats G2'!K8)</f>
        <v>0-1</v>
      </c>
      <c r="K6" t="str">
        <f>SUM('Stats G2'!N8)&amp;"-"&amp;SUM('Stats G2'!K8)</f>
        <v>0-1</v>
      </c>
      <c r="L6" t="str">
        <f>SUM('Stats G2'!T8)&amp;"-"&amp;SUM('Stats G2'!Q8)</f>
        <v>0-0</v>
      </c>
    </row>
    <row r="7" spans="2:12" x14ac:dyDescent="0.2">
      <c r="F7" t="str">
        <f>'Stats G2'!A9</f>
        <v>?</v>
      </c>
      <c r="G7" t="str">
        <f>'Stats G2'!B9</f>
        <v>?</v>
      </c>
      <c r="H7">
        <f>'Stats G2'!C9</f>
        <v>4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?</v>
      </c>
      <c r="G8" t="str">
        <f>'Stats G2'!B10</f>
        <v>?</v>
      </c>
      <c r="H8">
        <f>'Stats G2'!C10</f>
        <v>5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Brekott</v>
      </c>
      <c r="G9" t="str">
        <f>'Stats G2'!B11</f>
        <v>Chapman</v>
      </c>
      <c r="H9">
        <f>'Stats G2'!C11</f>
        <v>6</v>
      </c>
      <c r="I9">
        <f>'Stats G2'!H11*2+'Stats G2'!N11*3+'Stats G2'!T11</f>
        <v>12</v>
      </c>
      <c r="J9" t="str">
        <f>SUM('Stats G2'!N11+'Stats G2'!H11)&amp;"-"&amp;SUM('Stats G2'!E11+'Stats G2'!K11)</f>
        <v>4-14</v>
      </c>
      <c r="K9" t="str">
        <f>SUM('Stats G2'!N11)&amp;"-"&amp;SUM('Stats G2'!K11)</f>
        <v>0-4</v>
      </c>
      <c r="L9" t="str">
        <f>SUM('Stats G2'!T11)&amp;"-"&amp;SUM('Stats G2'!Q11)</f>
        <v>4-4</v>
      </c>
    </row>
    <row r="10" spans="2:12" x14ac:dyDescent="0.2">
      <c r="F10" t="str">
        <f>'Stats G2'!A12</f>
        <v>?</v>
      </c>
      <c r="G10" t="str">
        <f>'Stats G2'!B12</f>
        <v>?</v>
      </c>
      <c r="H10">
        <f>'Stats G2'!C12</f>
        <v>7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 xml:space="preserve">Isaiah </v>
      </c>
      <c r="G11" t="str">
        <f>'Stats G2'!B13</f>
        <v>Wright</v>
      </c>
      <c r="H11">
        <f>'Stats G2'!C13</f>
        <v>8</v>
      </c>
      <c r="I11">
        <f>'Stats G2'!H13*2+'Stats G2'!N13*3+'Stats G2'!T13</f>
        <v>18</v>
      </c>
      <c r="J11" t="str">
        <f>SUM('Stats G2'!N13+'Stats G2'!H13)&amp;"-"&amp;SUM('Stats G2'!E13+'Stats G2'!K13)</f>
        <v>5-15</v>
      </c>
      <c r="K11" t="str">
        <f>SUM('Stats G2'!N13)&amp;"-"&amp;SUM('Stats G2'!K13)</f>
        <v>3-6</v>
      </c>
      <c r="L11" t="str">
        <f>SUM('Stats G2'!T13)&amp;"-"&amp;SUM('Stats G2'!Q13)</f>
        <v>5-6</v>
      </c>
    </row>
    <row r="12" spans="2:12" x14ac:dyDescent="0.2">
      <c r="F12" t="str">
        <f>'Stats G2'!A14</f>
        <v>?</v>
      </c>
      <c r="G12" t="str">
        <f>'Stats G2'!B14</f>
        <v>?</v>
      </c>
      <c r="H12">
        <f>'Stats G2'!C14</f>
        <v>9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Tim</v>
      </c>
      <c r="G13" t="str">
        <f>'Stats G2'!B15</f>
        <v>Drisdom</v>
      </c>
      <c r="H13">
        <f>'Stats G2'!C15</f>
        <v>11</v>
      </c>
      <c r="I13">
        <f>'Stats G2'!H15*2+'Stats G2'!N15*3+'Stats G2'!T15</f>
        <v>7</v>
      </c>
      <c r="J13" t="str">
        <f>SUM('Stats G2'!N15+'Stats G2'!H15)&amp;"-"&amp;SUM('Stats G2'!E15+'Stats G2'!K15)</f>
        <v>2-5</v>
      </c>
      <c r="K13" t="str">
        <f>SUM('Stats G2'!N15)&amp;"-"&amp;SUM('Stats G2'!K15)</f>
        <v>2-4</v>
      </c>
      <c r="L13" t="str">
        <f>SUM('Stats G2'!T15)&amp;"-"&amp;SUM('Stats G2'!Q15)</f>
        <v>1-2</v>
      </c>
    </row>
    <row r="14" spans="2:12" x14ac:dyDescent="0.2">
      <c r="F14" t="str">
        <f>'Stats G2'!A16</f>
        <v>Dakari</v>
      </c>
      <c r="G14" t="str">
        <f>'Stats G2'!B16</f>
        <v>Tucker</v>
      </c>
      <c r="H14">
        <f>'Stats G2'!C16</f>
        <v>14</v>
      </c>
      <c r="I14">
        <f>'Stats G2'!H16*2+'Stats G2'!N16*3+'Stats G2'!T16</f>
        <v>18</v>
      </c>
      <c r="J14" t="str">
        <f>SUM('Stats G2'!N16+'Stats G2'!H16)&amp;"-"&amp;SUM('Stats G2'!E16+'Stats G2'!K16)</f>
        <v>7-16</v>
      </c>
      <c r="K14" t="str">
        <f>SUM('Stats G2'!N16)&amp;"-"&amp;SUM('Stats G2'!K16)</f>
        <v>3-9</v>
      </c>
      <c r="L14" t="str">
        <f>SUM('Stats G2'!T16)&amp;"-"&amp;SUM('Stats G2'!Q16)</f>
        <v>1-1</v>
      </c>
    </row>
    <row r="15" spans="2:12" x14ac:dyDescent="0.2">
      <c r="F15" t="str">
        <f>'Stats G2'!A17</f>
        <v>AJ</v>
      </c>
      <c r="G15" t="str">
        <f>'Stats G2'!B17</f>
        <v>Hodges</v>
      </c>
      <c r="H15">
        <f>'Stats G2'!C17</f>
        <v>15</v>
      </c>
      <c r="I15">
        <f>'Stats G2'!H17*2+'Stats G2'!N17*3+'Stats G2'!T17</f>
        <v>4</v>
      </c>
      <c r="J15" t="str">
        <f>SUM('Stats G2'!N17+'Stats G2'!H17)&amp;"-"&amp;SUM('Stats G2'!E17+'Stats G2'!K17)</f>
        <v>2-8</v>
      </c>
      <c r="K15" t="str">
        <f>SUM('Stats G2'!N17)&amp;"-"&amp;SUM('Stats G2'!K17)</f>
        <v>0-5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>
        <f>'Stats G2'!C18</f>
        <v>40</v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Corbin</v>
      </c>
      <c r="G17" t="str">
        <f>'Stats G2'!B19</f>
        <v>Green</v>
      </c>
      <c r="H17">
        <f>'Stats G2'!C19</f>
        <v>98</v>
      </c>
      <c r="I17">
        <f>'Stats G2'!H19*2+'Stats G2'!N19*3+'Stats G2'!T19</f>
        <v>5</v>
      </c>
      <c r="J17" t="str">
        <f>SUM('Stats G2'!N19+'Stats G2'!H19)&amp;"-"&amp;SUM('Stats G2'!E19+'Stats G2'!K19)</f>
        <v>2-3</v>
      </c>
      <c r="K17" t="str">
        <f>SUM('Stats G2'!N19)&amp;"-"&amp;SUM('Stats G2'!K19)</f>
        <v>1-2</v>
      </c>
      <c r="L17" t="str">
        <f>SUM('Stats G2'!T19)&amp;"-"&amp;SUM('Stats G2'!Q19)</f>
        <v>0-0</v>
      </c>
    </row>
    <row r="18" spans="6:12" x14ac:dyDescent="0.2">
      <c r="H18" s="2" t="s">
        <v>18</v>
      </c>
      <c r="I18">
        <f>SUM(I3:I17)</f>
        <v>125</v>
      </c>
      <c r="J18" t="str">
        <f>SUM('Stats G2'!N20+'Stats G2'!H20)&amp;"-"&amp;SUM('Stats G2'!E20+'Stats G2'!K20)</f>
        <v>43-102</v>
      </c>
      <c r="K18" t="str">
        <f>SUM('Stats G2'!N20)&amp;"-"&amp;SUM('Stats G2'!K20)</f>
        <v>15-44</v>
      </c>
      <c r="L18" t="str">
        <f>SUM('Stats G2'!T20)&amp;"-"&amp;SUM('Stats G2'!Q20)</f>
        <v>24-27</v>
      </c>
    </row>
    <row r="20" spans="6:12" x14ac:dyDescent="0.2">
      <c r="F20" t="s">
        <v>17</v>
      </c>
      <c r="G20" t="s">
        <v>60</v>
      </c>
    </row>
    <row r="21" spans="6:12" x14ac:dyDescent="0.2">
      <c r="F21" t="s">
        <v>2</v>
      </c>
      <c r="G21" t="s">
        <v>3</v>
      </c>
      <c r="H21" t="s">
        <v>0</v>
      </c>
      <c r="I21" t="s">
        <v>67</v>
      </c>
      <c r="J21" t="s">
        <v>14</v>
      </c>
      <c r="K21" t="s">
        <v>15</v>
      </c>
      <c r="L21" t="s">
        <v>16</v>
      </c>
    </row>
    <row r="22" spans="6:12" x14ac:dyDescent="0.2">
      <c r="F22" t="str">
        <f>'Stats G2'!A23</f>
        <v>?</v>
      </c>
      <c r="G22" t="str">
        <f>'Stats G2'!B23</f>
        <v>?</v>
      </c>
      <c r="H22">
        <f>'Stats G2'!C23</f>
        <v>0</v>
      </c>
      <c r="I22">
        <f>'Stats G2'!H23*2+'Stats G2'!N23*3+'Stats G2'!T23</f>
        <v>2</v>
      </c>
      <c r="J22" t="str">
        <f>SUM('Stats G2'!N23+'Stats G2'!H23)&amp;"-"&amp;SUM('Stats G2'!E23+'Stats G2'!K23)</f>
        <v>1-1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Lahot</v>
      </c>
      <c r="G23" t="str">
        <f>'Stats G2'!B24</f>
        <v>?</v>
      </c>
      <c r="H23">
        <f>'Stats G2'!C24</f>
        <v>1</v>
      </c>
      <c r="I23">
        <f>'Stats G2'!H24*2+'Stats G2'!N24*3+'Stats G2'!T24</f>
        <v>14</v>
      </c>
      <c r="J23" t="str">
        <f>SUM('Stats G2'!N24+'Stats G2'!H24)&amp;"-"&amp;SUM('Stats G2'!E24+'Stats G2'!K24)</f>
        <v>6-8</v>
      </c>
      <c r="K23" t="str">
        <f>SUM('Stats G2'!N24)&amp;"-"&amp;SUM('Stats G2'!K24)</f>
        <v>0-0</v>
      </c>
      <c r="L23" t="str">
        <f>SUM('Stats G2'!T24)&amp;"-"&amp;SUM('Stats G2'!Q24)</f>
        <v>2-2</v>
      </c>
    </row>
    <row r="24" spans="6:12" x14ac:dyDescent="0.2">
      <c r="F24" t="str">
        <f>'Stats G2'!A25</f>
        <v>?</v>
      </c>
      <c r="G24" t="str">
        <f>'Stats G2'!B25</f>
        <v>?</v>
      </c>
      <c r="H24">
        <f>'Stats G2'!C25</f>
        <v>2</v>
      </c>
      <c r="I24">
        <f>'Stats G2'!H25*2+'Stats G2'!N25*3+'Stats G2'!T25</f>
        <v>2</v>
      </c>
      <c r="J24" t="str">
        <f>SUM('Stats G2'!N25+'Stats G2'!H25)&amp;"-"&amp;SUM('Stats G2'!E25+'Stats G2'!K25)</f>
        <v>1-1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">
      <c r="F25" t="str">
        <f>'Stats G2'!A26</f>
        <v>Mark</v>
      </c>
      <c r="G25" t="str">
        <f>'Stats G2'!B26</f>
        <v>Burton</v>
      </c>
      <c r="H25">
        <f>'Stats G2'!C26</f>
        <v>3</v>
      </c>
      <c r="I25">
        <f>'Stats G2'!H26*2+'Stats G2'!N26*3+'Stats G2'!T26</f>
        <v>16</v>
      </c>
      <c r="J25" t="str">
        <f>SUM('Stats G2'!N26+'Stats G2'!H26)&amp;"-"&amp;SUM('Stats G2'!E26+'Stats G2'!K26)</f>
        <v>5-15</v>
      </c>
      <c r="K25" t="str">
        <f>SUM('Stats G2'!N26)&amp;"-"&amp;SUM('Stats G2'!K26)</f>
        <v>2-7</v>
      </c>
      <c r="L25" t="str">
        <f>SUM('Stats G2'!T26)&amp;"-"&amp;SUM('Stats G2'!Q26)</f>
        <v>4-5</v>
      </c>
    </row>
    <row r="26" spans="6:12" x14ac:dyDescent="0.2">
      <c r="F26" t="str">
        <f>'Stats G2'!A27</f>
        <v>Cole</v>
      </c>
      <c r="G26" t="str">
        <f>'Stats G2'!B27</f>
        <v>Kadoguchi</v>
      </c>
      <c r="H26">
        <f>'Stats G2'!C27</f>
        <v>4</v>
      </c>
      <c r="I26">
        <f>'Stats G2'!H27*2+'Stats G2'!N27*3+'Stats G2'!T27</f>
        <v>3</v>
      </c>
      <c r="J26" t="str">
        <f>SUM('Stats G2'!N27+'Stats G2'!H27)&amp;"-"&amp;SUM('Stats G2'!E27+'Stats G2'!K27)</f>
        <v>1-2</v>
      </c>
      <c r="K26" t="str">
        <f>SUM('Stats G2'!N27)&amp;"-"&amp;SUM('Stats G2'!K27)</f>
        <v>1-1</v>
      </c>
      <c r="L26" t="str">
        <f>SUM('Stats G2'!T27)&amp;"-"&amp;SUM('Stats G2'!Q27)</f>
        <v>0-0</v>
      </c>
    </row>
    <row r="27" spans="6:12" x14ac:dyDescent="0.2">
      <c r="F27" t="str">
        <f>'Stats G2'!A28</f>
        <v>Deng</v>
      </c>
      <c r="G27" t="str">
        <f>'Stats G2'!B28</f>
        <v>Mayar</v>
      </c>
      <c r="H27">
        <f>'Stats G2'!C28</f>
        <v>5</v>
      </c>
      <c r="I27">
        <f>'Stats G2'!H28*2+'Stats G2'!N28*3+'Stats G2'!T28</f>
        <v>2</v>
      </c>
      <c r="J27" t="str">
        <f>SUM('Stats G2'!N28+'Stats G2'!H28)&amp;"-"&amp;SUM('Stats G2'!E28+'Stats G2'!K28)</f>
        <v>1-4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Zach</v>
      </c>
      <c r="G28" t="str">
        <f>'Stats G2'!B29</f>
        <v>Cassita</v>
      </c>
      <c r="H28">
        <f>'Stats G2'!C29</f>
        <v>6</v>
      </c>
      <c r="I28">
        <f>'Stats G2'!H29*2+'Stats G2'!N29*3+'Stats G2'!T29</f>
        <v>6</v>
      </c>
      <c r="J28" t="str">
        <f>SUM('Stats G2'!N29+'Stats G2'!H29)&amp;"-"&amp;SUM('Stats G2'!E29+'Stats G2'!K29)</f>
        <v>2-8</v>
      </c>
      <c r="K28" t="str">
        <f>SUM('Stats G2'!N29)&amp;"-"&amp;SUM('Stats G2'!K29)</f>
        <v>0-3</v>
      </c>
      <c r="L28" t="str">
        <f>SUM('Stats G2'!T29)&amp;"-"&amp;SUM('Stats G2'!Q29)</f>
        <v>2-2</v>
      </c>
    </row>
    <row r="29" spans="6:12" x14ac:dyDescent="0.2">
      <c r="F29" t="str">
        <f>'Stats G2'!A30</f>
        <v>Zeus</v>
      </c>
      <c r="G29" t="str">
        <f>'Stats G2'!B30</f>
        <v>Martinez</v>
      </c>
      <c r="H29">
        <f>'Stats G2'!C30</f>
        <v>7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Dom</v>
      </c>
      <c r="G30" t="str">
        <f>'Stats G2'!B31</f>
        <v>Phillip</v>
      </c>
      <c r="H30">
        <f>'Stats G2'!C31</f>
        <v>8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Gerad</v>
      </c>
      <c r="G31" t="str">
        <f>'Stats G2'!B32</f>
        <v>David</v>
      </c>
      <c r="H31">
        <f>'Stats G2'!C32</f>
        <v>14</v>
      </c>
      <c r="I31">
        <f>'Stats G2'!H32*2+'Stats G2'!N32*3+'Stats G2'!T32</f>
        <v>23</v>
      </c>
      <c r="J31" t="str">
        <f>SUM('Stats G2'!N32+'Stats G2'!H32)&amp;"-"&amp;SUM('Stats G2'!E32+'Stats G2'!K32)</f>
        <v>11-18</v>
      </c>
      <c r="K31" t="str">
        <f>SUM('Stats G2'!N32)&amp;"-"&amp;SUM('Stats G2'!K32)</f>
        <v>0-0</v>
      </c>
      <c r="L31" t="str">
        <f>SUM('Stats G2'!T32)&amp;"-"&amp;SUM('Stats G2'!Q32)</f>
        <v>1-2</v>
      </c>
    </row>
    <row r="32" spans="6:12" x14ac:dyDescent="0.2">
      <c r="F32" t="str">
        <f>'Stats G2'!A33</f>
        <v>Trea</v>
      </c>
      <c r="G32" t="str">
        <f>'Stats G2'!B33</f>
        <v>?</v>
      </c>
      <c r="H32">
        <f>'Stats G2'!C33</f>
        <v>17</v>
      </c>
      <c r="I32">
        <f>'Stats G2'!H33*2+'Stats G2'!N33*3+'Stats G2'!T33</f>
        <v>2</v>
      </c>
      <c r="J32" t="str">
        <f>SUM('Stats G2'!N33+'Stats G2'!H33)&amp;"-"&amp;SUM('Stats G2'!E33+'Stats G2'!K33)</f>
        <v>1-1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Luol</v>
      </c>
      <c r="G33" t="str">
        <f>'Stats G2'!B34</f>
        <v>Arok</v>
      </c>
      <c r="H33">
        <f>'Stats G2'!C34</f>
        <v>20</v>
      </c>
      <c r="I33">
        <f>'Stats G2'!H34*2+'Stats G2'!N34*3+'Stats G2'!T34</f>
        <v>2</v>
      </c>
      <c r="J33" t="str">
        <f>SUM('Stats G2'!N34+'Stats G2'!H34)&amp;"-"&amp;SUM('Stats G2'!E34+'Stats G2'!K34)</f>
        <v>1-2</v>
      </c>
      <c r="K33" t="str">
        <f>SUM('Stats G2'!N34)&amp;"-"&amp;SUM('Stats G2'!K34)</f>
        <v>0-1</v>
      </c>
      <c r="L33" t="str">
        <f>SUM('Stats G2'!T34)&amp;"-"&amp;SUM('Stats G2'!Q34)</f>
        <v>0-0</v>
      </c>
    </row>
    <row r="34" spans="6:12" x14ac:dyDescent="0.2">
      <c r="F34" t="str">
        <f>'Stats G2'!A35</f>
        <v>Steven</v>
      </c>
      <c r="G34" t="str">
        <f>'Stats G2'!B35</f>
        <v>Adeyemi</v>
      </c>
      <c r="H34">
        <f>'Stats G2'!C35</f>
        <v>24</v>
      </c>
      <c r="I34">
        <f>'Stats G2'!H35*2+'Stats G2'!N35*3+'Stats G2'!T35</f>
        <v>9</v>
      </c>
      <c r="J34" t="str">
        <f>SUM('Stats G2'!N35+'Stats G2'!H35)&amp;"-"&amp;SUM('Stats G2'!E35+'Stats G2'!K35)</f>
        <v>3-5</v>
      </c>
      <c r="K34" t="str">
        <f>SUM('Stats G2'!N35)&amp;"-"&amp;SUM('Stats G2'!K35)</f>
        <v>2-2</v>
      </c>
      <c r="L34" t="str">
        <f>SUM('Stats G2'!T35)&amp;"-"&amp;SUM('Stats G2'!Q35)</f>
        <v>1-2</v>
      </c>
    </row>
    <row r="35" spans="6:12" x14ac:dyDescent="0.2">
      <c r="F35" t="str">
        <f>'Stats G2'!A36</f>
        <v>Both</v>
      </c>
      <c r="G35" t="str">
        <f>'Stats G2'!B36</f>
        <v>Gach</v>
      </c>
      <c r="H35">
        <f>'Stats G2'!C36</f>
        <v>11</v>
      </c>
      <c r="I35">
        <f>'Stats G2'!H36*2+'Stats G2'!N36*3+'Stats G2'!T36</f>
        <v>23</v>
      </c>
      <c r="J35" t="str">
        <f>SUM('Stats G2'!N36+'Stats G2'!H36)&amp;"-"&amp;SUM('Stats G2'!E36+'Stats G2'!K36)</f>
        <v>9-19</v>
      </c>
      <c r="K35" t="str">
        <f>SUM('Stats G2'!N36)&amp;"-"&amp;SUM('Stats G2'!K36)</f>
        <v>1-8</v>
      </c>
      <c r="L35" t="str">
        <f>SUM('Stats G2'!T36)&amp;"-"&amp;SUM('Stats G2'!Q36)</f>
        <v>4-6</v>
      </c>
    </row>
    <row r="36" spans="6:12" x14ac:dyDescent="0.2">
      <c r="F36" t="str">
        <f>'Stats G2'!A37</f>
        <v>?</v>
      </c>
      <c r="G36" t="str">
        <f>'Stats G2'!B37</f>
        <v>?</v>
      </c>
      <c r="H36">
        <f>'Stats G2'!C37</f>
        <v>50</v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18</v>
      </c>
      <c r="I37">
        <f>SUM(I22:I36)</f>
        <v>104</v>
      </c>
      <c r="J37" t="str">
        <f>SUM('Stats G2'!N38+'Stats G2'!H38)&amp;"-"&amp;SUM('Stats G2'!E38+'Stats G2'!K38)</f>
        <v>42-84</v>
      </c>
      <c r="K37" t="str">
        <f>SUM('Stats G2'!N38)&amp;"-"&amp;SUM('Stats G2'!K38)</f>
        <v>6-22</v>
      </c>
      <c r="L37" t="str">
        <f>SUM('Stats G2'!T38)&amp;"-"&amp;SUM('Stats G2'!Q38)</f>
        <v>14-19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70" zoomScaleNormal="70" workbookViewId="0">
      <selection activeCell="E40" sqref="E40"/>
    </sheetView>
  </sheetViews>
  <sheetFormatPr baseColWidth="10" defaultColWidth="11.1640625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5" hidden="1" x14ac:dyDescent="0.2">
      <c r="A1" s="1" t="s">
        <v>1</v>
      </c>
      <c r="B1" t="s">
        <v>12</v>
      </c>
      <c r="C1" t="s">
        <v>13</v>
      </c>
    </row>
    <row r="2" spans="1:25" hidden="1" x14ac:dyDescent="0.2"/>
    <row r="3" spans="1:25" x14ac:dyDescent="0.2">
      <c r="A3" s="2" t="s">
        <v>22</v>
      </c>
      <c r="B3" s="1" t="s">
        <v>12</v>
      </c>
    </row>
    <row r="4" spans="1:25" x14ac:dyDescent="0.2">
      <c r="A4" t="s">
        <v>2</v>
      </c>
      <c r="B4" t="s">
        <v>3</v>
      </c>
      <c r="C4" t="s">
        <v>0</v>
      </c>
      <c r="E4" t="s">
        <v>4</v>
      </c>
      <c r="H4" t="s">
        <v>5</v>
      </c>
      <c r="K4" t="s">
        <v>6</v>
      </c>
      <c r="N4" t="s">
        <v>7</v>
      </c>
      <c r="Q4" t="s">
        <v>8</v>
      </c>
      <c r="T4" t="s">
        <v>9</v>
      </c>
    </row>
    <row r="5" spans="1:25" s="6" customFormat="1" x14ac:dyDescent="0.2">
      <c r="A5" s="5" t="s">
        <v>25</v>
      </c>
      <c r="B5" s="5" t="s">
        <v>26</v>
      </c>
      <c r="C5" s="5">
        <v>0</v>
      </c>
      <c r="D5" s="5"/>
      <c r="E5" s="5">
        <v>13</v>
      </c>
      <c r="F5" s="5"/>
      <c r="G5" s="5"/>
      <c r="H5" s="5">
        <v>7</v>
      </c>
      <c r="I5" s="5"/>
      <c r="J5" s="5"/>
      <c r="K5" s="5">
        <v>2</v>
      </c>
      <c r="L5" s="5"/>
      <c r="M5" s="5"/>
      <c r="N5" s="5">
        <v>2</v>
      </c>
      <c r="O5" s="5"/>
      <c r="P5" s="5"/>
      <c r="Q5" s="5">
        <v>8</v>
      </c>
      <c r="R5" s="5"/>
      <c r="S5" s="5"/>
      <c r="T5" s="5">
        <v>7</v>
      </c>
      <c r="U5" s="5"/>
    </row>
    <row r="6" spans="1:25" s="6" customFormat="1" x14ac:dyDescent="0.2">
      <c r="A6" s="6" t="s">
        <v>27</v>
      </c>
      <c r="B6" s="6" t="s">
        <v>28</v>
      </c>
      <c r="C6" s="6">
        <v>1</v>
      </c>
      <c r="E6" s="6">
        <v>6</v>
      </c>
      <c r="H6" s="6">
        <v>2</v>
      </c>
      <c r="K6" s="6">
        <v>10</v>
      </c>
      <c r="N6" s="6">
        <v>4</v>
      </c>
      <c r="Q6" s="6">
        <v>4</v>
      </c>
      <c r="T6" s="6">
        <v>4</v>
      </c>
    </row>
    <row r="7" spans="1:25" s="6" customFormat="1" x14ac:dyDescent="0.2">
      <c r="A7" s="5" t="s">
        <v>29</v>
      </c>
      <c r="B7" s="5" t="s">
        <v>30</v>
      </c>
      <c r="C7" s="5">
        <v>2</v>
      </c>
      <c r="D7" s="5"/>
      <c r="E7" s="5">
        <v>8</v>
      </c>
      <c r="F7" s="5"/>
      <c r="G7" s="5"/>
      <c r="H7" s="5">
        <v>6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2</v>
      </c>
      <c r="R7" s="5"/>
      <c r="S7" s="5"/>
      <c r="T7" s="5">
        <v>2</v>
      </c>
      <c r="U7" s="5"/>
    </row>
    <row r="8" spans="1:25" s="6" customFormat="1" x14ac:dyDescent="0.2">
      <c r="A8" s="6" t="s">
        <v>31</v>
      </c>
      <c r="B8" s="6" t="s">
        <v>32</v>
      </c>
      <c r="C8" s="6">
        <v>3</v>
      </c>
      <c r="E8" s="6">
        <v>0</v>
      </c>
      <c r="H8" s="6">
        <v>0</v>
      </c>
      <c r="K8" s="6">
        <v>1</v>
      </c>
      <c r="N8" s="6">
        <v>0</v>
      </c>
      <c r="Q8" s="6">
        <v>0</v>
      </c>
      <c r="T8" s="6">
        <v>0</v>
      </c>
    </row>
    <row r="9" spans="1:25" s="6" customFormat="1" x14ac:dyDescent="0.2">
      <c r="A9" s="5" t="s">
        <v>10</v>
      </c>
      <c r="B9" s="5" t="s">
        <v>10</v>
      </c>
      <c r="C9" s="5"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5" s="6" customFormat="1" x14ac:dyDescent="0.2">
      <c r="A10" s="6" t="s">
        <v>10</v>
      </c>
      <c r="B10" s="6" t="s">
        <v>10</v>
      </c>
      <c r="C10" s="6">
        <v>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 t="s">
        <v>65</v>
      </c>
      <c r="X10" s="6" t="s">
        <v>19</v>
      </c>
    </row>
    <row r="11" spans="1:25" s="6" customFormat="1" x14ac:dyDescent="0.2">
      <c r="A11" s="5" t="s">
        <v>33</v>
      </c>
      <c r="B11" s="5" t="s">
        <v>34</v>
      </c>
      <c r="C11" s="5">
        <v>6</v>
      </c>
      <c r="D11" s="5"/>
      <c r="E11" s="5">
        <v>10</v>
      </c>
      <c r="F11" s="5"/>
      <c r="G11" s="5"/>
      <c r="H11" s="5">
        <v>4</v>
      </c>
      <c r="I11" s="5"/>
      <c r="J11" s="5"/>
      <c r="K11" s="5">
        <v>4</v>
      </c>
      <c r="L11" s="5"/>
      <c r="M11" s="5"/>
      <c r="N11" s="5">
        <v>0</v>
      </c>
      <c r="O11" s="5"/>
      <c r="P11" s="5"/>
      <c r="Q11" s="5">
        <v>4</v>
      </c>
      <c r="R11" s="5"/>
      <c r="S11" s="5"/>
      <c r="T11" s="5">
        <v>4</v>
      </c>
      <c r="U11" s="5"/>
      <c r="X11" s="6" t="s">
        <v>20</v>
      </c>
    </row>
    <row r="12" spans="1:25" s="6" customFormat="1" x14ac:dyDescent="0.2">
      <c r="A12" s="6" t="s">
        <v>10</v>
      </c>
      <c r="B12" s="6" t="s">
        <v>10</v>
      </c>
      <c r="C12" s="6">
        <v>7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 t="s">
        <v>66</v>
      </c>
      <c r="X12" s="6" t="s">
        <v>19</v>
      </c>
      <c r="Y12" s="6">
        <v>2</v>
      </c>
    </row>
    <row r="13" spans="1:25" s="6" customFormat="1" x14ac:dyDescent="0.2">
      <c r="A13" s="5" t="s">
        <v>35</v>
      </c>
      <c r="B13" s="5" t="s">
        <v>36</v>
      </c>
      <c r="C13" s="5">
        <v>8</v>
      </c>
      <c r="D13" s="5"/>
      <c r="E13" s="5">
        <v>9</v>
      </c>
      <c r="F13" s="5"/>
      <c r="G13" s="5"/>
      <c r="H13" s="5">
        <v>2</v>
      </c>
      <c r="I13" s="5"/>
      <c r="J13" s="5"/>
      <c r="K13" s="5">
        <v>6</v>
      </c>
      <c r="L13" s="5"/>
      <c r="M13" s="5"/>
      <c r="N13" s="5">
        <v>3</v>
      </c>
      <c r="O13" s="5"/>
      <c r="P13" s="5"/>
      <c r="Q13" s="5">
        <v>6</v>
      </c>
      <c r="R13" s="5"/>
      <c r="S13" s="5"/>
      <c r="T13" s="5">
        <v>5</v>
      </c>
      <c r="U13" s="5"/>
      <c r="X13" s="6" t="s">
        <v>20</v>
      </c>
      <c r="Y13" s="6">
        <v>2</v>
      </c>
    </row>
    <row r="14" spans="1:25" s="6" customFormat="1" x14ac:dyDescent="0.2">
      <c r="A14" s="6" t="s">
        <v>10</v>
      </c>
      <c r="B14" s="6" t="s">
        <v>10</v>
      </c>
      <c r="C14" s="6">
        <v>9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5" s="6" customFormat="1" x14ac:dyDescent="0.2">
      <c r="A15" s="5" t="s">
        <v>37</v>
      </c>
      <c r="B15" s="5" t="s">
        <v>26</v>
      </c>
      <c r="C15" s="5">
        <v>11</v>
      </c>
      <c r="D15" s="5"/>
      <c r="E15" s="5">
        <v>1</v>
      </c>
      <c r="F15" s="5"/>
      <c r="G15" s="5"/>
      <c r="H15" s="5">
        <v>0</v>
      </c>
      <c r="I15" s="5"/>
      <c r="J15" s="5"/>
      <c r="K15" s="5">
        <v>4</v>
      </c>
      <c r="L15" s="5"/>
      <c r="M15" s="5"/>
      <c r="N15" s="5">
        <v>2</v>
      </c>
      <c r="O15" s="5"/>
      <c r="P15" s="5"/>
      <c r="Q15" s="5">
        <v>2</v>
      </c>
      <c r="R15" s="5"/>
      <c r="S15" s="5"/>
      <c r="T15" s="5">
        <v>1</v>
      </c>
      <c r="U15" s="5"/>
    </row>
    <row r="16" spans="1:25" s="6" customFormat="1" x14ac:dyDescent="0.2">
      <c r="A16" s="6" t="s">
        <v>38</v>
      </c>
      <c r="B16" s="6" t="s">
        <v>39</v>
      </c>
      <c r="C16" s="6">
        <v>14</v>
      </c>
      <c r="E16" s="6">
        <v>7</v>
      </c>
      <c r="H16" s="6">
        <v>4</v>
      </c>
      <c r="K16" s="6">
        <v>9</v>
      </c>
      <c r="N16" s="6">
        <v>3</v>
      </c>
      <c r="Q16" s="6">
        <v>1</v>
      </c>
      <c r="T16" s="6">
        <v>1</v>
      </c>
    </row>
    <row r="17" spans="1:21" s="6" customFormat="1" x14ac:dyDescent="0.2">
      <c r="A17" s="5" t="s">
        <v>40</v>
      </c>
      <c r="B17" s="5" t="s">
        <v>41</v>
      </c>
      <c r="C17" s="5">
        <v>15</v>
      </c>
      <c r="D17" s="5"/>
      <c r="E17" s="5">
        <v>3</v>
      </c>
      <c r="F17" s="5"/>
      <c r="G17" s="5"/>
      <c r="H17" s="5">
        <v>2</v>
      </c>
      <c r="I17" s="5"/>
      <c r="J17" s="5"/>
      <c r="K17" s="5">
        <v>5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10</v>
      </c>
      <c r="B18" s="6" t="s">
        <v>10</v>
      </c>
      <c r="C18" s="6">
        <v>40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42</v>
      </c>
      <c r="B19" s="5" t="s">
        <v>28</v>
      </c>
      <c r="C19" s="5">
        <v>98</v>
      </c>
      <c r="D19" s="5"/>
      <c r="E19" s="5">
        <v>1</v>
      </c>
      <c r="F19" s="5"/>
      <c r="G19" s="5"/>
      <c r="H19" s="5">
        <v>1</v>
      </c>
      <c r="I19" s="5"/>
      <c r="J19" s="5"/>
      <c r="K19" s="5">
        <v>2</v>
      </c>
      <c r="L19" s="5"/>
      <c r="M19" s="5"/>
      <c r="N19" s="5">
        <v>1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58</v>
      </c>
      <c r="H20">
        <f>SUM(H5:H19)</f>
        <v>28</v>
      </c>
      <c r="K20">
        <f>SUM(K5:K19)</f>
        <v>44</v>
      </c>
      <c r="N20">
        <f>SUM(N5:N19)</f>
        <v>15</v>
      </c>
      <c r="Q20">
        <f>SUM(Q5:Q19)</f>
        <v>27</v>
      </c>
      <c r="T20">
        <f>SUM(T5:T19)</f>
        <v>24</v>
      </c>
    </row>
    <row r="21" spans="1:21" x14ac:dyDescent="0.2">
      <c r="A21" s="2" t="s">
        <v>23</v>
      </c>
      <c r="B21" s="1" t="s">
        <v>13</v>
      </c>
    </row>
    <row r="22" spans="1:21" x14ac:dyDescent="0.2">
      <c r="A22" t="s">
        <v>2</v>
      </c>
      <c r="B22" t="s">
        <v>3</v>
      </c>
      <c r="C22" t="s">
        <v>0</v>
      </c>
      <c r="E22" t="s">
        <v>4</v>
      </c>
      <c r="H22" t="s">
        <v>5</v>
      </c>
      <c r="K22" t="s">
        <v>6</v>
      </c>
      <c r="N22" t="s">
        <v>7</v>
      </c>
      <c r="Q22" t="s">
        <v>8</v>
      </c>
      <c r="T22" t="s">
        <v>9</v>
      </c>
    </row>
    <row r="23" spans="1:21" s="6" customFormat="1" x14ac:dyDescent="0.2">
      <c r="A23" s="5" t="s">
        <v>10</v>
      </c>
      <c r="B23" s="5" t="s">
        <v>10</v>
      </c>
      <c r="C23" s="5">
        <v>0</v>
      </c>
      <c r="D23" s="5"/>
      <c r="E23" s="5">
        <v>1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43</v>
      </c>
      <c r="B24" s="6" t="s">
        <v>10</v>
      </c>
      <c r="C24" s="6">
        <v>1</v>
      </c>
      <c r="E24" s="6">
        <v>8</v>
      </c>
      <c r="H24" s="6">
        <v>6</v>
      </c>
      <c r="K24" s="6">
        <v>0</v>
      </c>
      <c r="N24" s="6">
        <v>0</v>
      </c>
      <c r="Q24" s="6">
        <v>2</v>
      </c>
      <c r="T24" s="6">
        <v>2</v>
      </c>
    </row>
    <row r="25" spans="1:21" s="6" customFormat="1" x14ac:dyDescent="0.2">
      <c r="A25" s="5" t="s">
        <v>10</v>
      </c>
      <c r="B25" s="5" t="s">
        <v>10</v>
      </c>
      <c r="C25" s="5">
        <v>2</v>
      </c>
      <c r="D25" s="5"/>
      <c r="E25" s="5">
        <v>1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44</v>
      </c>
      <c r="B26" s="6" t="s">
        <v>45</v>
      </c>
      <c r="C26" s="6">
        <v>3</v>
      </c>
      <c r="E26" s="6">
        <v>8</v>
      </c>
      <c r="H26" s="6">
        <v>3</v>
      </c>
      <c r="K26" s="6">
        <v>7</v>
      </c>
      <c r="N26" s="6">
        <v>2</v>
      </c>
      <c r="Q26" s="6">
        <v>5</v>
      </c>
      <c r="T26" s="6">
        <v>4</v>
      </c>
    </row>
    <row r="27" spans="1:21" s="6" customFormat="1" x14ac:dyDescent="0.2">
      <c r="A27" s="5" t="s">
        <v>46</v>
      </c>
      <c r="B27" s="5" t="s">
        <v>47</v>
      </c>
      <c r="C27" s="5">
        <v>4</v>
      </c>
      <c r="D27" s="5"/>
      <c r="E27" s="5">
        <v>1</v>
      </c>
      <c r="F27" s="5"/>
      <c r="G27" s="5"/>
      <c r="H27" s="5">
        <v>0</v>
      </c>
      <c r="I27" s="5"/>
      <c r="J27" s="5"/>
      <c r="K27" s="5">
        <v>1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">
        <v>48</v>
      </c>
      <c r="B28" s="6" t="s">
        <v>49</v>
      </c>
      <c r="C28" s="6">
        <v>5</v>
      </c>
      <c r="E28" s="6">
        <v>4</v>
      </c>
      <c r="H28" s="6">
        <v>1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50</v>
      </c>
      <c r="B29" s="5" t="s">
        <v>51</v>
      </c>
      <c r="C29" s="5">
        <v>6</v>
      </c>
      <c r="D29" s="5"/>
      <c r="E29" s="5">
        <v>5</v>
      </c>
      <c r="F29" s="5"/>
      <c r="G29" s="5"/>
      <c r="H29" s="5">
        <v>2</v>
      </c>
      <c r="I29" s="5"/>
      <c r="J29" s="5"/>
      <c r="K29" s="5">
        <v>3</v>
      </c>
      <c r="L29" s="5"/>
      <c r="M29" s="5"/>
      <c r="N29" s="5">
        <v>0</v>
      </c>
      <c r="O29" s="5"/>
      <c r="P29" s="5"/>
      <c r="Q29" s="5">
        <v>2</v>
      </c>
      <c r="R29" s="5"/>
      <c r="S29" s="5"/>
      <c r="T29" s="5">
        <v>2</v>
      </c>
      <c r="U29" s="5"/>
    </row>
    <row r="30" spans="1:21" s="6" customFormat="1" x14ac:dyDescent="0.2">
      <c r="A30" s="6" t="s">
        <v>52</v>
      </c>
      <c r="B30" s="6" t="s">
        <v>53</v>
      </c>
      <c r="C30" s="6">
        <v>7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54</v>
      </c>
      <c r="B31" s="5" t="s">
        <v>55</v>
      </c>
      <c r="C31" s="5">
        <v>8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56</v>
      </c>
      <c r="B32" s="6" t="s">
        <v>57</v>
      </c>
      <c r="C32" s="6">
        <v>14</v>
      </c>
      <c r="E32" s="6">
        <v>18</v>
      </c>
      <c r="H32" s="6">
        <v>11</v>
      </c>
      <c r="K32" s="6">
        <v>0</v>
      </c>
      <c r="N32" s="6">
        <v>0</v>
      </c>
      <c r="Q32" s="6">
        <v>2</v>
      </c>
      <c r="T32" s="6">
        <v>1</v>
      </c>
    </row>
    <row r="33" spans="1:21" s="6" customFormat="1" x14ac:dyDescent="0.2">
      <c r="A33" s="5" t="s">
        <v>58</v>
      </c>
      <c r="B33" s="5" t="s">
        <v>10</v>
      </c>
      <c r="C33" s="5">
        <v>17</v>
      </c>
      <c r="D33" s="5"/>
      <c r="E33" s="5">
        <v>1</v>
      </c>
      <c r="F33" s="5"/>
      <c r="G33" s="5"/>
      <c r="H33" s="5">
        <v>1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59</v>
      </c>
      <c r="B34" t="s">
        <v>60</v>
      </c>
      <c r="C34">
        <v>20</v>
      </c>
      <c r="D34"/>
      <c r="E34" s="6">
        <v>1</v>
      </c>
      <c r="F34"/>
      <c r="G34"/>
      <c r="H34" s="6">
        <v>1</v>
      </c>
      <c r="I34"/>
      <c r="J34"/>
      <c r="K34" s="6">
        <v>1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61</v>
      </c>
      <c r="B35" s="5" t="s">
        <v>62</v>
      </c>
      <c r="C35" s="5">
        <v>24</v>
      </c>
      <c r="D35" s="5"/>
      <c r="E35" s="5">
        <v>3</v>
      </c>
      <c r="F35" s="5"/>
      <c r="G35" s="5"/>
      <c r="H35" s="5">
        <v>1</v>
      </c>
      <c r="I35" s="5"/>
      <c r="J35" s="5"/>
      <c r="K35" s="5">
        <v>2</v>
      </c>
      <c r="L35" s="5"/>
      <c r="M35" s="5"/>
      <c r="N35" s="5">
        <v>2</v>
      </c>
      <c r="O35" s="5"/>
      <c r="P35" s="5"/>
      <c r="Q35" s="5">
        <v>2</v>
      </c>
      <c r="R35" s="5"/>
      <c r="S35" s="5"/>
      <c r="T35" s="5">
        <v>1</v>
      </c>
      <c r="U35" s="5"/>
    </row>
    <row r="36" spans="1:21" s="6" customFormat="1" x14ac:dyDescent="0.2">
      <c r="A36" t="s">
        <v>63</v>
      </c>
      <c r="B36" t="s">
        <v>64</v>
      </c>
      <c r="C36">
        <v>11</v>
      </c>
      <c r="D36"/>
      <c r="E36" s="6">
        <v>11</v>
      </c>
      <c r="F36"/>
      <c r="G36"/>
      <c r="H36" s="6">
        <v>8</v>
      </c>
      <c r="I36"/>
      <c r="J36"/>
      <c r="K36" s="6">
        <v>8</v>
      </c>
      <c r="L36"/>
      <c r="M36"/>
      <c r="N36" s="6">
        <v>1</v>
      </c>
      <c r="O36"/>
      <c r="P36"/>
      <c r="Q36" s="6">
        <v>6</v>
      </c>
      <c r="R36"/>
      <c r="S36"/>
      <c r="T36" s="6">
        <v>4</v>
      </c>
      <c r="U36"/>
    </row>
    <row r="37" spans="1:21" s="6" customFormat="1" x14ac:dyDescent="0.2">
      <c r="A37" s="5" t="s">
        <v>10</v>
      </c>
      <c r="B37" s="5" t="s">
        <v>10</v>
      </c>
      <c r="C37" s="5">
        <v>50</v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62</v>
      </c>
      <c r="H38">
        <f>SUM(H23:H37)</f>
        <v>36</v>
      </c>
      <c r="K38">
        <f>SUM(K23:K37)</f>
        <v>22</v>
      </c>
      <c r="N38">
        <f>SUM(N23:N37)</f>
        <v>6</v>
      </c>
      <c r="Q38">
        <f>SUM(Q23:Q37)</f>
        <v>19</v>
      </c>
      <c r="T38">
        <f>SUM(T23:T37)</f>
        <v>14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2021-06-30T22:15:51Z</dcterms:modified>
</cp:coreProperties>
</file>