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2/"/>
    </mc:Choice>
  </mc:AlternateContent>
  <xr:revisionPtr revIDLastSave="0" documentId="13_ncr:1_{A9402D57-E7A8-7940-9F07-41A9D82361DC}" xr6:coauthVersionLast="47" xr6:coauthVersionMax="47" xr10:uidLastSave="{00000000-0000-0000-0000-000000000000}"/>
  <bookViews>
    <workbookView xWindow="14160" yWindow="500" windowWidth="14640" windowHeight="15360" xr2:uid="{EE0D2CFE-D8D2-0843-8E19-49493B39F60E}"/>
  </bookViews>
  <sheets>
    <sheet name="G1 Box Score" sheetId="2" r:id="rId1"/>
    <sheet name="Stats G1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K37" i="2" l="1"/>
  <c r="I37" i="2"/>
  <c r="D3" i="2" s="1"/>
  <c r="L18" i="2"/>
  <c r="K18" i="2"/>
  <c r="L37" i="2"/>
  <c r="J37" i="2"/>
  <c r="J18" i="2"/>
  <c r="I18" i="2"/>
  <c r="B3" i="2" s="1"/>
  <c r="H3" i="2"/>
  <c r="G3" i="2"/>
  <c r="F3" i="2"/>
</calcChain>
</file>

<file path=xl/sharedStrings.xml><?xml version="1.0" encoding="utf-8"?>
<sst xmlns="http://schemas.openxmlformats.org/spreadsheetml/2006/main" count="113" uniqueCount="74">
  <si>
    <t>#</t>
  </si>
  <si>
    <t>Select</t>
  </si>
  <si>
    <t>First</t>
  </si>
  <si>
    <t>Last</t>
  </si>
  <si>
    <t>2PA</t>
  </si>
  <si>
    <t>2PM</t>
  </si>
  <si>
    <t>3PA</t>
  </si>
  <si>
    <t>3PM</t>
  </si>
  <si>
    <t>FTA</t>
  </si>
  <si>
    <t>FTM</t>
  </si>
  <si>
    <t>?</t>
  </si>
  <si>
    <t>Home Team (Gray)</t>
  </si>
  <si>
    <t>Home (Gray)</t>
  </si>
  <si>
    <t>Away (Black)</t>
  </si>
  <si>
    <t>FG</t>
  </si>
  <si>
    <t>3PT</t>
  </si>
  <si>
    <t>FT</t>
  </si>
  <si>
    <t>Away Team (Black)</t>
  </si>
  <si>
    <t>Total:</t>
  </si>
  <si>
    <t>Gray</t>
  </si>
  <si>
    <t>Black</t>
  </si>
  <si>
    <t>-</t>
  </si>
  <si>
    <t>Gray Team</t>
  </si>
  <si>
    <t>Black Team</t>
  </si>
  <si>
    <t>GAME 2</t>
  </si>
  <si>
    <t>Marcus</t>
  </si>
  <si>
    <t>Draney</t>
  </si>
  <si>
    <t>Benson</t>
  </si>
  <si>
    <t>McKnight</t>
  </si>
  <si>
    <t>Baban</t>
  </si>
  <si>
    <t>Burton</t>
  </si>
  <si>
    <t>Krystoviak</t>
  </si>
  <si>
    <t>Brinson</t>
  </si>
  <si>
    <t>Adams</t>
  </si>
  <si>
    <t>Roman</t>
  </si>
  <si>
    <t>John</t>
  </si>
  <si>
    <t>Lopez</t>
  </si>
  <si>
    <t>Marquis</t>
  </si>
  <si>
    <t>Velez</t>
  </si>
  <si>
    <t>Qisean</t>
  </si>
  <si>
    <t>Rust</t>
  </si>
  <si>
    <t>Stefan</t>
  </si>
  <si>
    <t>Briggs</t>
  </si>
  <si>
    <t>Derrick</t>
  </si>
  <si>
    <t>Buys</t>
  </si>
  <si>
    <t>Barzin</t>
  </si>
  <si>
    <t>Darien</t>
  </si>
  <si>
    <t>Deshawn</t>
  </si>
  <si>
    <t>Deonte</t>
  </si>
  <si>
    <t>PTS</t>
  </si>
  <si>
    <t>Marion</t>
  </si>
  <si>
    <t>Humphrey</t>
  </si>
  <si>
    <t>Christian</t>
  </si>
  <si>
    <t>Haffner</t>
  </si>
  <si>
    <t>Oscar</t>
  </si>
  <si>
    <t>Max</t>
  </si>
  <si>
    <t>Watson</t>
  </si>
  <si>
    <t>Quincy</t>
  </si>
  <si>
    <t>Mcgriff</t>
  </si>
  <si>
    <t>Nick</t>
  </si>
  <si>
    <t>Covington</t>
  </si>
  <si>
    <t>Chase</t>
  </si>
  <si>
    <t>Jackson</t>
  </si>
  <si>
    <t>Jaxon</t>
  </si>
  <si>
    <t>Pollard</t>
  </si>
  <si>
    <t>Tyson</t>
  </si>
  <si>
    <t>Garff</t>
  </si>
  <si>
    <t>Jordan</t>
  </si>
  <si>
    <t>a</t>
  </si>
  <si>
    <t>b</t>
  </si>
  <si>
    <t>c</t>
  </si>
  <si>
    <t>d</t>
  </si>
  <si>
    <t>Tanner</t>
  </si>
  <si>
    <t>Cuff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</si>
</sst>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den/Library/Containers/com.microsoft.Excel/Data/Documents/FGs%20G1%206: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D9" sqref="D9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24</v>
      </c>
      <c r="F1" t="s">
        <v>11</v>
      </c>
      <c r="G1" t="s">
        <v>26</v>
      </c>
    </row>
    <row r="2" spans="2:12" x14ac:dyDescent="0.2">
      <c r="B2" t="s">
        <v>19</v>
      </c>
      <c r="D2" t="s">
        <v>20</v>
      </c>
      <c r="F2" t="s">
        <v>2</v>
      </c>
      <c r="G2" t="s">
        <v>3</v>
      </c>
      <c r="H2" t="s">
        <v>0</v>
      </c>
      <c r="I2" t="s">
        <v>49</v>
      </c>
      <c r="J2" t="s">
        <v>14</v>
      </c>
      <c r="K2" t="s">
        <v>15</v>
      </c>
      <c r="L2" t="s">
        <v>16</v>
      </c>
    </row>
    <row r="3" spans="2:12" x14ac:dyDescent="0.2">
      <c r="B3">
        <f>I18</f>
        <v>73</v>
      </c>
      <c r="C3" s="3" t="s">
        <v>21</v>
      </c>
      <c r="D3" s="4">
        <f>I37</f>
        <v>102</v>
      </c>
      <c r="F3" t="str">
        <f>'Stats G1'!A5</f>
        <v>Roman</v>
      </c>
      <c r="G3" t="str">
        <f>'Stats G1'!B5</f>
        <v>McKnight</v>
      </c>
      <c r="H3">
        <f>'Stats G1'!C5</f>
        <v>0</v>
      </c>
      <c r="I3">
        <f>'Stats G1'!H5*2+'Stats G1'!N5*3+'Stats G1'!T5</f>
        <v>18</v>
      </c>
      <c r="J3" t="str">
        <f>SUM('Stats G1'!N5+'Stats G1'!H5)&amp;"-"&amp;SUM('Stats G1'!E5+'Stats G1'!K5)</f>
        <v>6-17</v>
      </c>
      <c r="K3" t="str">
        <f>SUM('Stats G1'!N5)&amp;"-"&amp;SUM('Stats G1'!K5)</f>
        <v>1-1</v>
      </c>
      <c r="L3" t="str">
        <f>SUM('Stats G1'!T5)&amp;"-"&amp;SUM('Stats G1'!Q5)</f>
        <v>5-7</v>
      </c>
    </row>
    <row r="4" spans="2:12" x14ac:dyDescent="0.2">
      <c r="F4" t="str">
        <f>'Stats G1'!A6</f>
        <v>John</v>
      </c>
      <c r="G4" t="str">
        <f>'Stats G1'!B6</f>
        <v>Lopez</v>
      </c>
      <c r="H4">
        <f>'Stats G1'!C6</f>
        <v>1</v>
      </c>
      <c r="I4">
        <f>'Stats G1'!H6*2+'Stats G1'!N6*3+'Stats G1'!T6</f>
        <v>0</v>
      </c>
      <c r="J4" t="str">
        <f>SUM('Stats G1'!N6+'Stats G1'!H6)&amp;"-"&amp;SUM('Stats G1'!E6+'Stats G1'!K6)</f>
        <v>0-3</v>
      </c>
      <c r="K4" t="str">
        <f>SUM('Stats G1'!N6)&amp;"-"&amp;SUM('Stats G1'!K6)</f>
        <v>0-2</v>
      </c>
      <c r="L4" t="str">
        <f>SUM('Stats G1'!T6)&amp;"-"&amp;SUM('Stats G1'!Q6)</f>
        <v>0-0</v>
      </c>
    </row>
    <row r="5" spans="2:12" x14ac:dyDescent="0.2">
      <c r="F5" t="str">
        <f>'Stats G1'!A7</f>
        <v>Marquis</v>
      </c>
      <c r="G5" t="str">
        <f>'Stats G1'!B7</f>
        <v>Velez</v>
      </c>
      <c r="H5">
        <f>'Stats G1'!C7</f>
        <v>2</v>
      </c>
      <c r="I5">
        <f>'Stats G1'!H7*2+'Stats G1'!N7*3+'Stats G1'!T7</f>
        <v>3</v>
      </c>
      <c r="J5" t="str">
        <f>SUM('Stats G1'!N7+'Stats G1'!H7)&amp;"-"&amp;SUM('Stats G1'!E7+'Stats G1'!K7)</f>
        <v>0-7</v>
      </c>
      <c r="K5" t="str">
        <f>SUM('Stats G1'!N7)&amp;"-"&amp;SUM('Stats G1'!K7)</f>
        <v>0-6</v>
      </c>
      <c r="L5" t="str">
        <f>SUM('Stats G1'!T7)&amp;"-"&amp;SUM('Stats G1'!Q7)</f>
        <v>3-5</v>
      </c>
    </row>
    <row r="6" spans="2:12" x14ac:dyDescent="0.2">
      <c r="F6" t="str">
        <f>'Stats G1'!A8</f>
        <v>a</v>
      </c>
      <c r="G6" t="str">
        <f>'Stats G1'!B8</f>
        <v>b</v>
      </c>
      <c r="H6">
        <f>'Stats G1'!C8</f>
        <v>30</v>
      </c>
      <c r="I6">
        <f>'Stats G1'!H8*2+'Stats G1'!N8*3+'Stats G1'!T8</f>
        <v>0</v>
      </c>
      <c r="J6" t="str">
        <f>SUM('Stats G1'!N8+'Stats G1'!H8)&amp;"-"&amp;SUM('Stats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2">
      <c r="F7" t="str">
        <f>'Stats G1'!A9</f>
        <v>Marcus</v>
      </c>
      <c r="G7" t="str">
        <f>'Stats G1'!B9</f>
        <v>Draney</v>
      </c>
      <c r="H7">
        <f>'Stats G1'!C9</f>
        <v>4</v>
      </c>
      <c r="I7">
        <f>'Stats G1'!H9*2+'Stats G1'!N9*3+'Stats G1'!T9</f>
        <v>19</v>
      </c>
      <c r="J7" t="str">
        <f>SUM('Stats G1'!N9+'Stats G1'!H9)&amp;"-"&amp;SUM('Stats G1'!E9+'Stats G1'!K9)</f>
        <v>7-14</v>
      </c>
      <c r="K7" t="str">
        <f>SUM('Stats G1'!N9)&amp;"-"&amp;SUM('Stats G1'!K9)</f>
        <v>2-5</v>
      </c>
      <c r="L7" t="str">
        <f>SUM('Stats G1'!T9)&amp;"-"&amp;SUM('Stats G1'!Q9)</f>
        <v>3-4</v>
      </c>
    </row>
    <row r="8" spans="2:12" x14ac:dyDescent="0.2">
      <c r="F8" t="str">
        <f>'Stats G1'!A10</f>
        <v>Qisean</v>
      </c>
      <c r="G8" t="str">
        <f>'Stats G1'!B10</f>
        <v>Rust</v>
      </c>
      <c r="H8">
        <f>'Stats G1'!C10</f>
        <v>5</v>
      </c>
      <c r="I8">
        <f>'Stats G1'!H10*2+'Stats G1'!N10*3+'Stats G1'!T10</f>
        <v>3</v>
      </c>
      <c r="J8" t="str">
        <f>SUM('Stats G1'!N10+'Stats G1'!H10)&amp;"-"&amp;SUM('Stats G1'!E10+'Stats G1'!K10)</f>
        <v>1-4</v>
      </c>
      <c r="K8" t="str">
        <f>SUM('Stats G1'!N10)&amp;"-"&amp;SUM('Stats G1'!K10)</f>
        <v>1-3</v>
      </c>
      <c r="L8" t="str">
        <f>SUM('Stats G1'!T10)&amp;"-"&amp;SUM('Stats G1'!Q10)</f>
        <v>0-0</v>
      </c>
    </row>
    <row r="9" spans="2:12" x14ac:dyDescent="0.2">
      <c r="F9" t="str">
        <f>'Stats G1'!A11</f>
        <v>c</v>
      </c>
      <c r="G9" t="str">
        <f>'Stats G1'!B11</f>
        <v>d</v>
      </c>
      <c r="H9">
        <f>'Stats G1'!C11</f>
        <v>30</v>
      </c>
      <c r="I9">
        <f>'Stats G1'!H11*2+'Stats G1'!N11*3+'Stats G1'!T11</f>
        <v>0</v>
      </c>
      <c r="J9" t="str">
        <f>SUM('Stats G1'!N11+'Stats G1'!H11)&amp;"-"&amp;SUM('Stats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?</v>
      </c>
      <c r="G10" t="str">
        <f>'Stats G1'!B12</f>
        <v>?</v>
      </c>
      <c r="H10">
        <f>'Stats G1'!C12</f>
        <v>7</v>
      </c>
      <c r="I10">
        <f>'Stats G1'!H12*2+'Stats G1'!N12*3+'Stats G1'!T12</f>
        <v>0</v>
      </c>
      <c r="J10" t="str">
        <f>SUM('Stats G1'!N12+'Stats G1'!H12)&amp;"-"&amp;SUM('Stats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Stefan</v>
      </c>
      <c r="G11" t="str">
        <f>'Stats G1'!B13</f>
        <v>Briggs</v>
      </c>
      <c r="H11">
        <f>'Stats G1'!C13</f>
        <v>8</v>
      </c>
      <c r="I11">
        <f>'Stats G1'!H13*2+'Stats G1'!N13*3+'Stats G1'!T13</f>
        <v>0</v>
      </c>
      <c r="J11" t="str">
        <f>SUM('Stats G1'!N13+'Stats G1'!H13)&amp;"-"&amp;SUM('Stats G1'!E13+'Stats G1'!K13)</f>
        <v>0-2</v>
      </c>
      <c r="K11" t="str">
        <f>SUM('Stats G1'!N13)&amp;"-"&amp;SUM('Stats G1'!K13)</f>
        <v>0-2</v>
      </c>
      <c r="L11" t="str">
        <f>SUM('Stats G1'!T13)&amp;"-"&amp;SUM('Stats G1'!Q13)</f>
        <v>0-0</v>
      </c>
    </row>
    <row r="12" spans="2:12" x14ac:dyDescent="0.2">
      <c r="F12" t="str">
        <f>'Stats G1'!A14</f>
        <v>Derrick</v>
      </c>
      <c r="G12" t="str">
        <f>'Stats G1'!B14</f>
        <v>Buys</v>
      </c>
      <c r="H12">
        <f>'Stats G1'!C14</f>
        <v>11</v>
      </c>
      <c r="I12">
        <f>'Stats G1'!H14*2+'Stats G1'!N14*3+'Stats G1'!T14</f>
        <v>0</v>
      </c>
      <c r="J12" t="str">
        <f>SUM('Stats G1'!N14+'Stats G1'!H14)&amp;"-"&amp;SUM('Stats G1'!E14+'Stats G1'!K14)</f>
        <v>0-2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?</v>
      </c>
      <c r="G13" t="str">
        <f>'Stats G1'!B15</f>
        <v>?</v>
      </c>
      <c r="H13">
        <f>'Stats G1'!C15</f>
        <v>10</v>
      </c>
      <c r="I13">
        <f>'Stats G1'!H15*2+'Stats G1'!N15*3+'Stats G1'!T15</f>
        <v>0</v>
      </c>
      <c r="J13" t="str">
        <f>SUM('Stats G1'!N15+'Stats G1'!H15)&amp;"-"&amp;SUM('Stats G1'!E15+'Stats G1'!K15)</f>
        <v>0-1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Barzin</v>
      </c>
      <c r="G14" t="str">
        <f>'Stats G1'!B16</f>
        <v>Baban</v>
      </c>
      <c r="H14">
        <f>'Stats G1'!C16</f>
        <v>13</v>
      </c>
      <c r="I14">
        <f>'Stats G1'!H16*2+'Stats G1'!N16*3+'Stats G1'!T16</f>
        <v>2</v>
      </c>
      <c r="J14" t="str">
        <f>SUM('Stats G1'!N16+'Stats G1'!H16)&amp;"-"&amp;SUM('Stats G1'!E16+'Stats G1'!K16)</f>
        <v>1-3</v>
      </c>
      <c r="K14" t="str">
        <f>SUM('Stats G1'!N16)&amp;"-"&amp;SUM('Stats G1'!K16)</f>
        <v>0-0</v>
      </c>
      <c r="L14" t="str">
        <f>SUM('Stats G1'!T16)&amp;"-"&amp;SUM('Stats G1'!Q16)</f>
        <v>0-1</v>
      </c>
    </row>
    <row r="15" spans="2:12" x14ac:dyDescent="0.2">
      <c r="F15" t="str">
        <f>'Stats G1'!A17</f>
        <v>Darien</v>
      </c>
      <c r="G15" t="str">
        <f>'Stats G1'!B17</f>
        <v>Briggs</v>
      </c>
      <c r="H15">
        <f>'Stats G1'!C17</f>
        <v>22</v>
      </c>
      <c r="I15">
        <f>'Stats G1'!H17*2+'Stats G1'!N17*3+'Stats G1'!T17</f>
        <v>10</v>
      </c>
      <c r="J15" t="str">
        <f>SUM('Stats G1'!N17+'Stats G1'!H17)&amp;"-"&amp;SUM('Stats G1'!E17+'Stats G1'!K17)</f>
        <v>5-8</v>
      </c>
      <c r="K15" t="str">
        <f>SUM('Stats G1'!N17)&amp;"-"&amp;SUM('Stats G1'!K17)</f>
        <v>0-1</v>
      </c>
      <c r="L15" t="str">
        <f>SUM('Stats G1'!T17)&amp;"-"&amp;SUM('Stats G1'!Q17)</f>
        <v>0-2</v>
      </c>
    </row>
    <row r="16" spans="2:12" x14ac:dyDescent="0.2">
      <c r="F16" t="str">
        <f>'Stats G1'!A18</f>
        <v>Deshawn</v>
      </c>
      <c r="G16" t="str">
        <f>'Stats G1'!B18</f>
        <v>Benson</v>
      </c>
      <c r="H16">
        <f>'Stats G1'!C18</f>
        <v>23</v>
      </c>
      <c r="I16">
        <f>'Stats G1'!H18*2+'Stats G1'!N18*3+'Stats G1'!T18</f>
        <v>5</v>
      </c>
      <c r="J16" t="str">
        <f>SUM('Stats G1'!N18+'Stats G1'!H18)&amp;"-"&amp;SUM('Stats G1'!E18+'Stats G1'!K18)</f>
        <v>2-9</v>
      </c>
      <c r="K16" t="str">
        <f>SUM('Stats G1'!N18)&amp;"-"&amp;SUM('Stats G1'!K18)</f>
        <v>0-2</v>
      </c>
      <c r="L16" t="str">
        <f>SUM('Stats G1'!T18)&amp;"-"&amp;SUM('Stats G1'!Q18)</f>
        <v>1-2</v>
      </c>
    </row>
    <row r="17" spans="6:12" x14ac:dyDescent="0.2">
      <c r="F17" t="str">
        <f>'Stats G1'!A19</f>
        <v>Deonte</v>
      </c>
      <c r="G17" t="str">
        <f>'Stats G1'!B19</f>
        <v>Burton</v>
      </c>
      <c r="H17">
        <f>'Stats G1'!C19</f>
        <v>24</v>
      </c>
      <c r="I17">
        <f>'Stats G1'!H19*2+'Stats G1'!N19*3+'Stats G1'!T19</f>
        <v>13</v>
      </c>
      <c r="J17" t="str">
        <f>SUM('Stats G1'!N19+'Stats G1'!H19)&amp;"-"&amp;SUM('Stats G1'!E19+'Stats G1'!K19)</f>
        <v>3-11</v>
      </c>
      <c r="K17" t="str">
        <f>SUM('Stats G1'!N19)&amp;"-"&amp;SUM('Stats G1'!K19)</f>
        <v>1-3</v>
      </c>
      <c r="L17" t="str">
        <f>SUM('Stats G1'!T19)&amp;"-"&amp;SUM('Stats G1'!Q19)</f>
        <v>6-8</v>
      </c>
    </row>
    <row r="18" spans="6:12" x14ac:dyDescent="0.2">
      <c r="H18" s="2" t="s">
        <v>18</v>
      </c>
      <c r="I18">
        <f>SUM(I3:I17)</f>
        <v>73</v>
      </c>
      <c r="J18" t="str">
        <f>SUM('Stats G1'!N20+'Stats G1'!H20)&amp;"-"&amp;SUM('Stats G1'!E20+'Stats G1'!K20)</f>
        <v>25-81</v>
      </c>
      <c r="K18" t="str">
        <f>SUM('Stats G1'!N20)&amp;"-"&amp;SUM('Stats G1'!K20)</f>
        <v>5-25</v>
      </c>
      <c r="L18" t="str">
        <f>SUM('Stats G1'!T20)&amp;"-"&amp;SUM('Stats G1'!Q20)</f>
        <v>18-29</v>
      </c>
    </row>
    <row r="20" spans="6:12" x14ac:dyDescent="0.2">
      <c r="F20" t="s">
        <v>17</v>
      </c>
      <c r="G20" t="s">
        <v>60</v>
      </c>
    </row>
    <row r="21" spans="6:12" x14ac:dyDescent="0.2">
      <c r="F21" t="s">
        <v>2</v>
      </c>
      <c r="G21" t="s">
        <v>3</v>
      </c>
      <c r="H21" t="s">
        <v>0</v>
      </c>
      <c r="I21" t="s">
        <v>49</v>
      </c>
      <c r="J21" t="s">
        <v>14</v>
      </c>
      <c r="K21" t="s">
        <v>15</v>
      </c>
      <c r="L21" t="s">
        <v>16</v>
      </c>
    </row>
    <row r="22" spans="6:12" x14ac:dyDescent="0.2">
      <c r="F22" t="str">
        <f>'Stats G1'!A23</f>
        <v>Marion</v>
      </c>
      <c r="G22" t="str">
        <f>'Stats G1'!B23</f>
        <v>Humphrey</v>
      </c>
      <c r="H22">
        <f>'Stats G1'!C23</f>
        <v>0</v>
      </c>
      <c r="I22">
        <f>'Stats G1'!H23*2+'Stats G1'!N23*3+'Stats G1'!T23</f>
        <v>3</v>
      </c>
      <c r="J22" t="str">
        <f>SUM('Stats G1'!N23+'Stats G1'!H23)&amp;"-"&amp;SUM('Stats G1'!E23+'Stats G1'!K23)</f>
        <v>1-4</v>
      </c>
      <c r="K22" t="str">
        <f>SUM('Stats G1'!N23)&amp;"-"&amp;SUM('Stats G1'!K23)</f>
        <v>1-3</v>
      </c>
      <c r="L22" t="str">
        <f>SUM('Stats G1'!T23)&amp;"-"&amp;SUM('Stats G1'!Q23)</f>
        <v>0-0</v>
      </c>
    </row>
    <row r="23" spans="6:12" x14ac:dyDescent="0.2">
      <c r="F23" t="str">
        <f>'Stats G1'!A24</f>
        <v>?</v>
      </c>
      <c r="G23" t="str">
        <f>'Stats G1'!B24</f>
        <v>?</v>
      </c>
      <c r="H23">
        <f>'Stats G1'!C24</f>
        <v>1</v>
      </c>
      <c r="I23">
        <f>'Stats G1'!H24*2+'Stats G1'!N24*3+'Stats G1'!T24</f>
        <v>0</v>
      </c>
      <c r="J23" t="str">
        <f>SUM('Stats G1'!N24+'Stats G1'!H24)&amp;"-"&amp;SUM('Stats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Christian</v>
      </c>
      <c r="G24" t="str">
        <f>'Stats G1'!B25</f>
        <v>Haffner</v>
      </c>
      <c r="H24">
        <f>'Stats G1'!C25</f>
        <v>2</v>
      </c>
      <c r="I24">
        <f>'Stats G1'!H25*2+'Stats G1'!N25*3+'Stats G1'!T25</f>
        <v>0</v>
      </c>
      <c r="J24" t="str">
        <f>SUM('Stats G1'!N25+'Stats G1'!H25)&amp;"-"&amp;SUM('Stats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Oscar</v>
      </c>
      <c r="G25" t="str">
        <f>'Stats G1'!B26</f>
        <v>Lopez</v>
      </c>
      <c r="H25">
        <f>'Stats G1'!C26</f>
        <v>3</v>
      </c>
      <c r="I25">
        <f>'Stats G1'!H26*2+'Stats G1'!N26*3+'Stats G1'!T26</f>
        <v>13</v>
      </c>
      <c r="J25" t="str">
        <f>SUM('Stats G1'!N26+'Stats G1'!H26)&amp;"-"&amp;SUM('Stats G1'!E26+'Stats G1'!K26)</f>
        <v>5-11</v>
      </c>
      <c r="K25" t="str">
        <f>SUM('Stats G1'!N26)&amp;"-"&amp;SUM('Stats G1'!K26)</f>
        <v>0-4</v>
      </c>
      <c r="L25" t="str">
        <f>SUM('Stats G1'!T26)&amp;"-"&amp;SUM('Stats G1'!Q26)</f>
        <v>3-3</v>
      </c>
    </row>
    <row r="26" spans="6:12" x14ac:dyDescent="0.2">
      <c r="F26" t="str">
        <f>'Stats G1'!A27</f>
        <v>Max</v>
      </c>
      <c r="G26" t="str">
        <f>'Stats G1'!B27</f>
        <v>Watson</v>
      </c>
      <c r="H26">
        <f>'Stats G1'!C27</f>
        <v>4</v>
      </c>
      <c r="I26">
        <f>'Stats G1'!H27*2+'Stats G1'!N27*3+'Stats G1'!T27</f>
        <v>17</v>
      </c>
      <c r="J26" t="str">
        <f>SUM('Stats G1'!N27+'Stats G1'!H27)&amp;"-"&amp;SUM('Stats G1'!E27+'Stats G1'!K27)</f>
        <v>6-9</v>
      </c>
      <c r="K26" t="str">
        <f>SUM('Stats G1'!N27)&amp;"-"&amp;SUM('Stats G1'!K27)</f>
        <v>4-6</v>
      </c>
      <c r="L26" t="str">
        <f>SUM('Stats G1'!T27)&amp;"-"&amp;SUM('Stats G1'!Q27)</f>
        <v>1-1</v>
      </c>
    </row>
    <row r="27" spans="6:12" x14ac:dyDescent="0.2">
      <c r="F27" t="str">
        <f>'Stats G1'!A28</f>
        <v>Quincy</v>
      </c>
      <c r="G27" t="str">
        <f>'Stats G1'!B28</f>
        <v>Mcgriff</v>
      </c>
      <c r="H27">
        <f>'Stats G1'!C28</f>
        <v>5</v>
      </c>
      <c r="I27">
        <f>'Stats G1'!H28*2+'Stats G1'!N28*3+'Stats G1'!T28</f>
        <v>3</v>
      </c>
      <c r="J27" t="str">
        <f>SUM('Stats G1'!N28+'Stats G1'!H28)&amp;"-"&amp;SUM('Stats G1'!E28+'Stats G1'!K28)</f>
        <v>1-2</v>
      </c>
      <c r="K27" t="str">
        <f>SUM('Stats G1'!N28)&amp;"-"&amp;SUM('Stats G1'!K28)</f>
        <v>1-2</v>
      </c>
      <c r="L27" t="str">
        <f>SUM('Stats G1'!T28)&amp;"-"&amp;SUM('Stats G1'!Q28)</f>
        <v>0-0</v>
      </c>
    </row>
    <row r="28" spans="6:12" x14ac:dyDescent="0.2">
      <c r="F28" t="str">
        <f>'Stats G1'!A29</f>
        <v>?</v>
      </c>
      <c r="G28" t="str">
        <f>'Stats G1'!B29</f>
        <v>?</v>
      </c>
      <c r="H28">
        <f>'Stats G1'!C29</f>
        <v>6</v>
      </c>
      <c r="I28">
        <f>'Stats G1'!H29*2+'Stats G1'!N29*3+'Stats G1'!T29</f>
        <v>0</v>
      </c>
      <c r="J28" t="str">
        <f>SUM('Stats G1'!N29+'Stats G1'!H29)&amp;"-"&amp;SUM('Stats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Nick</v>
      </c>
      <c r="G29" t="str">
        <f>'Stats G1'!B30</f>
        <v>Covington</v>
      </c>
      <c r="H29">
        <f>'Stats G1'!C30</f>
        <v>7</v>
      </c>
      <c r="I29">
        <f>'Stats G1'!H30*2+'Stats G1'!N30*3+'Stats G1'!T30</f>
        <v>12</v>
      </c>
      <c r="J29" t="str">
        <f>SUM('Stats G1'!N30+'Stats G1'!H30)&amp;"-"&amp;SUM('Stats G1'!E30+'Stats G1'!K30)</f>
        <v>4-5</v>
      </c>
      <c r="K29" t="str">
        <f>SUM('Stats G1'!N30)&amp;"-"&amp;SUM('Stats G1'!K30)</f>
        <v>4-5</v>
      </c>
      <c r="L29" t="str">
        <f>SUM('Stats G1'!T30)&amp;"-"&amp;SUM('Stats G1'!Q30)</f>
        <v>0-0</v>
      </c>
    </row>
    <row r="30" spans="6:12" x14ac:dyDescent="0.2">
      <c r="F30" t="str">
        <f>'Stats G1'!A31</f>
        <v>?</v>
      </c>
      <c r="G30" t="str">
        <f>'Stats G1'!B31</f>
        <v>?</v>
      </c>
      <c r="H30">
        <f>'Stats G1'!C31</f>
        <v>8</v>
      </c>
      <c r="I30">
        <f>'Stats G1'!H31*2+'Stats G1'!N31*3+'Stats G1'!T31</f>
        <v>0</v>
      </c>
      <c r="J30" t="str">
        <f>SUM('Stats G1'!N31+'Stats G1'!H31)&amp;"-"&amp;SUM('Stats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</row>
    <row r="31" spans="6:12" x14ac:dyDescent="0.2">
      <c r="F31" t="s">
        <v>72</v>
      </c>
      <c r="G31" t="s">
        <v>73</v>
      </c>
      <c r="H31">
        <v>11</v>
      </c>
      <c r="I31">
        <f>'Stats G1'!H32*2+'Stats G1'!N32*3+'Stats G1'!T32</f>
        <v>0</v>
      </c>
      <c r="J31" t="str">
        <f>SUM('Stats G1'!N32+'Stats G1'!H32)&amp;"-"&amp;SUM('Stats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Chase</v>
      </c>
      <c r="G32" t="str">
        <f>'Stats G1'!B33</f>
        <v>Adams</v>
      </c>
      <c r="H32">
        <f>'Stats G1'!C33</f>
        <v>10</v>
      </c>
      <c r="I32">
        <f>'Stats G1'!H33*2+'Stats G1'!N33*3+'Stats G1'!T33</f>
        <v>10</v>
      </c>
      <c r="J32" t="str">
        <f>SUM('Stats G1'!N33+'Stats G1'!H33)&amp;"-"&amp;SUM('Stats G1'!E33+'Stats G1'!K33)</f>
        <v>4-14</v>
      </c>
      <c r="K32" t="str">
        <f>SUM('Stats G1'!N33)&amp;"-"&amp;SUM('Stats G1'!K33)</f>
        <v>0-4</v>
      </c>
      <c r="L32" t="str">
        <f>SUM('Stats G1'!T33)&amp;"-"&amp;SUM('Stats G1'!Q33)</f>
        <v>2-4</v>
      </c>
    </row>
    <row r="33" spans="6:12" x14ac:dyDescent="0.2">
      <c r="F33" t="str">
        <f>'Stats G1'!A34</f>
        <v>Jackson</v>
      </c>
      <c r="G33" t="str">
        <f>'Stats G1'!B34</f>
        <v>Krystoviak</v>
      </c>
      <c r="H33">
        <f>'Stats G1'!C34</f>
        <v>13</v>
      </c>
      <c r="I33">
        <f>'Stats G1'!H34*2+'Stats G1'!N34*3+'Stats G1'!T34</f>
        <v>5</v>
      </c>
      <c r="J33" t="str">
        <f>SUM('Stats G1'!N34+'Stats G1'!H34)&amp;"-"&amp;SUM('Stats G1'!E34+'Stats G1'!K34)</f>
        <v>1-2</v>
      </c>
      <c r="K33" t="str">
        <f>SUM('Stats G1'!N34)&amp;"-"&amp;SUM('Stats G1'!K34)</f>
        <v>0-0</v>
      </c>
      <c r="L33" t="str">
        <f>SUM('Stats G1'!T34)&amp;"-"&amp;SUM('Stats G1'!Q34)</f>
        <v>3-4</v>
      </c>
    </row>
    <row r="34" spans="6:12" x14ac:dyDescent="0.2">
      <c r="F34" t="str">
        <f>'Stats G1'!A35</f>
        <v>Jaxon</v>
      </c>
      <c r="G34" t="str">
        <f>'Stats G1'!B35</f>
        <v>Pollard</v>
      </c>
      <c r="H34">
        <f>'Stats G1'!C35</f>
        <v>15</v>
      </c>
      <c r="I34">
        <f>'Stats G1'!H35*2+'Stats G1'!N35*3+'Stats G1'!T35</f>
        <v>8</v>
      </c>
      <c r="J34" t="str">
        <f>SUM('Stats G1'!N35+'Stats G1'!H35)&amp;"-"&amp;SUM('Stats G1'!E35+'Stats G1'!K35)</f>
        <v>3-5</v>
      </c>
      <c r="K34" t="str">
        <f>SUM('Stats G1'!N35)&amp;"-"&amp;SUM('Stats G1'!K35)</f>
        <v>0-0</v>
      </c>
      <c r="L34" t="str">
        <f>SUM('Stats G1'!T35)&amp;"-"&amp;SUM('Stats G1'!Q35)</f>
        <v>2-2</v>
      </c>
    </row>
    <row r="35" spans="6:12" x14ac:dyDescent="0.2">
      <c r="F35" t="str">
        <f>'Stats G1'!A36</f>
        <v>Tyson</v>
      </c>
      <c r="G35" t="str">
        <f>'Stats G1'!B36</f>
        <v>Garff</v>
      </c>
      <c r="H35">
        <f>'Stats G1'!C36</f>
        <v>22</v>
      </c>
      <c r="I35">
        <f>'Stats G1'!H36*2+'Stats G1'!N36*3+'Stats G1'!T36</f>
        <v>4</v>
      </c>
      <c r="J35" t="str">
        <f>SUM('Stats G1'!N36+'Stats G1'!H36)&amp;"-"&amp;SUM('Stats G1'!E36+'Stats G1'!K36)</f>
        <v>2-6</v>
      </c>
      <c r="K35" t="str">
        <f>SUM('Stats G1'!N36)&amp;"-"&amp;SUM('Stats G1'!K36)</f>
        <v>0-0</v>
      </c>
      <c r="L35" t="str">
        <f>SUM('Stats G1'!T36)&amp;"-"&amp;SUM('Stats G1'!Q36)</f>
        <v>0-1</v>
      </c>
    </row>
    <row r="36" spans="6:12" x14ac:dyDescent="0.2">
      <c r="F36" t="str">
        <f>'Stats G1'!A37</f>
        <v>Jordan</v>
      </c>
      <c r="G36" t="str">
        <f>'Stats G1'!B37</f>
        <v>Brinson</v>
      </c>
      <c r="H36">
        <f>'Stats G1'!C37</f>
        <v>23</v>
      </c>
      <c r="I36">
        <f>'Stats G1'!H37*2+'Stats G1'!N37*3+'Stats G1'!T37</f>
        <v>27</v>
      </c>
      <c r="J36" t="str">
        <f>SUM('Stats G1'!N37+'Stats G1'!H37)&amp;"-"&amp;SUM('Stats G1'!E37+'Stats G1'!K37)</f>
        <v>9-15</v>
      </c>
      <c r="K36" t="str">
        <f>SUM('Stats G1'!N37)&amp;"-"&amp;SUM('Stats G1'!K37)</f>
        <v>2-2</v>
      </c>
      <c r="L36" t="str">
        <f>SUM('Stats G1'!T37)&amp;"-"&amp;SUM('Stats G1'!Q37)</f>
        <v>7-9</v>
      </c>
    </row>
    <row r="37" spans="6:12" x14ac:dyDescent="0.2">
      <c r="H37" s="2" t="s">
        <v>18</v>
      </c>
      <c r="I37">
        <f>SUM(I22:I36)</f>
        <v>102</v>
      </c>
      <c r="J37" t="str">
        <f>SUM('Stats G1'!N38+'Stats G1'!H38)&amp;"-"&amp;SUM('Stats G1'!E38+'Stats G1'!K38)</f>
        <v>36-73</v>
      </c>
      <c r="K37" t="str">
        <f>SUM('Stats G1'!N38)&amp;"-"&amp;SUM('Stats G1'!K38)</f>
        <v>12-26</v>
      </c>
      <c r="L37" t="str">
        <f>SUM('Stats G1'!T38)&amp;"-"&amp;SUM('Stats G1'!Q38)</f>
        <v>18-24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80" zoomScaleNormal="80" workbookViewId="0">
      <selection activeCell="A12" sqref="A12"/>
    </sheetView>
  </sheetViews>
  <sheetFormatPr baseColWidth="10" defaultColWidth="11.1640625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4" hidden="1" x14ac:dyDescent="0.2">
      <c r="A1" s="1" t="s">
        <v>1</v>
      </c>
      <c r="B1" t="s">
        <v>12</v>
      </c>
      <c r="C1" t="s">
        <v>13</v>
      </c>
    </row>
    <row r="2" spans="1:24" hidden="1" x14ac:dyDescent="0.2"/>
    <row r="3" spans="1:24" x14ac:dyDescent="0.2">
      <c r="A3" s="2" t="s">
        <v>22</v>
      </c>
      <c r="B3" s="1" t="s">
        <v>12</v>
      </c>
    </row>
    <row r="4" spans="1:24" x14ac:dyDescent="0.2">
      <c r="A4" t="s">
        <v>2</v>
      </c>
      <c r="B4" t="s">
        <v>3</v>
      </c>
      <c r="C4" t="s">
        <v>0</v>
      </c>
      <c r="E4" t="s">
        <v>4</v>
      </c>
      <c r="H4" t="s">
        <v>5</v>
      </c>
      <c r="K4" t="s">
        <v>6</v>
      </c>
      <c r="N4" t="s">
        <v>7</v>
      </c>
      <c r="Q4" t="s">
        <v>8</v>
      </c>
      <c r="T4" t="s">
        <v>9</v>
      </c>
    </row>
    <row r="5" spans="1:24" s="6" customFormat="1" x14ac:dyDescent="0.2">
      <c r="A5" s="5" t="s">
        <v>34</v>
      </c>
      <c r="B5" s="5" t="s">
        <v>28</v>
      </c>
      <c r="C5" s="5">
        <v>0</v>
      </c>
      <c r="D5" s="5"/>
      <c r="E5" s="5">
        <v>16</v>
      </c>
      <c r="F5" s="5"/>
      <c r="G5" s="5"/>
      <c r="H5" s="5">
        <v>5</v>
      </c>
      <c r="I5" s="5"/>
      <c r="J5" s="5"/>
      <c r="K5" s="5">
        <v>1</v>
      </c>
      <c r="L5" s="5"/>
      <c r="M5" s="5"/>
      <c r="N5" s="5">
        <v>1</v>
      </c>
      <c r="O5" s="5"/>
      <c r="P5" s="5"/>
      <c r="Q5" s="5">
        <v>7</v>
      </c>
      <c r="R5" s="5"/>
      <c r="S5" s="5"/>
      <c r="T5" s="5">
        <v>5</v>
      </c>
      <c r="U5" s="5"/>
    </row>
    <row r="6" spans="1:24" s="6" customFormat="1" x14ac:dyDescent="0.2">
      <c r="A6" s="6" t="s">
        <v>35</v>
      </c>
      <c r="B6" s="6" t="s">
        <v>36</v>
      </c>
      <c r="C6" s="6">
        <v>1</v>
      </c>
      <c r="E6" s="6">
        <v>1</v>
      </c>
      <c r="H6" s="6">
        <v>0</v>
      </c>
      <c r="K6" s="6">
        <v>2</v>
      </c>
      <c r="N6" s="6">
        <v>0</v>
      </c>
      <c r="Q6" s="6">
        <v>0</v>
      </c>
      <c r="T6" s="6">
        <v>0</v>
      </c>
      <c r="W6" s="6" t="s">
        <v>20</v>
      </c>
      <c r="X6" s="6">
        <v>2</v>
      </c>
    </row>
    <row r="7" spans="1:24" s="6" customFormat="1" x14ac:dyDescent="0.2">
      <c r="A7" s="5" t="s">
        <v>37</v>
      </c>
      <c r="B7" s="5" t="s">
        <v>38</v>
      </c>
      <c r="C7" s="5">
        <v>2</v>
      </c>
      <c r="D7" s="5"/>
      <c r="E7" s="5">
        <v>1</v>
      </c>
      <c r="F7" s="5"/>
      <c r="G7" s="5"/>
      <c r="H7" s="5">
        <v>0</v>
      </c>
      <c r="I7" s="5"/>
      <c r="J7" s="5"/>
      <c r="K7" s="5">
        <v>6</v>
      </c>
      <c r="L7" s="5"/>
      <c r="M7" s="5"/>
      <c r="N7" s="5">
        <v>0</v>
      </c>
      <c r="O7" s="5"/>
      <c r="P7" s="5"/>
      <c r="Q7" s="5">
        <v>5</v>
      </c>
      <c r="R7" s="5"/>
      <c r="S7" s="5"/>
      <c r="T7" s="5">
        <v>3</v>
      </c>
      <c r="U7" s="5"/>
      <c r="W7" s="6" t="s">
        <v>19</v>
      </c>
      <c r="X7" s="6">
        <v>1</v>
      </c>
    </row>
    <row r="8" spans="1:24" s="6" customFormat="1" x14ac:dyDescent="0.2">
      <c r="A8" s="6" t="s">
        <v>68</v>
      </c>
      <c r="B8" s="6" t="s">
        <v>69</v>
      </c>
      <c r="C8" s="6">
        <v>30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4" s="6" customFormat="1" x14ac:dyDescent="0.2">
      <c r="A9" s="5" t="s">
        <v>25</v>
      </c>
      <c r="B9" s="5" t="s">
        <v>26</v>
      </c>
      <c r="C9" s="5">
        <v>4</v>
      </c>
      <c r="D9" s="5"/>
      <c r="E9" s="5">
        <v>9</v>
      </c>
      <c r="F9" s="5"/>
      <c r="G9" s="5"/>
      <c r="H9" s="5">
        <v>5</v>
      </c>
      <c r="I9" s="5"/>
      <c r="J9" s="5"/>
      <c r="K9" s="5">
        <v>5</v>
      </c>
      <c r="L9" s="5"/>
      <c r="M9" s="5"/>
      <c r="N9" s="5">
        <v>2</v>
      </c>
      <c r="O9" s="5"/>
      <c r="P9" s="5"/>
      <c r="Q9" s="5">
        <v>4</v>
      </c>
      <c r="R9" s="5"/>
      <c r="S9" s="5"/>
      <c r="T9" s="5">
        <v>3</v>
      </c>
      <c r="U9" s="5"/>
    </row>
    <row r="10" spans="1:24" s="6" customFormat="1" x14ac:dyDescent="0.2">
      <c r="A10" s="6" t="s">
        <v>39</v>
      </c>
      <c r="B10" s="6" t="s">
        <v>40</v>
      </c>
      <c r="C10" s="6">
        <v>5</v>
      </c>
      <c r="E10" s="6">
        <v>1</v>
      </c>
      <c r="H10" s="6">
        <v>0</v>
      </c>
      <c r="K10" s="6">
        <v>3</v>
      </c>
      <c r="N10" s="6">
        <v>1</v>
      </c>
      <c r="Q10" s="6">
        <v>0</v>
      </c>
      <c r="T10" s="6">
        <v>0</v>
      </c>
    </row>
    <row r="11" spans="1:24" s="6" customFormat="1" x14ac:dyDescent="0.2">
      <c r="A11" s="5" t="s">
        <v>70</v>
      </c>
      <c r="B11" s="5" t="s">
        <v>71</v>
      </c>
      <c r="C11" s="5">
        <v>30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4" s="6" customFormat="1" x14ac:dyDescent="0.2">
      <c r="A12" s="6" t="s">
        <v>10</v>
      </c>
      <c r="B12" s="6" t="s">
        <v>10</v>
      </c>
      <c r="C12" s="6">
        <v>7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4" s="6" customFormat="1" x14ac:dyDescent="0.2">
      <c r="A13" s="5" t="s">
        <v>41</v>
      </c>
      <c r="B13" s="5" t="s">
        <v>42</v>
      </c>
      <c r="C13" s="5">
        <v>8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2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4" s="6" customFormat="1" x14ac:dyDescent="0.2">
      <c r="A14" s="6" t="s">
        <v>43</v>
      </c>
      <c r="B14" s="6" t="s">
        <v>44</v>
      </c>
      <c r="C14" s="6">
        <v>11</v>
      </c>
      <c r="E14" s="6">
        <v>2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4" s="6" customFormat="1" x14ac:dyDescent="0.2">
      <c r="A15" s="5" t="s">
        <v>10</v>
      </c>
      <c r="B15" s="5" t="s">
        <v>10</v>
      </c>
      <c r="C15" s="5">
        <v>10</v>
      </c>
      <c r="D15" s="5"/>
      <c r="E15" s="5">
        <v>1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4" s="6" customFormat="1" x14ac:dyDescent="0.2">
      <c r="A16" s="6" t="s">
        <v>45</v>
      </c>
      <c r="B16" s="6" t="s">
        <v>29</v>
      </c>
      <c r="C16" s="6">
        <v>13</v>
      </c>
      <c r="E16" s="6">
        <v>3</v>
      </c>
      <c r="H16" s="6">
        <v>1</v>
      </c>
      <c r="K16" s="6">
        <v>0</v>
      </c>
      <c r="N16" s="6">
        <v>0</v>
      </c>
      <c r="Q16" s="6">
        <v>1</v>
      </c>
      <c r="T16" s="6">
        <v>0</v>
      </c>
    </row>
    <row r="17" spans="1:21" s="6" customFormat="1" x14ac:dyDescent="0.2">
      <c r="A17" s="5" t="s">
        <v>46</v>
      </c>
      <c r="B17" s="5" t="s">
        <v>42</v>
      </c>
      <c r="C17" s="5">
        <v>22</v>
      </c>
      <c r="D17" s="5"/>
      <c r="E17" s="5">
        <v>7</v>
      </c>
      <c r="F17" s="5"/>
      <c r="G17" s="5"/>
      <c r="H17" s="5">
        <v>5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2</v>
      </c>
      <c r="R17" s="5"/>
      <c r="S17" s="5"/>
      <c r="T17" s="5">
        <v>0</v>
      </c>
      <c r="U17" s="5"/>
    </row>
    <row r="18" spans="1:21" s="6" customFormat="1" x14ac:dyDescent="0.2">
      <c r="A18" s="6" t="s">
        <v>47</v>
      </c>
      <c r="B18" s="6" t="s">
        <v>27</v>
      </c>
      <c r="C18" s="6">
        <v>23</v>
      </c>
      <c r="E18" s="6">
        <v>7</v>
      </c>
      <c r="H18" s="6">
        <v>2</v>
      </c>
      <c r="K18" s="6">
        <v>2</v>
      </c>
      <c r="N18" s="6">
        <v>0</v>
      </c>
      <c r="Q18" s="6">
        <v>2</v>
      </c>
      <c r="T18" s="6">
        <v>1</v>
      </c>
    </row>
    <row r="19" spans="1:21" s="6" customFormat="1" x14ac:dyDescent="0.2">
      <c r="A19" s="5" t="s">
        <v>48</v>
      </c>
      <c r="B19" s="5" t="s">
        <v>30</v>
      </c>
      <c r="C19" s="5">
        <v>24</v>
      </c>
      <c r="D19" s="5"/>
      <c r="E19" s="5">
        <v>8</v>
      </c>
      <c r="F19" s="5"/>
      <c r="G19" s="5"/>
      <c r="H19" s="5">
        <v>2</v>
      </c>
      <c r="I19" s="5"/>
      <c r="J19" s="5"/>
      <c r="K19" s="5">
        <v>3</v>
      </c>
      <c r="L19" s="5"/>
      <c r="M19" s="5"/>
      <c r="N19" s="5">
        <v>1</v>
      </c>
      <c r="O19" s="5"/>
      <c r="P19" s="5"/>
      <c r="Q19" s="5">
        <v>8</v>
      </c>
      <c r="R19" s="5"/>
      <c r="S19" s="5"/>
      <c r="T19" s="5">
        <v>6</v>
      </c>
      <c r="U19" s="5"/>
    </row>
    <row r="20" spans="1:21" x14ac:dyDescent="0.2">
      <c r="E20">
        <f>SUM(E5:E19)</f>
        <v>56</v>
      </c>
      <c r="H20">
        <f>SUM(H5:H19)</f>
        <v>20</v>
      </c>
      <c r="K20">
        <f>SUM(K5:K19)</f>
        <v>25</v>
      </c>
      <c r="N20">
        <f>SUM(N5:N19)</f>
        <v>5</v>
      </c>
      <c r="Q20">
        <f>SUM(Q5:Q19)</f>
        <v>29</v>
      </c>
      <c r="T20">
        <f>SUM(T5:T19)</f>
        <v>18</v>
      </c>
    </row>
    <row r="21" spans="1:21" x14ac:dyDescent="0.2">
      <c r="A21" s="2" t="s">
        <v>23</v>
      </c>
      <c r="B21" s="1" t="s">
        <v>13</v>
      </c>
    </row>
    <row r="22" spans="1:21" x14ac:dyDescent="0.2">
      <c r="A22" t="s">
        <v>2</v>
      </c>
      <c r="B22" t="s">
        <v>3</v>
      </c>
      <c r="C22" t="s">
        <v>0</v>
      </c>
      <c r="E22" t="s">
        <v>4</v>
      </c>
      <c r="H22" t="s">
        <v>5</v>
      </c>
      <c r="K22" t="s">
        <v>6</v>
      </c>
      <c r="N22" t="s">
        <v>7</v>
      </c>
      <c r="Q22" t="s">
        <v>8</v>
      </c>
      <c r="T22" t="s">
        <v>9</v>
      </c>
    </row>
    <row r="23" spans="1:21" s="6" customFormat="1" x14ac:dyDescent="0.2">
      <c r="A23" s="5" t="s">
        <v>50</v>
      </c>
      <c r="B23" s="5" t="s">
        <v>51</v>
      </c>
      <c r="C23" s="5">
        <v>0</v>
      </c>
      <c r="D23" s="5"/>
      <c r="E23" s="5">
        <v>1</v>
      </c>
      <c r="F23" s="5"/>
      <c r="G23" s="5"/>
      <c r="H23" s="5">
        <v>0</v>
      </c>
      <c r="I23" s="5"/>
      <c r="J23" s="5"/>
      <c r="K23" s="5">
        <v>3</v>
      </c>
      <c r="L23" s="5"/>
      <c r="M23" s="5"/>
      <c r="N23" s="5">
        <v>1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">
        <v>10</v>
      </c>
      <c r="B24" s="6" t="s">
        <v>10</v>
      </c>
      <c r="C24" s="6"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">
        <v>52</v>
      </c>
      <c r="B25" s="5" t="s">
        <v>53</v>
      </c>
      <c r="C25" s="5"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">
        <v>54</v>
      </c>
      <c r="B26" s="6" t="s">
        <v>36</v>
      </c>
      <c r="C26" s="6">
        <v>3</v>
      </c>
      <c r="E26" s="6">
        <v>7</v>
      </c>
      <c r="H26" s="6">
        <v>5</v>
      </c>
      <c r="K26" s="6">
        <v>4</v>
      </c>
      <c r="N26" s="6">
        <v>0</v>
      </c>
      <c r="Q26" s="6">
        <v>3</v>
      </c>
      <c r="T26" s="6">
        <v>3</v>
      </c>
    </row>
    <row r="27" spans="1:21" s="6" customFormat="1" x14ac:dyDescent="0.2">
      <c r="A27" s="5" t="s">
        <v>55</v>
      </c>
      <c r="B27" s="5" t="s">
        <v>56</v>
      </c>
      <c r="C27" s="5">
        <v>4</v>
      </c>
      <c r="D27" s="5"/>
      <c r="E27" s="5">
        <v>3</v>
      </c>
      <c r="F27" s="5"/>
      <c r="G27" s="5"/>
      <c r="H27" s="5">
        <v>2</v>
      </c>
      <c r="I27" s="5"/>
      <c r="J27" s="5"/>
      <c r="K27" s="5">
        <v>6</v>
      </c>
      <c r="L27" s="5"/>
      <c r="M27" s="5"/>
      <c r="N27" s="5">
        <v>4</v>
      </c>
      <c r="O27" s="5"/>
      <c r="P27" s="5"/>
      <c r="Q27" s="5">
        <v>1</v>
      </c>
      <c r="R27" s="5"/>
      <c r="S27" s="5"/>
      <c r="T27" s="5">
        <v>1</v>
      </c>
      <c r="U27" s="5"/>
    </row>
    <row r="28" spans="1:21" s="6" customFormat="1" x14ac:dyDescent="0.2">
      <c r="A28" s="6" t="s">
        <v>57</v>
      </c>
      <c r="B28" s="6" t="s">
        <v>58</v>
      </c>
      <c r="C28" s="6">
        <v>5</v>
      </c>
      <c r="E28" s="6">
        <v>0</v>
      </c>
      <c r="H28" s="6">
        <v>0</v>
      </c>
      <c r="K28" s="6">
        <v>2</v>
      </c>
      <c r="N28" s="6">
        <v>1</v>
      </c>
      <c r="Q28" s="6">
        <v>0</v>
      </c>
      <c r="T28" s="6">
        <v>0</v>
      </c>
    </row>
    <row r="29" spans="1:21" s="6" customFormat="1" x14ac:dyDescent="0.2">
      <c r="A29" s="5" t="s">
        <v>10</v>
      </c>
      <c r="B29" s="5" t="s">
        <v>10</v>
      </c>
      <c r="C29" s="5">
        <v>6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">
        <v>59</v>
      </c>
      <c r="B30" s="6" t="s">
        <v>60</v>
      </c>
      <c r="C30" s="6">
        <v>7</v>
      </c>
      <c r="E30" s="6">
        <v>0</v>
      </c>
      <c r="H30" s="6">
        <v>0</v>
      </c>
      <c r="K30" s="6">
        <v>5</v>
      </c>
      <c r="N30" s="6">
        <v>4</v>
      </c>
      <c r="Q30" s="6">
        <v>0</v>
      </c>
      <c r="T30" s="6">
        <v>0</v>
      </c>
    </row>
    <row r="31" spans="1:21" s="6" customFormat="1" x14ac:dyDescent="0.2">
      <c r="A31" s="5" t="s">
        <v>10</v>
      </c>
      <c r="B31" s="5" t="s">
        <v>10</v>
      </c>
      <c r="C31" s="5">
        <v>8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">
        <v>10</v>
      </c>
      <c r="B32" s="6" t="s">
        <v>10</v>
      </c>
      <c r="C32" s="6">
        <v>9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">
        <v>61</v>
      </c>
      <c r="B33" s="5" t="s">
        <v>33</v>
      </c>
      <c r="C33" s="5">
        <v>10</v>
      </c>
      <c r="D33" s="5"/>
      <c r="E33" s="5">
        <v>10</v>
      </c>
      <c r="F33" s="5"/>
      <c r="G33" s="5"/>
      <c r="H33" s="5">
        <v>4</v>
      </c>
      <c r="I33" s="5"/>
      <c r="J33" s="5"/>
      <c r="K33" s="5">
        <v>4</v>
      </c>
      <c r="L33" s="5"/>
      <c r="M33" s="5"/>
      <c r="N33" s="5">
        <v>0</v>
      </c>
      <c r="O33" s="5"/>
      <c r="P33" s="5"/>
      <c r="Q33" s="5">
        <v>4</v>
      </c>
      <c r="R33" s="5"/>
      <c r="S33" s="5"/>
      <c r="T33" s="5">
        <v>2</v>
      </c>
      <c r="U33" s="5"/>
    </row>
    <row r="34" spans="1:21" s="6" customFormat="1" x14ac:dyDescent="0.2">
      <c r="A34" t="s">
        <v>62</v>
      </c>
      <c r="B34" t="s">
        <v>31</v>
      </c>
      <c r="C34">
        <v>13</v>
      </c>
      <c r="D34"/>
      <c r="E34" s="6">
        <v>2</v>
      </c>
      <c r="F34"/>
      <c r="G34"/>
      <c r="H34" s="6">
        <v>1</v>
      </c>
      <c r="I34"/>
      <c r="J34"/>
      <c r="K34" s="6">
        <v>0</v>
      </c>
      <c r="L34"/>
      <c r="M34"/>
      <c r="N34" s="6">
        <v>0</v>
      </c>
      <c r="O34"/>
      <c r="P34"/>
      <c r="Q34" s="6">
        <v>4</v>
      </c>
      <c r="R34"/>
      <c r="S34"/>
      <c r="T34" s="6">
        <v>3</v>
      </c>
      <c r="U34"/>
    </row>
    <row r="35" spans="1:21" s="6" customFormat="1" x14ac:dyDescent="0.2">
      <c r="A35" s="5" t="s">
        <v>63</v>
      </c>
      <c r="B35" s="5" t="s">
        <v>64</v>
      </c>
      <c r="C35" s="5">
        <v>15</v>
      </c>
      <c r="D35" s="5"/>
      <c r="E35" s="5">
        <v>5</v>
      </c>
      <c r="F35" s="5"/>
      <c r="G35" s="5"/>
      <c r="H35" s="5">
        <v>3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2</v>
      </c>
      <c r="R35" s="5"/>
      <c r="S35" s="5"/>
      <c r="T35" s="5">
        <v>2</v>
      </c>
      <c r="U35" s="5"/>
    </row>
    <row r="36" spans="1:21" s="6" customFormat="1" x14ac:dyDescent="0.2">
      <c r="A36" t="s">
        <v>65</v>
      </c>
      <c r="B36" t="s">
        <v>66</v>
      </c>
      <c r="C36">
        <v>22</v>
      </c>
      <c r="D36"/>
      <c r="E36" s="6">
        <v>6</v>
      </c>
      <c r="F36"/>
      <c r="G36"/>
      <c r="H36" s="6">
        <v>2</v>
      </c>
      <c r="I36"/>
      <c r="J36"/>
      <c r="K36" s="6">
        <v>0</v>
      </c>
      <c r="L36"/>
      <c r="M36"/>
      <c r="N36" s="6">
        <v>0</v>
      </c>
      <c r="O36"/>
      <c r="P36"/>
      <c r="Q36" s="6">
        <v>1</v>
      </c>
      <c r="R36"/>
      <c r="S36"/>
      <c r="T36" s="6">
        <v>0</v>
      </c>
      <c r="U36"/>
    </row>
    <row r="37" spans="1:21" s="6" customFormat="1" x14ac:dyDescent="0.2">
      <c r="A37" s="5" t="s">
        <v>67</v>
      </c>
      <c r="B37" s="5" t="s">
        <v>32</v>
      </c>
      <c r="C37" s="5">
        <v>23</v>
      </c>
      <c r="D37" s="5"/>
      <c r="E37" s="5">
        <v>13</v>
      </c>
      <c r="F37" s="5"/>
      <c r="G37" s="5"/>
      <c r="H37" s="5">
        <v>7</v>
      </c>
      <c r="I37" s="5"/>
      <c r="J37" s="5"/>
      <c r="K37" s="5">
        <v>2</v>
      </c>
      <c r="L37" s="5"/>
      <c r="M37" s="5"/>
      <c r="N37" s="5">
        <v>2</v>
      </c>
      <c r="O37" s="5"/>
      <c r="P37" s="5"/>
      <c r="Q37" s="5">
        <v>9</v>
      </c>
      <c r="R37" s="5"/>
      <c r="S37" s="5"/>
      <c r="T37" s="5">
        <v>7</v>
      </c>
      <c r="U37" s="5"/>
    </row>
    <row r="38" spans="1:21" x14ac:dyDescent="0.2">
      <c r="E38">
        <f>SUM(E23:E37)</f>
        <v>47</v>
      </c>
      <c r="H38">
        <f>SUM(H23:H37)</f>
        <v>24</v>
      </c>
      <c r="K38">
        <f>SUM(K23:K37)</f>
        <v>26</v>
      </c>
      <c r="N38">
        <f>SUM(N23:N37)</f>
        <v>12</v>
      </c>
      <c r="Q38">
        <f>SUM(Q23:Q37)</f>
        <v>24</v>
      </c>
      <c r="T38">
        <f>SUM(T23:T37)</f>
        <v>18</v>
      </c>
    </row>
  </sheetData>
  <dataValidations count="1">
    <dataValidation type="list" allowBlank="1" showInputMessage="1" showErrorMessage="1" sqref="B3 B21" xr:uid="{C0688EB3-74DB-9949-A8A7-34166CC2C504}">
      <formula1>$A$1:$C$1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1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1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1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1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1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1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1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1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1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1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1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1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1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1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1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1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1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1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1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1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1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1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1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1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1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1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1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1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1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1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1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1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1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1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1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1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1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1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1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1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1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1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1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1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1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1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1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1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1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1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1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1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1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1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1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1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1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1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1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1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1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1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1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1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1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1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1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1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1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1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1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1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1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1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1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1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1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1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1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1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1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1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1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1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1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1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1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1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1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1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1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1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1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1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1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1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1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1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1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1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1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1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1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1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1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1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1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1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1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1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1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1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1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1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1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1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1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1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1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1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1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1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1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1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1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1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1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1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1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1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1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1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1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1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1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1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1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1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1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1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1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1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1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1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1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1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1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1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1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1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1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1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1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1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1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1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1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1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1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1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1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1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1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1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1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1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1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1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1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1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1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1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1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1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1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1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1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1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1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1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1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1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1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1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1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1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1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1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1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1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1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1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1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1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1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1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1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1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1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1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1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1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1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1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1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1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1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1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1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1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1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1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1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1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1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1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1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1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1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1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1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1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1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1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1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1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1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1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1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1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1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1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1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1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1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1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1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1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1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1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G1 Box Score</vt:lpstr>
      <vt:lpstr>Stats 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2021-06-30T21:12:13Z</dcterms:modified>
</cp:coreProperties>
</file>