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15813BFD-1D12-0343-9A43-E1E4A7955D7A}" xr6:coauthVersionLast="47" xr6:coauthVersionMax="47" xr10:uidLastSave="{00000000-0000-0000-0000-000000000000}"/>
  <bookViews>
    <workbookView xWindow="11520" yWindow="1300" windowWidth="17280" windowHeight="896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7" i="2" l="1"/>
  <c r="I37" i="2"/>
  <c r="D3" i="2" s="1"/>
  <c r="L18" i="2"/>
  <c r="K18" i="2"/>
  <c r="L37" i="2"/>
  <c r="J37" i="2"/>
  <c r="J18" i="2"/>
  <c r="I18" i="2"/>
  <c r="B3" i="2" s="1"/>
  <c r="H3" i="2"/>
  <c r="G3" i="2"/>
  <c r="F3" i="2"/>
</calcChain>
</file>

<file path=xl/sharedStrings.xml><?xml version="1.0" encoding="utf-8"?>
<sst xmlns="http://schemas.openxmlformats.org/spreadsheetml/2006/main" count="109" uniqueCount="71">
  <si>
    <t>#</t>
  </si>
  <si>
    <t>Select</t>
  </si>
  <si>
    <t>First</t>
  </si>
  <si>
    <t>Last</t>
  </si>
  <si>
    <t>2PA</t>
  </si>
  <si>
    <t>2PM</t>
  </si>
  <si>
    <t>3PA</t>
  </si>
  <si>
    <t>3PM</t>
  </si>
  <si>
    <t>FTA</t>
  </si>
  <si>
    <t>FTM</t>
  </si>
  <si>
    <t>?</t>
  </si>
  <si>
    <t>Home Team (Gray)</t>
  </si>
  <si>
    <t>Home (Gray)</t>
  </si>
  <si>
    <t>Away (Black)</t>
  </si>
  <si>
    <t>FG</t>
  </si>
  <si>
    <t>3PT</t>
  </si>
  <si>
    <t>FT</t>
  </si>
  <si>
    <t>Away Team (Black)</t>
  </si>
  <si>
    <t>Total:</t>
  </si>
  <si>
    <t>Gray</t>
  </si>
  <si>
    <t>Black</t>
  </si>
  <si>
    <t>-</t>
  </si>
  <si>
    <t>Gray Team</t>
  </si>
  <si>
    <t>Black Team</t>
  </si>
  <si>
    <t>GAME 2</t>
  </si>
  <si>
    <t>James</t>
  </si>
  <si>
    <t>Walljasper</t>
  </si>
  <si>
    <t>Steve</t>
  </si>
  <si>
    <t>Panos</t>
  </si>
  <si>
    <t>Drew</t>
  </si>
  <si>
    <t>Lokeni</t>
  </si>
  <si>
    <t>Jeremy</t>
  </si>
  <si>
    <t>Dowdell</t>
  </si>
  <si>
    <t>Caleb</t>
  </si>
  <si>
    <t>Leonhardt</t>
  </si>
  <si>
    <t xml:space="preserve">Adam </t>
  </si>
  <si>
    <t>Egan</t>
  </si>
  <si>
    <t>Wil</t>
  </si>
  <si>
    <t>Carter</t>
  </si>
  <si>
    <t>Tony</t>
  </si>
  <si>
    <t>Roberts</t>
  </si>
  <si>
    <t>Quan</t>
  </si>
  <si>
    <t>Thompson</t>
  </si>
  <si>
    <t>Rylan</t>
  </si>
  <si>
    <t>Jones</t>
  </si>
  <si>
    <t>Tone</t>
  </si>
  <si>
    <t>Anderson</t>
  </si>
  <si>
    <t>Charles</t>
  </si>
  <si>
    <t>Nunn</t>
  </si>
  <si>
    <t>Brandon</t>
  </si>
  <si>
    <t>Sly</t>
  </si>
  <si>
    <t>Duce</t>
  </si>
  <si>
    <t>Zaid</t>
  </si>
  <si>
    <t xml:space="preserve">Jaleel </t>
  </si>
  <si>
    <t>Rayjon</t>
  </si>
  <si>
    <t>Tucker</t>
  </si>
  <si>
    <t>Kentrell</t>
  </si>
  <si>
    <t>Barkley</t>
  </si>
  <si>
    <t>Dontay</t>
  </si>
  <si>
    <t>Bassett</t>
  </si>
  <si>
    <t>Kyndahl</t>
  </si>
  <si>
    <t>Hill</t>
  </si>
  <si>
    <t>Jordan</t>
  </si>
  <si>
    <t>Loveridge</t>
  </si>
  <si>
    <t>Thomas</t>
  </si>
  <si>
    <t>Bullock</t>
  </si>
  <si>
    <t>Brendan</t>
  </si>
  <si>
    <t>Morris</t>
  </si>
  <si>
    <t>Demarcus</t>
  </si>
  <si>
    <t>Harrison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</si>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</sst>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2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  <xf numFmtId="0" fontId="5" fillId="2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FGs%20G2%206: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7" workbookViewId="0">
      <selection activeCell="G21" sqref="G21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</v>
      </c>
      <c r="F1" t="s">
        <v>11</v>
      </c>
      <c r="G1" t="s">
        <v>36</v>
      </c>
    </row>
    <row r="2" spans="2:12" x14ac:dyDescent="0.2">
      <c r="B2" t="s">
        <v>19</v>
      </c>
      <c r="D2" t="s">
        <v>20</v>
      </c>
      <c r="F2" t="s">
        <v>2</v>
      </c>
      <c r="G2" t="s">
        <v>3</v>
      </c>
      <c r="H2" t="s">
        <v>0</v>
      </c>
      <c r="I2" t="s">
        <v>70</v>
      </c>
      <c r="J2" t="s">
        <v>14</v>
      </c>
      <c r="K2" t="s">
        <v>15</v>
      </c>
      <c r="L2" t="s">
        <v>16</v>
      </c>
    </row>
    <row r="3" spans="2:12" x14ac:dyDescent="0.2">
      <c r="B3">
        <f>I18</f>
        <v>139</v>
      </c>
      <c r="C3" s="3" t="s">
        <v>21</v>
      </c>
      <c r="D3" s="4">
        <f>I37</f>
        <v>147</v>
      </c>
      <c r="F3" t="str">
        <f>'Stats G2'!A5</f>
        <v>Steve</v>
      </c>
      <c r="G3" t="str">
        <f>'Stats G2'!B5</f>
        <v>Panos</v>
      </c>
      <c r="H3">
        <f>'Stats G2'!C5</f>
        <v>0</v>
      </c>
      <c r="I3">
        <f>'Stats G2'!H5*2+'Stats G2'!N5*3+'Stats G2'!T5</f>
        <v>23</v>
      </c>
      <c r="J3" t="str">
        <f>SUM('Stats G2'!N5+'Stats G2'!H5)&amp;"-"&amp;SUM('Stats G2'!E5+'Stats G2'!K5)</f>
        <v>10-13</v>
      </c>
      <c r="K3" t="str">
        <f>SUM('Stats G2'!N5)&amp;"-"&amp;SUM('Stats G2'!K5)</f>
        <v>0-0</v>
      </c>
      <c r="L3" t="str">
        <f>SUM('Stats G2'!T5)&amp;"-"&amp;SUM('Stats G2'!Q5)</f>
        <v>3-6</v>
      </c>
    </row>
    <row r="4" spans="2:12" x14ac:dyDescent="0.2">
      <c r="F4" t="str">
        <f>'Stats G2'!A6</f>
        <v>James</v>
      </c>
      <c r="G4" t="str">
        <f>'Stats G2'!B6</f>
        <v>Walljasper</v>
      </c>
      <c r="H4">
        <f>'Stats G2'!C6</f>
        <v>1</v>
      </c>
      <c r="I4">
        <f>'Stats G2'!H6*2+'Stats G2'!N6*3+'Stats G2'!T6</f>
        <v>3</v>
      </c>
      <c r="J4" t="str">
        <f>SUM('Stats G2'!N6+'Stats G2'!H6)&amp;"-"&amp;SUM('Stats G2'!E6+'Stats G2'!K6)</f>
        <v>0-2</v>
      </c>
      <c r="K4" t="str">
        <f>SUM('Stats G2'!N6)&amp;"-"&amp;SUM('Stats G2'!K6)</f>
        <v>0-2</v>
      </c>
      <c r="L4" t="str">
        <f>SUM('Stats G2'!T6)&amp;"-"&amp;SUM('Stats G2'!Q6)</f>
        <v>3-3</v>
      </c>
    </row>
    <row r="5" spans="2:12" x14ac:dyDescent="0.2">
      <c r="F5" t="str">
        <f>'Stats G2'!A7</f>
        <v>Drew</v>
      </c>
      <c r="G5" t="str">
        <f>'Stats G2'!B7</f>
        <v>Lokeni</v>
      </c>
      <c r="H5">
        <f>'Stats G2'!C7</f>
        <v>7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Jeremy</v>
      </c>
      <c r="G6" t="str">
        <f>'Stats G2'!B8</f>
        <v>Dowdell</v>
      </c>
      <c r="H6">
        <f>'Stats G2'!C8</f>
        <v>8</v>
      </c>
      <c r="I6">
        <f>'Stats G2'!H8*2+'Stats G2'!N8*3+'Stats G2'!T8</f>
        <v>0</v>
      </c>
      <c r="J6" t="str">
        <f>SUM('Stats G2'!N8+'Stats G2'!H8)&amp;"-"&amp;SUM('Stats G2'!E8+'Stats G2'!K8)</f>
        <v>0-1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Caleb</v>
      </c>
      <c r="G7" t="str">
        <f>'Stats G2'!B9</f>
        <v>Leonhardt</v>
      </c>
      <c r="H7">
        <f>'Stats G2'!C9</f>
        <v>12</v>
      </c>
      <c r="I7">
        <f>'Stats G2'!H9*2+'Stats G2'!N9*3+'Stats G2'!T9</f>
        <v>6</v>
      </c>
      <c r="J7" t="str">
        <f>SUM('Stats G2'!N9+'Stats G2'!H9)&amp;"-"&amp;SUM('Stats G2'!E9+'Stats G2'!K9)</f>
        <v>2-6</v>
      </c>
      <c r="K7" t="str">
        <f>SUM('Stats G2'!N9)&amp;"-"&amp;SUM('Stats G2'!K9)</f>
        <v>2-6</v>
      </c>
      <c r="L7" t="str">
        <f>SUM('Stats G2'!T9)&amp;"-"&amp;SUM('Stats G2'!Q9)</f>
        <v>0-0</v>
      </c>
    </row>
    <row r="8" spans="2:12" x14ac:dyDescent="0.2">
      <c r="F8" t="str">
        <f>'Stats G2'!A10</f>
        <v xml:space="preserve">Adam </v>
      </c>
      <c r="G8" t="str">
        <f>'Stats G2'!B10</f>
        <v>Egan</v>
      </c>
      <c r="H8">
        <f>'Stats G2'!C10</f>
        <v>13</v>
      </c>
      <c r="I8">
        <f>'Stats G2'!H10*2+'Stats G2'!N10*3+'Stats G2'!T10</f>
        <v>11</v>
      </c>
      <c r="J8" t="str">
        <f>SUM('Stats G2'!N10+'Stats G2'!H10)&amp;"-"&amp;SUM('Stats G2'!E10+'Stats G2'!K10)</f>
        <v>5-9</v>
      </c>
      <c r="K8" t="str">
        <f>SUM('Stats G2'!N10)&amp;"-"&amp;SUM('Stats G2'!K10)</f>
        <v>1-3</v>
      </c>
      <c r="L8" t="str">
        <f>SUM('Stats G2'!T10)&amp;"-"&amp;SUM('Stats G2'!Q10)</f>
        <v>0-0</v>
      </c>
    </row>
    <row r="9" spans="2:12" x14ac:dyDescent="0.2">
      <c r="F9" t="str">
        <f>'Stats G2'!A11</f>
        <v>Wil</v>
      </c>
      <c r="G9" t="str">
        <f>'Stats G2'!B11</f>
        <v>Carter</v>
      </c>
      <c r="H9">
        <f>'Stats G2'!C11</f>
        <v>15</v>
      </c>
      <c r="I9">
        <f>'Stats G2'!H11*2+'Stats G2'!N11*3+'Stats G2'!T11</f>
        <v>32</v>
      </c>
      <c r="J9" t="str">
        <f>SUM('Stats G2'!N11+'Stats G2'!H11)&amp;"-"&amp;SUM('Stats G2'!E11+'Stats G2'!K11)</f>
        <v>15-31</v>
      </c>
      <c r="K9" t="str">
        <f>SUM('Stats G2'!N11)&amp;"-"&amp;SUM('Stats G2'!K11)</f>
        <v>0-7</v>
      </c>
      <c r="L9" t="str">
        <f>SUM('Stats G2'!T11)&amp;"-"&amp;SUM('Stats G2'!Q11)</f>
        <v>2-2</v>
      </c>
    </row>
    <row r="10" spans="2:12" x14ac:dyDescent="0.2">
      <c r="F10" t="str">
        <f>'Stats G2'!A12</f>
        <v>Tony</v>
      </c>
      <c r="G10" t="str">
        <f>'Stats G2'!B12</f>
        <v>Roberts</v>
      </c>
      <c r="H10">
        <f>'Stats G2'!C12</f>
        <v>21</v>
      </c>
      <c r="I10">
        <f>'Stats G2'!H12*2+'Stats G2'!N12*3+'Stats G2'!T12</f>
        <v>33</v>
      </c>
      <c r="J10" t="str">
        <f>SUM('Stats G2'!N12+'Stats G2'!H12)&amp;"-"&amp;SUM('Stats G2'!E12+'Stats G2'!K12)</f>
        <v>15-25</v>
      </c>
      <c r="K10" t="str">
        <f>SUM('Stats G2'!N12)&amp;"-"&amp;SUM('Stats G2'!K12)</f>
        <v>1-5</v>
      </c>
      <c r="L10" t="str">
        <f>SUM('Stats G2'!T12)&amp;"-"&amp;SUM('Stats G2'!Q12)</f>
        <v>2-2</v>
      </c>
    </row>
    <row r="11" spans="2:12" x14ac:dyDescent="0.2">
      <c r="F11" t="str">
        <f>'Stats G2'!A13</f>
        <v>Quan</v>
      </c>
      <c r="G11" t="str">
        <f>'Stats G2'!B13</f>
        <v>Thompson</v>
      </c>
      <c r="H11">
        <f>'Stats G2'!C13</f>
        <v>24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Rylan</v>
      </c>
      <c r="G12" t="str">
        <f>'Stats G2'!B14</f>
        <v>Jones</v>
      </c>
      <c r="H12">
        <f>'Stats G2'!C14</f>
        <v>30</v>
      </c>
      <c r="I12">
        <f>'Stats G2'!H14*2+'Stats G2'!N14*3+'Stats G2'!T14</f>
        <v>31</v>
      </c>
      <c r="J12" t="str">
        <f>SUM('Stats G2'!N14+'Stats G2'!H14)&amp;"-"&amp;SUM('Stats G2'!E14+'Stats G2'!K14)</f>
        <v>13-26</v>
      </c>
      <c r="K12" t="str">
        <f>SUM('Stats G2'!N14)&amp;"-"&amp;SUM('Stats G2'!K14)</f>
        <v>5-15</v>
      </c>
      <c r="L12" t="str">
        <f>SUM('Stats G2'!T14)&amp;"-"&amp;SUM('Stats G2'!Q14)</f>
        <v>0-0</v>
      </c>
    </row>
    <row r="13" spans="2:12" x14ac:dyDescent="0.2">
      <c r="F13" t="str">
        <f>'Stats G2'!A15</f>
        <v>?</v>
      </c>
      <c r="G13" t="str">
        <f>'Stats G2'!B15</f>
        <v>?</v>
      </c>
      <c r="H13">
        <f>'Stats G2'!C15</f>
        <v>0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>
        <f>'Stats G2'!C16</f>
        <v>0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>
        <f>'Stats G2'!C17</f>
        <v>0</v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>
        <f>'Stats G2'!C18</f>
        <v>0</v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>
        <f>'Stats G2'!C19</f>
        <v>0</v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18</v>
      </c>
      <c r="I18">
        <f>SUM(I3:I17)</f>
        <v>139</v>
      </c>
      <c r="J18" t="str">
        <f>SUM('Stats G2'!N20+'Stats G2'!H20)&amp;"-"&amp;SUM('Stats G2'!E20+'Stats G2'!K20)</f>
        <v>60-113</v>
      </c>
      <c r="K18" t="str">
        <f>SUM('Stats G2'!N20)&amp;"-"&amp;SUM('Stats G2'!K20)</f>
        <v>9-38</v>
      </c>
      <c r="L18" t="str">
        <f>SUM('Stats G2'!T20)&amp;"-"&amp;SUM('Stats G2'!Q20)</f>
        <v>10-13</v>
      </c>
    </row>
    <row r="20" spans="6:12" x14ac:dyDescent="0.2">
      <c r="F20" t="s">
        <v>17</v>
      </c>
      <c r="G20" t="s">
        <v>40</v>
      </c>
    </row>
    <row r="21" spans="6:12" x14ac:dyDescent="0.2">
      <c r="F21" t="s">
        <v>2</v>
      </c>
      <c r="G21" t="s">
        <v>3</v>
      </c>
      <c r="H21" t="s">
        <v>0</v>
      </c>
      <c r="I21" t="s">
        <v>70</v>
      </c>
      <c r="J21" t="s">
        <v>14</v>
      </c>
      <c r="K21" t="s">
        <v>15</v>
      </c>
      <c r="L21" t="s">
        <v>16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4</v>
      </c>
      <c r="J22" t="str">
        <f>SUM('Stats G2'!N23+'Stats G2'!H23)&amp;"-"&amp;SUM('Stats G2'!E23+'Stats G2'!K23)</f>
        <v>0-5</v>
      </c>
      <c r="K22" t="str">
        <f>SUM('Stats G2'!N23)&amp;"-"&amp;SUM('Stats G2'!K23)</f>
        <v>0-0</v>
      </c>
      <c r="L22" t="str">
        <f>SUM('Stats G2'!T23)&amp;"-"&amp;SUM('Stats G2'!Q23)</f>
        <v>4-6</v>
      </c>
    </row>
    <row r="23" spans="6:12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G2'!H24*2+'Stats G2'!N24*3+'Stats G2'!T24</f>
        <v>4</v>
      </c>
      <c r="J23" t="str">
        <f>SUM('Stats G2'!N24+'Stats G2'!H24)&amp;"-"&amp;SUM('Stats G2'!E24+'Stats G2'!K24)</f>
        <v>2-5</v>
      </c>
      <c r="K23" t="str">
        <f>SUM('Stats G2'!N24)&amp;"-"&amp;SUM('Stats G2'!K24)</f>
        <v>0-2</v>
      </c>
      <c r="L23" t="str">
        <f>SUM('Stats G2'!T24)&amp;"-"&amp;SUM('Stats G2'!Q24)</f>
        <v>0-0</v>
      </c>
    </row>
    <row r="24" spans="6:12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G2'!H25*2+'Stats G2'!N25*3+'Stats G2'!T25</f>
        <v>17</v>
      </c>
      <c r="J24" t="str">
        <f>SUM('Stats G2'!N25+'Stats G2'!H25)&amp;"-"&amp;SUM('Stats G2'!E25+'Stats G2'!K25)</f>
        <v>7-14</v>
      </c>
      <c r="K24" t="str">
        <f>SUM('Stats G2'!N25)&amp;"-"&amp;SUM('Stats G2'!K25)</f>
        <v>2-4</v>
      </c>
      <c r="L24" t="str">
        <f>SUM('Stats G2'!T25)&amp;"-"&amp;SUM('Stats G2'!Q25)</f>
        <v>1-1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 xml:space="preserve">Jaleel </v>
      </c>
      <c r="G26" t="str">
        <f>'Stats G2'!B27</f>
        <v>Roberts</v>
      </c>
      <c r="H26">
        <f>'Stats G2'!C27</f>
        <v>9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G2'!H28*2+'Stats G2'!N28*3+'Stats G2'!T28</f>
        <v>47</v>
      </c>
      <c r="J27" t="str">
        <f>SUM('Stats G2'!N28+'Stats G2'!H28)&amp;"-"&amp;SUM('Stats G2'!E28+'Stats G2'!K28)</f>
        <v>17-28</v>
      </c>
      <c r="K27" t="str">
        <f>SUM('Stats G2'!N28)&amp;"-"&amp;SUM('Stats G2'!K28)</f>
        <v>6-11</v>
      </c>
      <c r="L27" t="str">
        <f>SUM('Stats G2'!T28)&amp;"-"&amp;SUM('Stats G2'!Q28)</f>
        <v>7-9</v>
      </c>
    </row>
    <row r="28" spans="6:12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G2'!H29*2+'Stats G2'!N29*3+'Stats G2'!T29</f>
        <v>27</v>
      </c>
      <c r="J28" t="str">
        <f>SUM('Stats G2'!N29+'Stats G2'!H29)&amp;"-"&amp;SUM('Stats G2'!E29+'Stats G2'!K29)</f>
        <v>10-15</v>
      </c>
      <c r="K28" t="str">
        <f>SUM('Stats G2'!N29)&amp;"-"&amp;SUM('Stats G2'!K29)</f>
        <v>1-2</v>
      </c>
      <c r="L28" t="str">
        <f>SUM('Stats G2'!T29)&amp;"-"&amp;SUM('Stats G2'!Q29)</f>
        <v>6-6</v>
      </c>
    </row>
    <row r="29" spans="6:12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G2'!H30*2+'Stats G2'!N30*3+'Stats G2'!T30</f>
        <v>0</v>
      </c>
      <c r="J29" t="str">
        <f>SUM('Stats G2'!N30+'Stats G2'!H30)&amp;"-"&amp;SUM('Stats G2'!E30+'Stats G2'!K30)</f>
        <v>0-1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G2'!H32*2+'Stats G2'!N32*3+'Stats G2'!T32</f>
        <v>16</v>
      </c>
      <c r="J31" t="str">
        <f>SUM('Stats G2'!N32+'Stats G2'!H32)&amp;"-"&amp;SUM('Stats G2'!E32+'Stats G2'!K32)</f>
        <v>7-16</v>
      </c>
      <c r="K31" t="str">
        <f>SUM('Stats G2'!N32)&amp;"-"&amp;SUM('Stats G2'!K32)</f>
        <v>2-7</v>
      </c>
      <c r="L31" t="str">
        <f>SUM('Stats G2'!T32)&amp;"-"&amp;SUM('Stats G2'!Q32)</f>
        <v>0-4</v>
      </c>
    </row>
    <row r="32" spans="6:12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G2'!H33*2+'Stats G2'!N33*3+'Stats G2'!T33</f>
        <v>14</v>
      </c>
      <c r="J32" t="str">
        <f>SUM('Stats G2'!N33+'Stats G2'!H33)&amp;"-"&amp;SUM('Stats G2'!E33+'Stats G2'!K33)</f>
        <v>6-13</v>
      </c>
      <c r="K32" t="str">
        <f>SUM('Stats G2'!N33)&amp;"-"&amp;SUM('Stats G2'!K33)</f>
        <v>0-3</v>
      </c>
      <c r="L32" t="str">
        <f>SUM('Stats G2'!T33)&amp;"-"&amp;SUM('Stats G2'!Q33)</f>
        <v>2-3</v>
      </c>
    </row>
    <row r="33" spans="6:12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G2'!H34*2+'Stats G2'!N34*3+'Stats G2'!T34</f>
        <v>4</v>
      </c>
      <c r="J33" t="str">
        <f>SUM('Stats G2'!N34+'Stats G2'!H34)&amp;"-"&amp;SUM('Stats G2'!E34+'Stats G2'!K34)</f>
        <v>2-6</v>
      </c>
      <c r="K33" t="str">
        <f>SUM('Stats G2'!N34)&amp;"-"&amp;SUM('Stats G2'!K34)</f>
        <v>0-3</v>
      </c>
      <c r="L33" t="str">
        <f>SUM('Stats G2'!T34)&amp;"-"&amp;SUM('Stats G2'!Q34)</f>
        <v>0-0</v>
      </c>
    </row>
    <row r="34" spans="6:12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G2'!H35*2+'Stats G2'!N35*3+'Stats G2'!T35</f>
        <v>14</v>
      </c>
      <c r="J34" t="str">
        <f>SUM('Stats G2'!N35+'Stats G2'!H35)&amp;"-"&amp;SUM('Stats G2'!E35+'Stats G2'!K35)</f>
        <v>6-13</v>
      </c>
      <c r="K34" t="str">
        <f>SUM('Stats G2'!N35)&amp;"-"&amp;SUM('Stats G2'!K35)</f>
        <v>2-5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18</v>
      </c>
      <c r="I37">
        <f>SUM(I22:I36)</f>
        <v>147</v>
      </c>
      <c r="J37" t="str">
        <f>SUM('Stats G2'!N38+'Stats G2'!H38)&amp;"-"&amp;SUM('Stats G2'!E38+'Stats G2'!K38)</f>
        <v>57-116</v>
      </c>
      <c r="K37" t="str">
        <f>SUM('Stats G2'!N38)&amp;"-"&amp;SUM('Stats G2'!K38)</f>
        <v>13-37</v>
      </c>
      <c r="L37" t="str">
        <f>SUM('Stats G2'!T38)&amp;"-"&amp;SUM('Stats G2'!Q38)</f>
        <v>20-29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4" workbookViewId="0">
      <selection activeCell="A23" sqref="A23:C37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</v>
      </c>
      <c r="B1" t="s">
        <v>12</v>
      </c>
      <c r="C1" t="s">
        <v>13</v>
      </c>
    </row>
    <row r="2" spans="1:21" hidden="1" x14ac:dyDescent="0.2"/>
    <row r="3" spans="1:21" x14ac:dyDescent="0.2">
      <c r="A3" s="2" t="s">
        <v>22</v>
      </c>
      <c r="B3" s="1" t="s">
        <v>12</v>
      </c>
    </row>
    <row r="4" spans="1:21" x14ac:dyDescent="0.2">
      <c r="A4" t="s">
        <v>2</v>
      </c>
      <c r="B4" t="s">
        <v>3</v>
      </c>
      <c r="C4" t="s">
        <v>0</v>
      </c>
      <c r="E4" t="s">
        <v>4</v>
      </c>
      <c r="H4" t="s">
        <v>5</v>
      </c>
      <c r="K4" t="s">
        <v>6</v>
      </c>
      <c r="N4" t="s">
        <v>7</v>
      </c>
      <c r="Q4" t="s">
        <v>8</v>
      </c>
      <c r="T4" t="s">
        <v>9</v>
      </c>
    </row>
    <row r="5" spans="1:21" s="6" customFormat="1" x14ac:dyDescent="0.2">
      <c r="A5" s="5" t="s">
        <v>27</v>
      </c>
      <c r="B5" s="5" t="s">
        <v>28</v>
      </c>
      <c r="C5" s="5">
        <v>0</v>
      </c>
      <c r="D5" s="5"/>
      <c r="E5" s="5">
        <v>13</v>
      </c>
      <c r="F5" s="5"/>
      <c r="G5" s="5"/>
      <c r="H5" s="5">
        <v>10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6</v>
      </c>
      <c r="R5" s="5"/>
      <c r="S5" s="5"/>
      <c r="T5" s="5">
        <v>3</v>
      </c>
      <c r="U5" s="5"/>
    </row>
    <row r="6" spans="1:21" s="6" customFormat="1" x14ac:dyDescent="0.2">
      <c r="A6" t="s">
        <v>25</v>
      </c>
      <c r="B6" t="s">
        <v>26</v>
      </c>
      <c r="C6">
        <v>1</v>
      </c>
      <c r="E6" s="6">
        <v>0</v>
      </c>
      <c r="H6" s="6">
        <v>0</v>
      </c>
      <c r="K6" s="6">
        <v>2</v>
      </c>
      <c r="N6" s="6">
        <v>0</v>
      </c>
      <c r="Q6" s="6">
        <v>3</v>
      </c>
      <c r="T6" s="6">
        <v>3</v>
      </c>
    </row>
    <row r="7" spans="1:21" s="6" customFormat="1" x14ac:dyDescent="0.2">
      <c r="A7" s="5" t="s">
        <v>29</v>
      </c>
      <c r="B7" s="5" t="s">
        <v>30</v>
      </c>
      <c r="C7" s="5"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t="s">
        <v>31</v>
      </c>
      <c r="B8" t="s">
        <v>32</v>
      </c>
      <c r="C8">
        <v>8</v>
      </c>
      <c r="E8" s="6">
        <v>1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">
        <v>33</v>
      </c>
      <c r="B9" s="5" t="s">
        <v>34</v>
      </c>
      <c r="C9" s="5"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6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t="s">
        <v>35</v>
      </c>
      <c r="B10" t="s">
        <v>36</v>
      </c>
      <c r="C10">
        <v>13</v>
      </c>
      <c r="E10" s="6">
        <v>6</v>
      </c>
      <c r="H10" s="6">
        <v>4</v>
      </c>
      <c r="K10" s="6">
        <v>3</v>
      </c>
      <c r="N10" s="6">
        <v>1</v>
      </c>
      <c r="Q10" s="6">
        <v>0</v>
      </c>
      <c r="T10" s="6">
        <v>0</v>
      </c>
    </row>
    <row r="11" spans="1:21" s="6" customFormat="1" x14ac:dyDescent="0.2">
      <c r="A11" s="8" t="s">
        <v>37</v>
      </c>
      <c r="B11" s="8" t="s">
        <v>38</v>
      </c>
      <c r="C11" s="8">
        <v>15</v>
      </c>
      <c r="D11" s="5"/>
      <c r="E11" s="5">
        <v>24</v>
      </c>
      <c r="F11" s="5"/>
      <c r="G11" s="5"/>
      <c r="H11" s="5">
        <v>15</v>
      </c>
      <c r="I11" s="5"/>
      <c r="J11" s="5"/>
      <c r="K11" s="5">
        <v>7</v>
      </c>
      <c r="L11" s="5"/>
      <c r="M11" s="5"/>
      <c r="N11" s="5">
        <v>0</v>
      </c>
      <c r="O11" s="5"/>
      <c r="P11" s="5"/>
      <c r="Q11" s="5">
        <v>2</v>
      </c>
      <c r="R11" s="5"/>
      <c r="S11" s="5"/>
      <c r="T11" s="5">
        <v>2</v>
      </c>
      <c r="U11" s="5"/>
    </row>
    <row r="12" spans="1:21" s="6" customFormat="1" x14ac:dyDescent="0.2">
      <c r="A12" t="s">
        <v>39</v>
      </c>
      <c r="B12" t="s">
        <v>40</v>
      </c>
      <c r="C12">
        <v>21</v>
      </c>
      <c r="E12" s="6">
        <v>20</v>
      </c>
      <c r="H12" s="6">
        <v>14</v>
      </c>
      <c r="K12" s="6">
        <v>5</v>
      </c>
      <c r="N12" s="6">
        <v>1</v>
      </c>
      <c r="Q12" s="6">
        <v>2</v>
      </c>
      <c r="T12" s="6">
        <v>2</v>
      </c>
    </row>
    <row r="13" spans="1:21" s="6" customFormat="1" x14ac:dyDescent="0.2">
      <c r="A13" s="5" t="s">
        <v>41</v>
      </c>
      <c r="B13" s="5" t="s">
        <v>42</v>
      </c>
      <c r="C13" s="5"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t="s">
        <v>43</v>
      </c>
      <c r="B14" t="s">
        <v>44</v>
      </c>
      <c r="C14">
        <v>30</v>
      </c>
      <c r="E14" s="6">
        <v>11</v>
      </c>
      <c r="H14" s="6">
        <v>8</v>
      </c>
      <c r="K14" s="6">
        <v>15</v>
      </c>
      <c r="N14" s="6">
        <v>5</v>
      </c>
      <c r="Q14" s="6">
        <v>0</v>
      </c>
      <c r="T14" s="6">
        <v>0</v>
      </c>
    </row>
    <row r="15" spans="1:21" s="6" customFormat="1" x14ac:dyDescent="0.2">
      <c r="A15" s="5" t="s">
        <v>10</v>
      </c>
      <c r="B15" s="5" t="s">
        <v>10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10</v>
      </c>
      <c r="B16" t="s">
        <v>10</v>
      </c>
      <c r="C16"/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10</v>
      </c>
      <c r="B17" s="5" t="s">
        <v>10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t="s">
        <v>10</v>
      </c>
      <c r="B18" t="s">
        <v>10</v>
      </c>
      <c r="C18"/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10</v>
      </c>
      <c r="B19" s="5" t="s">
        <v>10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75</v>
      </c>
      <c r="H20">
        <f>SUM(H5:H19)</f>
        <v>51</v>
      </c>
      <c r="K20">
        <f>SUM(K5:K19)</f>
        <v>38</v>
      </c>
      <c r="N20">
        <f>SUM(N5:N19)</f>
        <v>9</v>
      </c>
      <c r="Q20">
        <f>SUM(Q5:Q19)</f>
        <v>13</v>
      </c>
      <c r="T20">
        <f>SUM(T5:T19)</f>
        <v>10</v>
      </c>
    </row>
    <row r="21" spans="1:21" x14ac:dyDescent="0.2">
      <c r="A21" s="2" t="s">
        <v>23</v>
      </c>
      <c r="B21" s="1" t="s">
        <v>13</v>
      </c>
    </row>
    <row r="22" spans="1:21" x14ac:dyDescent="0.2">
      <c r="A22" t="s">
        <v>2</v>
      </c>
      <c r="B22" t="s">
        <v>3</v>
      </c>
      <c r="C22" t="s">
        <v>0</v>
      </c>
      <c r="E22" t="s">
        <v>4</v>
      </c>
      <c r="H22" t="s">
        <v>5</v>
      </c>
      <c r="K22" t="s">
        <v>6</v>
      </c>
      <c r="N22" t="s">
        <v>7</v>
      </c>
      <c r="Q22" t="s">
        <v>8</v>
      </c>
      <c r="T22" t="s">
        <v>9</v>
      </c>
    </row>
    <row r="23" spans="1:21" s="6" customFormat="1" x14ac:dyDescent="0.2">
      <c r="A23" s="5" t="s">
        <v>45</v>
      </c>
      <c r="B23" s="5" t="s">
        <v>46</v>
      </c>
      <c r="C23" s="5">
        <v>0</v>
      </c>
      <c r="D23" s="5"/>
      <c r="E23" s="5">
        <v>5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6</v>
      </c>
      <c r="R23" s="5"/>
      <c r="S23" s="5"/>
      <c r="T23" s="5">
        <v>4</v>
      </c>
      <c r="U23" s="5"/>
    </row>
    <row r="24" spans="1:21" s="6" customFormat="1" x14ac:dyDescent="0.2">
      <c r="A24" s="6" t="s">
        <v>47</v>
      </c>
      <c r="B24" s="6" t="s">
        <v>48</v>
      </c>
      <c r="C24" s="6">
        <v>1</v>
      </c>
      <c r="E24" s="6">
        <v>3</v>
      </c>
      <c r="H24" s="6">
        <v>2</v>
      </c>
      <c r="K24" s="6">
        <v>2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49</v>
      </c>
      <c r="B25" s="5" t="s">
        <v>50</v>
      </c>
      <c r="C25" s="5">
        <v>2</v>
      </c>
      <c r="D25" s="5"/>
      <c r="E25" s="5">
        <v>10</v>
      </c>
      <c r="F25" s="5"/>
      <c r="G25" s="5"/>
      <c r="H25" s="5">
        <v>5</v>
      </c>
      <c r="I25" s="5"/>
      <c r="J25" s="5"/>
      <c r="K25" s="5">
        <v>4</v>
      </c>
      <c r="L25" s="5"/>
      <c r="M25" s="5"/>
      <c r="N25" s="5">
        <v>2</v>
      </c>
      <c r="O25" s="5"/>
      <c r="P25" s="5"/>
      <c r="Q25" s="5">
        <v>1</v>
      </c>
      <c r="R25" s="5"/>
      <c r="S25" s="5"/>
      <c r="T25" s="5">
        <v>1</v>
      </c>
      <c r="U25" s="5"/>
    </row>
    <row r="26" spans="1:21" s="6" customFormat="1" x14ac:dyDescent="0.2">
      <c r="A26" s="6" t="s">
        <v>51</v>
      </c>
      <c r="B26" s="6" t="s">
        <v>52</v>
      </c>
      <c r="C26" s="6"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7" t="s">
        <v>53</v>
      </c>
      <c r="B27" s="7" t="s">
        <v>40</v>
      </c>
      <c r="C27" s="7"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54</v>
      </c>
      <c r="B28" s="6" t="s">
        <v>55</v>
      </c>
      <c r="C28" s="6">
        <v>9</v>
      </c>
      <c r="E28" s="6">
        <v>17</v>
      </c>
      <c r="H28" s="6">
        <v>11</v>
      </c>
      <c r="K28" s="6">
        <v>11</v>
      </c>
      <c r="N28" s="6">
        <v>6</v>
      </c>
      <c r="Q28" s="6">
        <v>9</v>
      </c>
      <c r="T28" s="6">
        <v>7</v>
      </c>
    </row>
    <row r="29" spans="1:21" s="6" customFormat="1" x14ac:dyDescent="0.2">
      <c r="A29" s="5" t="s">
        <v>56</v>
      </c>
      <c r="B29" s="5" t="s">
        <v>57</v>
      </c>
      <c r="C29" s="5">
        <v>12</v>
      </c>
      <c r="D29" s="5"/>
      <c r="E29" s="5">
        <v>13</v>
      </c>
      <c r="F29" s="5"/>
      <c r="G29" s="5"/>
      <c r="H29" s="5">
        <v>9</v>
      </c>
      <c r="I29" s="5"/>
      <c r="J29" s="5"/>
      <c r="K29" s="5">
        <v>2</v>
      </c>
      <c r="L29" s="5"/>
      <c r="M29" s="5"/>
      <c r="N29" s="5">
        <v>1</v>
      </c>
      <c r="O29" s="5"/>
      <c r="P29" s="5"/>
      <c r="Q29" s="5">
        <v>6</v>
      </c>
      <c r="R29" s="5"/>
      <c r="S29" s="5"/>
      <c r="T29" s="5">
        <v>6</v>
      </c>
      <c r="U29" s="5"/>
    </row>
    <row r="30" spans="1:21" s="6" customFormat="1" x14ac:dyDescent="0.2">
      <c r="A30" s="6" t="s">
        <v>58</v>
      </c>
      <c r="B30" s="6" t="s">
        <v>59</v>
      </c>
      <c r="C30" s="6">
        <v>13</v>
      </c>
      <c r="E30" s="6">
        <v>1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60</v>
      </c>
      <c r="B31" s="5" t="s">
        <v>61</v>
      </c>
      <c r="C31" s="5"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62</v>
      </c>
      <c r="B32" s="6" t="s">
        <v>63</v>
      </c>
      <c r="C32" s="6">
        <v>21</v>
      </c>
      <c r="E32" s="6">
        <v>9</v>
      </c>
      <c r="H32" s="6">
        <v>5</v>
      </c>
      <c r="K32" s="6">
        <v>7</v>
      </c>
      <c r="N32" s="6">
        <v>2</v>
      </c>
      <c r="Q32" s="6">
        <v>4</v>
      </c>
      <c r="T32" s="6">
        <v>0</v>
      </c>
    </row>
    <row r="33" spans="1:21" s="6" customFormat="1" x14ac:dyDescent="0.2">
      <c r="A33" s="5" t="s">
        <v>64</v>
      </c>
      <c r="B33" s="5" t="s">
        <v>65</v>
      </c>
      <c r="C33" s="5">
        <v>22</v>
      </c>
      <c r="D33" s="5"/>
      <c r="E33" s="5">
        <v>10</v>
      </c>
      <c r="F33" s="5"/>
      <c r="G33" s="5"/>
      <c r="H33" s="5">
        <v>6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3</v>
      </c>
      <c r="R33" s="5"/>
      <c r="S33" s="5"/>
      <c r="T33" s="5">
        <v>2</v>
      </c>
      <c r="U33" s="5"/>
    </row>
    <row r="34" spans="1:21" s="6" customFormat="1" x14ac:dyDescent="0.2">
      <c r="A34" t="s">
        <v>66</v>
      </c>
      <c r="B34" t="s">
        <v>67</v>
      </c>
      <c r="C34">
        <v>23</v>
      </c>
      <c r="D34"/>
      <c r="E34" s="6">
        <v>3</v>
      </c>
      <c r="F34"/>
      <c r="G34"/>
      <c r="H34" s="6">
        <v>2</v>
      </c>
      <c r="I34"/>
      <c r="J34"/>
      <c r="K34" s="6">
        <v>3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68</v>
      </c>
      <c r="B35" s="5" t="s">
        <v>69</v>
      </c>
      <c r="C35" s="5">
        <v>31</v>
      </c>
      <c r="D35" s="5"/>
      <c r="E35" s="5">
        <v>8</v>
      </c>
      <c r="F35" s="5"/>
      <c r="G35" s="5"/>
      <c r="H35" s="5">
        <v>4</v>
      </c>
      <c r="I35" s="5"/>
      <c r="J35" s="5"/>
      <c r="K35" s="5">
        <v>5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10</v>
      </c>
      <c r="B36" t="s">
        <v>10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10</v>
      </c>
      <c r="B37" s="5" t="s">
        <v>10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79</v>
      </c>
      <c r="H38">
        <f>SUM(H23:H37)</f>
        <v>44</v>
      </c>
      <c r="K38">
        <f>SUM(K23:K37)</f>
        <v>37</v>
      </c>
      <c r="N38">
        <f>SUM(N23:N37)</f>
        <v>13</v>
      </c>
      <c r="Q38">
        <f>SUM(Q23:Q37)</f>
        <v>29</v>
      </c>
      <c r="T38">
        <f>SUM(T23:T37)</f>
        <v>20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2021-06-30T22:10:54Z</dcterms:modified>
</cp:coreProperties>
</file>