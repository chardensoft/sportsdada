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ewc\Downloads\"/>
    </mc:Choice>
  </mc:AlternateContent>
  <xr:revisionPtr revIDLastSave="0" documentId="8_{735886BD-DAA8-44FB-B839-8BAC1D7C5576}" xr6:coauthVersionLast="47" xr6:coauthVersionMax="47" xr10:uidLastSave="{00000000-0000-0000-0000-000000000000}"/>
  <bookViews>
    <workbookView xWindow="-108" yWindow="-108" windowWidth="23256" windowHeight="12576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G34" i="2"/>
  <c r="C30" i="1"/>
  <c r="H29" i="2" s="1"/>
  <c r="B13" i="1"/>
  <c r="G11" i="2" s="1"/>
  <c r="H34" i="2"/>
  <c r="B5" i="1"/>
  <c r="G3" i="2" s="1"/>
  <c r="C32" i="1"/>
  <c r="H31" i="2" s="1"/>
  <c r="A5" i="1"/>
  <c r="F3" i="2" s="1"/>
  <c r="A12" i="1"/>
  <c r="F10" i="2" s="1"/>
  <c r="B19" i="1"/>
  <c r="G17" i="2" s="1"/>
  <c r="B11" i="1"/>
  <c r="G9" i="2" s="1"/>
  <c r="H16" i="2"/>
  <c r="C10" i="1"/>
  <c r="H8" i="2" s="1"/>
  <c r="C37" i="1"/>
  <c r="H36" i="2" s="1"/>
  <c r="F34" i="2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H15" i="2"/>
  <c r="C34" i="1"/>
  <c r="H33" i="2" s="1"/>
  <c r="C26" i="1"/>
  <c r="H25" i="2" s="1"/>
  <c r="F16" i="2"/>
  <c r="A10" i="1"/>
  <c r="F8" i="2" s="1"/>
  <c r="G15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G16" i="2"/>
  <c r="C9" i="1"/>
  <c r="H7" i="2" s="1"/>
  <c r="A32" i="1"/>
  <c r="F31" i="2" s="1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<sst xmlns="http://schemas.openxmlformats.org/spreadsheetml/2006/main" count="496" uniqueCount="278">
  <si>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</si>
  <si>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</si>
  <si>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</si>
  <si>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</si>
  <si>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</si>
  <si>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</si>
  <si>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</si>
  <si>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</si>
  <si>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</si>
  <si>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</si>
  <si>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</si>
  <si>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</si>
  <si>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</si>
  <si>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</si>
  <si>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</si>
  <si>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</si>
  <si>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</si>
  <si>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</si>
  <si>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</si>
  <si>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</si>
  <si>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</si>
  <si>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</si>
  <si>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</si>
  <si>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</si>
  <si>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</si>
  <si>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</si>
  <si>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</si>
  <si>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</si>
  <si>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</si>
  <si>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</si>
  <si>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</si>
  <si>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</si>
  <si>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</si>
  <si>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</si>
  <si>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</si>
  <si>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</si>
  <si>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</si>
  <si>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</si>
  <si>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</si>
  <si>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</si>
  <si>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</si>
  <si>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</si>
  <si>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</si>
  <si>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</si>
  <si>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</si>
  <si>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</si>
  <si>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</si>
  <si>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</si>
  <si>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</si>
  <si>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</si>
  <si>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</si>
  <si>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</si>
  <si>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</si>
  <si>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</si>
  <si>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</si>
  <si>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</si>
  <si>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</si>
  <si>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</si>
  <si>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</si>
  <si>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</si>
  <si>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</si>
  <si>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</si>
  <si>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</si>
  <si>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</si>
  <si>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</si>
  <si>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</si>
  <si>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</si>
  <si>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</si>
  <si>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</si>
  <si>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</si>
  <si>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</si>
  <si>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</si>
  <si>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</si>
  <si>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</si>
  <si>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</si>
  <si>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</si>
  <si>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</si>
  <si>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</si>
  <si>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</si>
  <si>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</si>
  <si>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</si>
  <si>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</si>
  <si>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</si>
  <si>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</si>
  <si>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</si>
  <si>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</si>
  <si>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</si>
  <si>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</si>
  <si>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</si>
  <si>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</si>
  <si>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</si>
  <si>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</si>
  <si>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</si>
  <si>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</si>
  <si>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</si>
  <si>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</si>
  <si>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</si>
  <si>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</si>
  <si>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</si>
  <si>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</si>
  <si>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</si>
  <si>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</si>
  <si>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</si>
  <si>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</si>
  <si>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</si>
  <si>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</si>
  <si>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</si>
  <si>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</si>
  <si>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</si>
  <si>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</si>
  <si>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</si>
  <si>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</si>
  <si>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</si>
  <si>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</si>
  <si>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</si>
  <si>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</si>
  <si>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</si>
  <si>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</si>
  <si>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</si>
  <si>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</si>
  <si>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</si>
  <si>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</si>
  <si>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</si>
  <si>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</si>
  <si>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</si>
  <si>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</si>
  <si>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</si>
  <si>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</si>
  <si>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</si>
  <si>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</si>
  <si>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</si>
  <si>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</si>
  <si>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</si>
  <si>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</si>
  <si>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</si>
  <si>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</si>
  <si>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</si>
  <si>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</si>
  <si>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</si>
  <si>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</si>
  <si>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</si>
  <si>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</si>
  <si>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</si>
  <si>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</si>
  <si>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</si>
  <si>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</si>
  <si>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</si>
  <si>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</si>
  <si>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</si>
  <si>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</si>
  <si>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</si>
  <si>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</si>
  <si>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</si>
  <si>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</si>
  <si>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</si>
  <si>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</si>
  <si>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</si>
  <si>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</si>
  <si>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</si>
  <si>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</si>
  <si>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</si>
  <si>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</si>
  <si>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</si>
  <si>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</si>
  <si>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</si>
  <si>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</si>
  <si>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</si>
  <si>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</si>
  <si>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</si>
  <si>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</si>
  <si>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</si>
  <si>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</si>
  <si>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</si>
  <si>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</si>
  <si>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</si>
  <si>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</si>
  <si>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</si>
  <si>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</si>
  <si>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</si>
  <si>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</si>
  <si>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</si>
  <si>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</si>
  <si>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</si>
  <si>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</si>
  <si>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</si>
  <si>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</si>
  <si>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</si>
  <si>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</si>
  <si>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</si>
  <si>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</si>
  <si>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</si>
  <si>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</si>
  <si>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</si>
  <si>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</si>
  <si>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</si>
  <si>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</si>
  <si>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</si>
  <si>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</si>
  <si>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</si>
  <si>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</si>
  <si>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</si>
  <si>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</si>
  <si>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</si>
  <si>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</si>
  <si>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</si>
  <si>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</si>
  <si>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</si>
  <si>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</si>
  <si>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</si>
  <si>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</si>
  <si>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</si>
  <si>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</si>
  <si>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</si>
  <si>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</si>
  <si>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</si>
  <si>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</si>
  <si>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</si>
  <si>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</si>
  <si>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</si>
  <si>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</si>
  <si>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</si>
  <si>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</si>
  <si>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</si>
  <si>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</si>
  <si>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</si>
  <si>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</si>
  <si>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</si>
  <si>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</si>
  <si>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</si>
  <si>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</si>
  <si>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</si>
  <si>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</si>
  <si>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</si>
  <si>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</si>
  <si>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</si>
  <si>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</si>
  <si>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</si>
  <si>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</si>
  <si>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</si>
  <si>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</si>
  <si>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</si>
  <si>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</si>
  <si>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</si>
  <si>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</si>
  <si>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</si>
  <si>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</si>
  <si>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</si>
  <si>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</si>
  <si>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</si>
  <si>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</si>
  <si>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</si>
  <si>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</si>
  <si>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</si>
  <si>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</si>
  <si>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</si>
  <si>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</si>
  <si>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</si>
  <si>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</si>
  <si>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</si>
  <si>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</si>
  <si>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</si>
  <si>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</si>
  <si>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</si>
  <si>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</si>
  <si>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</si>
  <si>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</si>
  <si>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</si>
  <si>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</si>
  <si>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</si>
  <si>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</si>
  <si>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</si>
  <si>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</si>
  <si>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</si>
  <si>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</si>
  <si>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Pur</t>
  </si>
  <si>
    <t>Manson</t>
  </si>
  <si>
    <t>Kafi</t>
  </si>
  <si>
    <t>Welling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</si>
</sst>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4</xdr:row>
          <xdr:rowOff>22860</xdr:rowOff>
        </xdr:from>
        <xdr:to>
          <xdr:col>3</xdr:col>
          <xdr:colOff>342900</xdr:colOff>
          <xdr:row>4</xdr:row>
          <xdr:rowOff>289560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4</xdr:row>
          <xdr:rowOff>22860</xdr:rowOff>
        </xdr:from>
        <xdr:to>
          <xdr:col>5</xdr:col>
          <xdr:colOff>327660</xdr:colOff>
          <xdr:row>4</xdr:row>
          <xdr:rowOff>289560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4</xdr:row>
          <xdr:rowOff>22860</xdr:rowOff>
        </xdr:from>
        <xdr:to>
          <xdr:col>6</xdr:col>
          <xdr:colOff>342900</xdr:colOff>
          <xdr:row>4</xdr:row>
          <xdr:rowOff>289560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4</xdr:row>
          <xdr:rowOff>22860</xdr:rowOff>
        </xdr:from>
        <xdr:to>
          <xdr:col>8</xdr:col>
          <xdr:colOff>327660</xdr:colOff>
          <xdr:row>4</xdr:row>
          <xdr:rowOff>289560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22860</xdr:rowOff>
        </xdr:from>
        <xdr:to>
          <xdr:col>9</xdr:col>
          <xdr:colOff>342900</xdr:colOff>
          <xdr:row>4</xdr:row>
          <xdr:rowOff>289560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4</xdr:row>
          <xdr:rowOff>22860</xdr:rowOff>
        </xdr:from>
        <xdr:to>
          <xdr:col>11</xdr:col>
          <xdr:colOff>327660</xdr:colOff>
          <xdr:row>4</xdr:row>
          <xdr:rowOff>289560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4</xdr:row>
          <xdr:rowOff>22860</xdr:rowOff>
        </xdr:from>
        <xdr:to>
          <xdr:col>12</xdr:col>
          <xdr:colOff>342900</xdr:colOff>
          <xdr:row>4</xdr:row>
          <xdr:rowOff>289560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4</xdr:row>
          <xdr:rowOff>22860</xdr:rowOff>
        </xdr:from>
        <xdr:to>
          <xdr:col>14</xdr:col>
          <xdr:colOff>327660</xdr:colOff>
          <xdr:row>4</xdr:row>
          <xdr:rowOff>289560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4</xdr:row>
          <xdr:rowOff>22860</xdr:rowOff>
        </xdr:from>
        <xdr:to>
          <xdr:col>15</xdr:col>
          <xdr:colOff>342900</xdr:colOff>
          <xdr:row>4</xdr:row>
          <xdr:rowOff>289560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4</xdr:row>
          <xdr:rowOff>22860</xdr:rowOff>
        </xdr:from>
        <xdr:to>
          <xdr:col>17</xdr:col>
          <xdr:colOff>327660</xdr:colOff>
          <xdr:row>4</xdr:row>
          <xdr:rowOff>289560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4</xdr:row>
          <xdr:rowOff>22860</xdr:rowOff>
        </xdr:from>
        <xdr:to>
          <xdr:col>18</xdr:col>
          <xdr:colOff>342900</xdr:colOff>
          <xdr:row>4</xdr:row>
          <xdr:rowOff>289560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4</xdr:row>
          <xdr:rowOff>22860</xdr:rowOff>
        </xdr:from>
        <xdr:to>
          <xdr:col>20</xdr:col>
          <xdr:colOff>327660</xdr:colOff>
          <xdr:row>4</xdr:row>
          <xdr:rowOff>289560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5</xdr:row>
          <xdr:rowOff>22860</xdr:rowOff>
        </xdr:from>
        <xdr:to>
          <xdr:col>3</xdr:col>
          <xdr:colOff>342900</xdr:colOff>
          <xdr:row>5</xdr:row>
          <xdr:rowOff>289560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5</xdr:row>
          <xdr:rowOff>22860</xdr:rowOff>
        </xdr:from>
        <xdr:to>
          <xdr:col>5</xdr:col>
          <xdr:colOff>327660</xdr:colOff>
          <xdr:row>5</xdr:row>
          <xdr:rowOff>289560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22860</xdr:rowOff>
        </xdr:from>
        <xdr:to>
          <xdr:col>6</xdr:col>
          <xdr:colOff>342900</xdr:colOff>
          <xdr:row>5</xdr:row>
          <xdr:rowOff>289560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</xdr:row>
          <xdr:rowOff>22860</xdr:rowOff>
        </xdr:from>
        <xdr:to>
          <xdr:col>8</xdr:col>
          <xdr:colOff>327660</xdr:colOff>
          <xdr:row>5</xdr:row>
          <xdr:rowOff>289560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22860</xdr:rowOff>
        </xdr:from>
        <xdr:to>
          <xdr:col>9</xdr:col>
          <xdr:colOff>342900</xdr:colOff>
          <xdr:row>5</xdr:row>
          <xdr:rowOff>289560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22860</xdr:rowOff>
        </xdr:from>
        <xdr:to>
          <xdr:col>11</xdr:col>
          <xdr:colOff>327660</xdr:colOff>
          <xdr:row>5</xdr:row>
          <xdr:rowOff>289560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5</xdr:row>
          <xdr:rowOff>22860</xdr:rowOff>
        </xdr:from>
        <xdr:to>
          <xdr:col>12</xdr:col>
          <xdr:colOff>342900</xdr:colOff>
          <xdr:row>5</xdr:row>
          <xdr:rowOff>289560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5</xdr:row>
          <xdr:rowOff>22860</xdr:rowOff>
        </xdr:from>
        <xdr:to>
          <xdr:col>14</xdr:col>
          <xdr:colOff>327660</xdr:colOff>
          <xdr:row>5</xdr:row>
          <xdr:rowOff>289560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5</xdr:row>
          <xdr:rowOff>22860</xdr:rowOff>
        </xdr:from>
        <xdr:to>
          <xdr:col>15</xdr:col>
          <xdr:colOff>342900</xdr:colOff>
          <xdr:row>5</xdr:row>
          <xdr:rowOff>289560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5</xdr:row>
          <xdr:rowOff>22860</xdr:rowOff>
        </xdr:from>
        <xdr:to>
          <xdr:col>17</xdr:col>
          <xdr:colOff>327660</xdr:colOff>
          <xdr:row>5</xdr:row>
          <xdr:rowOff>289560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5</xdr:row>
          <xdr:rowOff>22860</xdr:rowOff>
        </xdr:from>
        <xdr:to>
          <xdr:col>18</xdr:col>
          <xdr:colOff>342900</xdr:colOff>
          <xdr:row>5</xdr:row>
          <xdr:rowOff>289560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5</xdr:row>
          <xdr:rowOff>22860</xdr:rowOff>
        </xdr:from>
        <xdr:to>
          <xdr:col>20</xdr:col>
          <xdr:colOff>327660</xdr:colOff>
          <xdr:row>5</xdr:row>
          <xdr:rowOff>289560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5</xdr:row>
          <xdr:rowOff>22860</xdr:rowOff>
        </xdr:from>
        <xdr:to>
          <xdr:col>3</xdr:col>
          <xdr:colOff>342900</xdr:colOff>
          <xdr:row>5</xdr:row>
          <xdr:rowOff>289560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5</xdr:row>
          <xdr:rowOff>22860</xdr:rowOff>
        </xdr:from>
        <xdr:to>
          <xdr:col>5</xdr:col>
          <xdr:colOff>327660</xdr:colOff>
          <xdr:row>5</xdr:row>
          <xdr:rowOff>289560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22860</xdr:rowOff>
        </xdr:from>
        <xdr:to>
          <xdr:col>6</xdr:col>
          <xdr:colOff>342900</xdr:colOff>
          <xdr:row>5</xdr:row>
          <xdr:rowOff>289560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</xdr:row>
          <xdr:rowOff>22860</xdr:rowOff>
        </xdr:from>
        <xdr:to>
          <xdr:col>8</xdr:col>
          <xdr:colOff>327660</xdr:colOff>
          <xdr:row>5</xdr:row>
          <xdr:rowOff>289560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22860</xdr:rowOff>
        </xdr:from>
        <xdr:to>
          <xdr:col>9</xdr:col>
          <xdr:colOff>342900</xdr:colOff>
          <xdr:row>5</xdr:row>
          <xdr:rowOff>289560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22860</xdr:rowOff>
        </xdr:from>
        <xdr:to>
          <xdr:col>11</xdr:col>
          <xdr:colOff>327660</xdr:colOff>
          <xdr:row>5</xdr:row>
          <xdr:rowOff>289560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5</xdr:row>
          <xdr:rowOff>22860</xdr:rowOff>
        </xdr:from>
        <xdr:to>
          <xdr:col>12</xdr:col>
          <xdr:colOff>342900</xdr:colOff>
          <xdr:row>5</xdr:row>
          <xdr:rowOff>289560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5</xdr:row>
          <xdr:rowOff>22860</xdr:rowOff>
        </xdr:from>
        <xdr:to>
          <xdr:col>14</xdr:col>
          <xdr:colOff>327660</xdr:colOff>
          <xdr:row>5</xdr:row>
          <xdr:rowOff>289560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5</xdr:row>
          <xdr:rowOff>22860</xdr:rowOff>
        </xdr:from>
        <xdr:to>
          <xdr:col>15</xdr:col>
          <xdr:colOff>342900</xdr:colOff>
          <xdr:row>5</xdr:row>
          <xdr:rowOff>289560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5</xdr:row>
          <xdr:rowOff>22860</xdr:rowOff>
        </xdr:from>
        <xdr:to>
          <xdr:col>17</xdr:col>
          <xdr:colOff>327660</xdr:colOff>
          <xdr:row>5</xdr:row>
          <xdr:rowOff>289560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5</xdr:row>
          <xdr:rowOff>22860</xdr:rowOff>
        </xdr:from>
        <xdr:to>
          <xdr:col>18</xdr:col>
          <xdr:colOff>342900</xdr:colOff>
          <xdr:row>5</xdr:row>
          <xdr:rowOff>289560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5</xdr:row>
          <xdr:rowOff>22860</xdr:rowOff>
        </xdr:from>
        <xdr:to>
          <xdr:col>20</xdr:col>
          <xdr:colOff>327660</xdr:colOff>
          <xdr:row>5</xdr:row>
          <xdr:rowOff>289560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6</xdr:row>
          <xdr:rowOff>22860</xdr:rowOff>
        </xdr:from>
        <xdr:to>
          <xdr:col>3</xdr:col>
          <xdr:colOff>342900</xdr:colOff>
          <xdr:row>6</xdr:row>
          <xdr:rowOff>289560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6</xdr:row>
          <xdr:rowOff>22860</xdr:rowOff>
        </xdr:from>
        <xdr:to>
          <xdr:col>5</xdr:col>
          <xdr:colOff>327660</xdr:colOff>
          <xdr:row>6</xdr:row>
          <xdr:rowOff>289560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22860</xdr:rowOff>
        </xdr:from>
        <xdr:to>
          <xdr:col>6</xdr:col>
          <xdr:colOff>342900</xdr:colOff>
          <xdr:row>6</xdr:row>
          <xdr:rowOff>289560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6</xdr:row>
          <xdr:rowOff>22860</xdr:rowOff>
        </xdr:from>
        <xdr:to>
          <xdr:col>8</xdr:col>
          <xdr:colOff>327660</xdr:colOff>
          <xdr:row>6</xdr:row>
          <xdr:rowOff>289560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6</xdr:row>
          <xdr:rowOff>22860</xdr:rowOff>
        </xdr:from>
        <xdr:to>
          <xdr:col>9</xdr:col>
          <xdr:colOff>342900</xdr:colOff>
          <xdr:row>6</xdr:row>
          <xdr:rowOff>289560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6</xdr:row>
          <xdr:rowOff>22860</xdr:rowOff>
        </xdr:from>
        <xdr:to>
          <xdr:col>11</xdr:col>
          <xdr:colOff>327660</xdr:colOff>
          <xdr:row>6</xdr:row>
          <xdr:rowOff>289560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6</xdr:row>
          <xdr:rowOff>22860</xdr:rowOff>
        </xdr:from>
        <xdr:to>
          <xdr:col>12</xdr:col>
          <xdr:colOff>342900</xdr:colOff>
          <xdr:row>6</xdr:row>
          <xdr:rowOff>289560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6</xdr:row>
          <xdr:rowOff>22860</xdr:rowOff>
        </xdr:from>
        <xdr:to>
          <xdr:col>14</xdr:col>
          <xdr:colOff>327660</xdr:colOff>
          <xdr:row>6</xdr:row>
          <xdr:rowOff>289560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6</xdr:row>
          <xdr:rowOff>22860</xdr:rowOff>
        </xdr:from>
        <xdr:to>
          <xdr:col>15</xdr:col>
          <xdr:colOff>342900</xdr:colOff>
          <xdr:row>6</xdr:row>
          <xdr:rowOff>289560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6</xdr:row>
          <xdr:rowOff>22860</xdr:rowOff>
        </xdr:from>
        <xdr:to>
          <xdr:col>17</xdr:col>
          <xdr:colOff>327660</xdr:colOff>
          <xdr:row>6</xdr:row>
          <xdr:rowOff>289560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6</xdr:row>
          <xdr:rowOff>22860</xdr:rowOff>
        </xdr:from>
        <xdr:to>
          <xdr:col>18</xdr:col>
          <xdr:colOff>342900</xdr:colOff>
          <xdr:row>6</xdr:row>
          <xdr:rowOff>289560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6</xdr:row>
          <xdr:rowOff>22860</xdr:rowOff>
        </xdr:from>
        <xdr:to>
          <xdr:col>20</xdr:col>
          <xdr:colOff>327660</xdr:colOff>
          <xdr:row>6</xdr:row>
          <xdr:rowOff>289560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22</xdr:row>
          <xdr:rowOff>22860</xdr:rowOff>
        </xdr:from>
        <xdr:to>
          <xdr:col>3</xdr:col>
          <xdr:colOff>342900</xdr:colOff>
          <xdr:row>22</xdr:row>
          <xdr:rowOff>289560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22</xdr:row>
          <xdr:rowOff>22860</xdr:rowOff>
        </xdr:from>
        <xdr:to>
          <xdr:col>5</xdr:col>
          <xdr:colOff>327660</xdr:colOff>
          <xdr:row>22</xdr:row>
          <xdr:rowOff>289560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22860</xdr:rowOff>
        </xdr:from>
        <xdr:to>
          <xdr:col>6</xdr:col>
          <xdr:colOff>342900</xdr:colOff>
          <xdr:row>22</xdr:row>
          <xdr:rowOff>289560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22</xdr:row>
          <xdr:rowOff>22860</xdr:rowOff>
        </xdr:from>
        <xdr:to>
          <xdr:col>8</xdr:col>
          <xdr:colOff>327660</xdr:colOff>
          <xdr:row>22</xdr:row>
          <xdr:rowOff>289560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22860</xdr:rowOff>
        </xdr:from>
        <xdr:to>
          <xdr:col>9</xdr:col>
          <xdr:colOff>342900</xdr:colOff>
          <xdr:row>22</xdr:row>
          <xdr:rowOff>289560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22</xdr:row>
          <xdr:rowOff>22860</xdr:rowOff>
        </xdr:from>
        <xdr:to>
          <xdr:col>11</xdr:col>
          <xdr:colOff>327660</xdr:colOff>
          <xdr:row>22</xdr:row>
          <xdr:rowOff>289560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22</xdr:row>
          <xdr:rowOff>22860</xdr:rowOff>
        </xdr:from>
        <xdr:to>
          <xdr:col>12</xdr:col>
          <xdr:colOff>342900</xdr:colOff>
          <xdr:row>22</xdr:row>
          <xdr:rowOff>289560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22</xdr:row>
          <xdr:rowOff>22860</xdr:rowOff>
        </xdr:from>
        <xdr:to>
          <xdr:col>14</xdr:col>
          <xdr:colOff>327660</xdr:colOff>
          <xdr:row>22</xdr:row>
          <xdr:rowOff>289560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22</xdr:row>
          <xdr:rowOff>22860</xdr:rowOff>
        </xdr:from>
        <xdr:to>
          <xdr:col>15</xdr:col>
          <xdr:colOff>342900</xdr:colOff>
          <xdr:row>22</xdr:row>
          <xdr:rowOff>289560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22</xdr:row>
          <xdr:rowOff>22860</xdr:rowOff>
        </xdr:from>
        <xdr:to>
          <xdr:col>17</xdr:col>
          <xdr:colOff>327660</xdr:colOff>
          <xdr:row>22</xdr:row>
          <xdr:rowOff>289560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22</xdr:row>
          <xdr:rowOff>22860</xdr:rowOff>
        </xdr:from>
        <xdr:to>
          <xdr:col>18</xdr:col>
          <xdr:colOff>342900</xdr:colOff>
          <xdr:row>22</xdr:row>
          <xdr:rowOff>289560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22</xdr:row>
          <xdr:rowOff>22860</xdr:rowOff>
        </xdr:from>
        <xdr:to>
          <xdr:col>20</xdr:col>
          <xdr:colOff>327660</xdr:colOff>
          <xdr:row>22</xdr:row>
          <xdr:rowOff>289560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24</xdr:row>
          <xdr:rowOff>22860</xdr:rowOff>
        </xdr:from>
        <xdr:to>
          <xdr:col>3</xdr:col>
          <xdr:colOff>342900</xdr:colOff>
          <xdr:row>24</xdr:row>
          <xdr:rowOff>289560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24</xdr:row>
          <xdr:rowOff>22860</xdr:rowOff>
        </xdr:from>
        <xdr:to>
          <xdr:col>5</xdr:col>
          <xdr:colOff>327660</xdr:colOff>
          <xdr:row>24</xdr:row>
          <xdr:rowOff>289560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22860</xdr:rowOff>
        </xdr:from>
        <xdr:to>
          <xdr:col>6</xdr:col>
          <xdr:colOff>342900</xdr:colOff>
          <xdr:row>24</xdr:row>
          <xdr:rowOff>289560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24</xdr:row>
          <xdr:rowOff>22860</xdr:rowOff>
        </xdr:from>
        <xdr:to>
          <xdr:col>8</xdr:col>
          <xdr:colOff>327660</xdr:colOff>
          <xdr:row>24</xdr:row>
          <xdr:rowOff>289560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22860</xdr:rowOff>
        </xdr:from>
        <xdr:to>
          <xdr:col>9</xdr:col>
          <xdr:colOff>342900</xdr:colOff>
          <xdr:row>24</xdr:row>
          <xdr:rowOff>289560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24</xdr:row>
          <xdr:rowOff>22860</xdr:rowOff>
        </xdr:from>
        <xdr:to>
          <xdr:col>11</xdr:col>
          <xdr:colOff>327660</xdr:colOff>
          <xdr:row>24</xdr:row>
          <xdr:rowOff>289560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24</xdr:row>
          <xdr:rowOff>22860</xdr:rowOff>
        </xdr:from>
        <xdr:to>
          <xdr:col>12</xdr:col>
          <xdr:colOff>342900</xdr:colOff>
          <xdr:row>24</xdr:row>
          <xdr:rowOff>289560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24</xdr:row>
          <xdr:rowOff>22860</xdr:rowOff>
        </xdr:from>
        <xdr:to>
          <xdr:col>14</xdr:col>
          <xdr:colOff>327660</xdr:colOff>
          <xdr:row>24</xdr:row>
          <xdr:rowOff>289560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24</xdr:row>
          <xdr:rowOff>22860</xdr:rowOff>
        </xdr:from>
        <xdr:to>
          <xdr:col>15</xdr:col>
          <xdr:colOff>342900</xdr:colOff>
          <xdr:row>24</xdr:row>
          <xdr:rowOff>289560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24</xdr:row>
          <xdr:rowOff>22860</xdr:rowOff>
        </xdr:from>
        <xdr:to>
          <xdr:col>17</xdr:col>
          <xdr:colOff>327660</xdr:colOff>
          <xdr:row>24</xdr:row>
          <xdr:rowOff>289560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24</xdr:row>
          <xdr:rowOff>22860</xdr:rowOff>
        </xdr:from>
        <xdr:to>
          <xdr:col>18</xdr:col>
          <xdr:colOff>342900</xdr:colOff>
          <xdr:row>24</xdr:row>
          <xdr:rowOff>289560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24</xdr:row>
          <xdr:rowOff>22860</xdr:rowOff>
        </xdr:from>
        <xdr:to>
          <xdr:col>20</xdr:col>
          <xdr:colOff>327660</xdr:colOff>
          <xdr:row>24</xdr:row>
          <xdr:rowOff>289560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7</xdr:row>
          <xdr:rowOff>22860</xdr:rowOff>
        </xdr:from>
        <xdr:to>
          <xdr:col>3</xdr:col>
          <xdr:colOff>342900</xdr:colOff>
          <xdr:row>7</xdr:row>
          <xdr:rowOff>289560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8</xdr:row>
          <xdr:rowOff>22860</xdr:rowOff>
        </xdr:from>
        <xdr:to>
          <xdr:col>3</xdr:col>
          <xdr:colOff>342900</xdr:colOff>
          <xdr:row>8</xdr:row>
          <xdr:rowOff>289560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9</xdr:row>
          <xdr:rowOff>22860</xdr:rowOff>
        </xdr:from>
        <xdr:to>
          <xdr:col>3</xdr:col>
          <xdr:colOff>342900</xdr:colOff>
          <xdr:row>9</xdr:row>
          <xdr:rowOff>289560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10</xdr:row>
          <xdr:rowOff>22860</xdr:rowOff>
        </xdr:from>
        <xdr:to>
          <xdr:col>3</xdr:col>
          <xdr:colOff>342900</xdr:colOff>
          <xdr:row>10</xdr:row>
          <xdr:rowOff>289560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11</xdr:row>
          <xdr:rowOff>22860</xdr:rowOff>
        </xdr:from>
        <xdr:to>
          <xdr:col>3</xdr:col>
          <xdr:colOff>342900</xdr:colOff>
          <xdr:row>11</xdr:row>
          <xdr:rowOff>289560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12</xdr:row>
          <xdr:rowOff>22860</xdr:rowOff>
        </xdr:from>
        <xdr:to>
          <xdr:col>3</xdr:col>
          <xdr:colOff>342900</xdr:colOff>
          <xdr:row>12</xdr:row>
          <xdr:rowOff>289560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13</xdr:row>
          <xdr:rowOff>22860</xdr:rowOff>
        </xdr:from>
        <xdr:to>
          <xdr:col>3</xdr:col>
          <xdr:colOff>342900</xdr:colOff>
          <xdr:row>13</xdr:row>
          <xdr:rowOff>289560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14</xdr:row>
          <xdr:rowOff>22860</xdr:rowOff>
        </xdr:from>
        <xdr:to>
          <xdr:col>3</xdr:col>
          <xdr:colOff>342900</xdr:colOff>
          <xdr:row>14</xdr:row>
          <xdr:rowOff>289560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15</xdr:row>
          <xdr:rowOff>22860</xdr:rowOff>
        </xdr:from>
        <xdr:to>
          <xdr:col>3</xdr:col>
          <xdr:colOff>342900</xdr:colOff>
          <xdr:row>15</xdr:row>
          <xdr:rowOff>289560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16</xdr:row>
          <xdr:rowOff>22860</xdr:rowOff>
        </xdr:from>
        <xdr:to>
          <xdr:col>3</xdr:col>
          <xdr:colOff>342900</xdr:colOff>
          <xdr:row>16</xdr:row>
          <xdr:rowOff>289560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17</xdr:row>
          <xdr:rowOff>22860</xdr:rowOff>
        </xdr:from>
        <xdr:to>
          <xdr:col>3</xdr:col>
          <xdr:colOff>342900</xdr:colOff>
          <xdr:row>17</xdr:row>
          <xdr:rowOff>289560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18</xdr:row>
          <xdr:rowOff>22860</xdr:rowOff>
        </xdr:from>
        <xdr:to>
          <xdr:col>3</xdr:col>
          <xdr:colOff>342900</xdr:colOff>
          <xdr:row>18</xdr:row>
          <xdr:rowOff>289560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7</xdr:row>
          <xdr:rowOff>22860</xdr:rowOff>
        </xdr:from>
        <xdr:to>
          <xdr:col>5</xdr:col>
          <xdr:colOff>327660</xdr:colOff>
          <xdr:row>7</xdr:row>
          <xdr:rowOff>289560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8</xdr:row>
          <xdr:rowOff>22860</xdr:rowOff>
        </xdr:from>
        <xdr:to>
          <xdr:col>5</xdr:col>
          <xdr:colOff>327660</xdr:colOff>
          <xdr:row>8</xdr:row>
          <xdr:rowOff>289560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9</xdr:row>
          <xdr:rowOff>22860</xdr:rowOff>
        </xdr:from>
        <xdr:to>
          <xdr:col>5</xdr:col>
          <xdr:colOff>327660</xdr:colOff>
          <xdr:row>9</xdr:row>
          <xdr:rowOff>289560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10</xdr:row>
          <xdr:rowOff>22860</xdr:rowOff>
        </xdr:from>
        <xdr:to>
          <xdr:col>5</xdr:col>
          <xdr:colOff>327660</xdr:colOff>
          <xdr:row>10</xdr:row>
          <xdr:rowOff>289560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11</xdr:row>
          <xdr:rowOff>22860</xdr:rowOff>
        </xdr:from>
        <xdr:to>
          <xdr:col>5</xdr:col>
          <xdr:colOff>327660</xdr:colOff>
          <xdr:row>11</xdr:row>
          <xdr:rowOff>289560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12</xdr:row>
          <xdr:rowOff>22860</xdr:rowOff>
        </xdr:from>
        <xdr:to>
          <xdr:col>5</xdr:col>
          <xdr:colOff>327660</xdr:colOff>
          <xdr:row>12</xdr:row>
          <xdr:rowOff>289560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13</xdr:row>
          <xdr:rowOff>22860</xdr:rowOff>
        </xdr:from>
        <xdr:to>
          <xdr:col>5</xdr:col>
          <xdr:colOff>327660</xdr:colOff>
          <xdr:row>13</xdr:row>
          <xdr:rowOff>289560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14</xdr:row>
          <xdr:rowOff>22860</xdr:rowOff>
        </xdr:from>
        <xdr:to>
          <xdr:col>5</xdr:col>
          <xdr:colOff>327660</xdr:colOff>
          <xdr:row>14</xdr:row>
          <xdr:rowOff>289560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15</xdr:row>
          <xdr:rowOff>22860</xdr:rowOff>
        </xdr:from>
        <xdr:to>
          <xdr:col>5</xdr:col>
          <xdr:colOff>327660</xdr:colOff>
          <xdr:row>15</xdr:row>
          <xdr:rowOff>289560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16</xdr:row>
          <xdr:rowOff>22860</xdr:rowOff>
        </xdr:from>
        <xdr:to>
          <xdr:col>5</xdr:col>
          <xdr:colOff>327660</xdr:colOff>
          <xdr:row>16</xdr:row>
          <xdr:rowOff>289560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17</xdr:row>
          <xdr:rowOff>22860</xdr:rowOff>
        </xdr:from>
        <xdr:to>
          <xdr:col>5</xdr:col>
          <xdr:colOff>327660</xdr:colOff>
          <xdr:row>17</xdr:row>
          <xdr:rowOff>289560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18</xdr:row>
          <xdr:rowOff>22860</xdr:rowOff>
        </xdr:from>
        <xdr:to>
          <xdr:col>5</xdr:col>
          <xdr:colOff>327660</xdr:colOff>
          <xdr:row>18</xdr:row>
          <xdr:rowOff>289560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22860</xdr:rowOff>
        </xdr:from>
        <xdr:to>
          <xdr:col>6</xdr:col>
          <xdr:colOff>342900</xdr:colOff>
          <xdr:row>7</xdr:row>
          <xdr:rowOff>289560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8</xdr:row>
          <xdr:rowOff>22860</xdr:rowOff>
        </xdr:from>
        <xdr:to>
          <xdr:col>6</xdr:col>
          <xdr:colOff>342900</xdr:colOff>
          <xdr:row>8</xdr:row>
          <xdr:rowOff>289560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9</xdr:row>
          <xdr:rowOff>22860</xdr:rowOff>
        </xdr:from>
        <xdr:to>
          <xdr:col>6</xdr:col>
          <xdr:colOff>342900</xdr:colOff>
          <xdr:row>9</xdr:row>
          <xdr:rowOff>289560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10</xdr:row>
          <xdr:rowOff>22860</xdr:rowOff>
        </xdr:from>
        <xdr:to>
          <xdr:col>6</xdr:col>
          <xdr:colOff>342900</xdr:colOff>
          <xdr:row>10</xdr:row>
          <xdr:rowOff>289560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22860</xdr:rowOff>
        </xdr:from>
        <xdr:to>
          <xdr:col>6</xdr:col>
          <xdr:colOff>342900</xdr:colOff>
          <xdr:row>11</xdr:row>
          <xdr:rowOff>289560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22860</xdr:rowOff>
        </xdr:from>
        <xdr:to>
          <xdr:col>6</xdr:col>
          <xdr:colOff>342900</xdr:colOff>
          <xdr:row>12</xdr:row>
          <xdr:rowOff>289560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22860</xdr:rowOff>
        </xdr:from>
        <xdr:to>
          <xdr:col>6</xdr:col>
          <xdr:colOff>342900</xdr:colOff>
          <xdr:row>13</xdr:row>
          <xdr:rowOff>289560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14</xdr:row>
          <xdr:rowOff>22860</xdr:rowOff>
        </xdr:from>
        <xdr:to>
          <xdr:col>6</xdr:col>
          <xdr:colOff>342900</xdr:colOff>
          <xdr:row>14</xdr:row>
          <xdr:rowOff>289560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15</xdr:row>
          <xdr:rowOff>22860</xdr:rowOff>
        </xdr:from>
        <xdr:to>
          <xdr:col>6</xdr:col>
          <xdr:colOff>342900</xdr:colOff>
          <xdr:row>15</xdr:row>
          <xdr:rowOff>289560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16</xdr:row>
          <xdr:rowOff>22860</xdr:rowOff>
        </xdr:from>
        <xdr:to>
          <xdr:col>6</xdr:col>
          <xdr:colOff>342900</xdr:colOff>
          <xdr:row>16</xdr:row>
          <xdr:rowOff>289560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17</xdr:row>
          <xdr:rowOff>22860</xdr:rowOff>
        </xdr:from>
        <xdr:to>
          <xdr:col>6</xdr:col>
          <xdr:colOff>342900</xdr:colOff>
          <xdr:row>17</xdr:row>
          <xdr:rowOff>289560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18</xdr:row>
          <xdr:rowOff>22860</xdr:rowOff>
        </xdr:from>
        <xdr:to>
          <xdr:col>6</xdr:col>
          <xdr:colOff>342900</xdr:colOff>
          <xdr:row>18</xdr:row>
          <xdr:rowOff>289560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7</xdr:row>
          <xdr:rowOff>22860</xdr:rowOff>
        </xdr:from>
        <xdr:to>
          <xdr:col>8</xdr:col>
          <xdr:colOff>327660</xdr:colOff>
          <xdr:row>7</xdr:row>
          <xdr:rowOff>289560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8</xdr:row>
          <xdr:rowOff>22860</xdr:rowOff>
        </xdr:from>
        <xdr:to>
          <xdr:col>8</xdr:col>
          <xdr:colOff>327660</xdr:colOff>
          <xdr:row>8</xdr:row>
          <xdr:rowOff>289560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9</xdr:row>
          <xdr:rowOff>22860</xdr:rowOff>
        </xdr:from>
        <xdr:to>
          <xdr:col>8</xdr:col>
          <xdr:colOff>327660</xdr:colOff>
          <xdr:row>9</xdr:row>
          <xdr:rowOff>289560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10</xdr:row>
          <xdr:rowOff>22860</xdr:rowOff>
        </xdr:from>
        <xdr:to>
          <xdr:col>8</xdr:col>
          <xdr:colOff>327660</xdr:colOff>
          <xdr:row>10</xdr:row>
          <xdr:rowOff>289560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11</xdr:row>
          <xdr:rowOff>22860</xdr:rowOff>
        </xdr:from>
        <xdr:to>
          <xdr:col>8</xdr:col>
          <xdr:colOff>327660</xdr:colOff>
          <xdr:row>11</xdr:row>
          <xdr:rowOff>289560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12</xdr:row>
          <xdr:rowOff>22860</xdr:rowOff>
        </xdr:from>
        <xdr:to>
          <xdr:col>8</xdr:col>
          <xdr:colOff>327660</xdr:colOff>
          <xdr:row>12</xdr:row>
          <xdr:rowOff>289560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13</xdr:row>
          <xdr:rowOff>22860</xdr:rowOff>
        </xdr:from>
        <xdr:to>
          <xdr:col>8</xdr:col>
          <xdr:colOff>327660</xdr:colOff>
          <xdr:row>13</xdr:row>
          <xdr:rowOff>289560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14</xdr:row>
          <xdr:rowOff>22860</xdr:rowOff>
        </xdr:from>
        <xdr:to>
          <xdr:col>8</xdr:col>
          <xdr:colOff>327660</xdr:colOff>
          <xdr:row>14</xdr:row>
          <xdr:rowOff>289560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15</xdr:row>
          <xdr:rowOff>22860</xdr:rowOff>
        </xdr:from>
        <xdr:to>
          <xdr:col>8</xdr:col>
          <xdr:colOff>327660</xdr:colOff>
          <xdr:row>15</xdr:row>
          <xdr:rowOff>289560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16</xdr:row>
          <xdr:rowOff>22860</xdr:rowOff>
        </xdr:from>
        <xdr:to>
          <xdr:col>8</xdr:col>
          <xdr:colOff>327660</xdr:colOff>
          <xdr:row>16</xdr:row>
          <xdr:rowOff>289560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17</xdr:row>
          <xdr:rowOff>22860</xdr:rowOff>
        </xdr:from>
        <xdr:to>
          <xdr:col>8</xdr:col>
          <xdr:colOff>327660</xdr:colOff>
          <xdr:row>17</xdr:row>
          <xdr:rowOff>289560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18</xdr:row>
          <xdr:rowOff>22860</xdr:rowOff>
        </xdr:from>
        <xdr:to>
          <xdr:col>8</xdr:col>
          <xdr:colOff>327660</xdr:colOff>
          <xdr:row>18</xdr:row>
          <xdr:rowOff>289560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7</xdr:row>
          <xdr:rowOff>22860</xdr:rowOff>
        </xdr:from>
        <xdr:to>
          <xdr:col>9</xdr:col>
          <xdr:colOff>342900</xdr:colOff>
          <xdr:row>7</xdr:row>
          <xdr:rowOff>289560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8</xdr:row>
          <xdr:rowOff>22860</xdr:rowOff>
        </xdr:from>
        <xdr:to>
          <xdr:col>9</xdr:col>
          <xdr:colOff>342900</xdr:colOff>
          <xdr:row>8</xdr:row>
          <xdr:rowOff>289560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9</xdr:row>
          <xdr:rowOff>22860</xdr:rowOff>
        </xdr:from>
        <xdr:to>
          <xdr:col>9</xdr:col>
          <xdr:colOff>342900</xdr:colOff>
          <xdr:row>9</xdr:row>
          <xdr:rowOff>289560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10</xdr:row>
          <xdr:rowOff>22860</xdr:rowOff>
        </xdr:from>
        <xdr:to>
          <xdr:col>9</xdr:col>
          <xdr:colOff>342900</xdr:colOff>
          <xdr:row>10</xdr:row>
          <xdr:rowOff>289560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11</xdr:row>
          <xdr:rowOff>22860</xdr:rowOff>
        </xdr:from>
        <xdr:to>
          <xdr:col>9</xdr:col>
          <xdr:colOff>342900</xdr:colOff>
          <xdr:row>11</xdr:row>
          <xdr:rowOff>289560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12</xdr:row>
          <xdr:rowOff>22860</xdr:rowOff>
        </xdr:from>
        <xdr:to>
          <xdr:col>9</xdr:col>
          <xdr:colOff>342900</xdr:colOff>
          <xdr:row>12</xdr:row>
          <xdr:rowOff>289560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13</xdr:row>
          <xdr:rowOff>22860</xdr:rowOff>
        </xdr:from>
        <xdr:to>
          <xdr:col>9</xdr:col>
          <xdr:colOff>342900</xdr:colOff>
          <xdr:row>13</xdr:row>
          <xdr:rowOff>289560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14</xdr:row>
          <xdr:rowOff>22860</xdr:rowOff>
        </xdr:from>
        <xdr:to>
          <xdr:col>9</xdr:col>
          <xdr:colOff>342900</xdr:colOff>
          <xdr:row>14</xdr:row>
          <xdr:rowOff>289560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15</xdr:row>
          <xdr:rowOff>22860</xdr:rowOff>
        </xdr:from>
        <xdr:to>
          <xdr:col>9</xdr:col>
          <xdr:colOff>342900</xdr:colOff>
          <xdr:row>15</xdr:row>
          <xdr:rowOff>289560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16</xdr:row>
          <xdr:rowOff>22860</xdr:rowOff>
        </xdr:from>
        <xdr:to>
          <xdr:col>9</xdr:col>
          <xdr:colOff>342900</xdr:colOff>
          <xdr:row>16</xdr:row>
          <xdr:rowOff>289560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17</xdr:row>
          <xdr:rowOff>22860</xdr:rowOff>
        </xdr:from>
        <xdr:to>
          <xdr:col>9</xdr:col>
          <xdr:colOff>342900</xdr:colOff>
          <xdr:row>17</xdr:row>
          <xdr:rowOff>289560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18</xdr:row>
          <xdr:rowOff>22860</xdr:rowOff>
        </xdr:from>
        <xdr:to>
          <xdr:col>9</xdr:col>
          <xdr:colOff>342900</xdr:colOff>
          <xdr:row>18</xdr:row>
          <xdr:rowOff>289560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7</xdr:row>
          <xdr:rowOff>22860</xdr:rowOff>
        </xdr:from>
        <xdr:to>
          <xdr:col>11</xdr:col>
          <xdr:colOff>327660</xdr:colOff>
          <xdr:row>7</xdr:row>
          <xdr:rowOff>289560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8</xdr:row>
          <xdr:rowOff>22860</xdr:rowOff>
        </xdr:from>
        <xdr:to>
          <xdr:col>11</xdr:col>
          <xdr:colOff>327660</xdr:colOff>
          <xdr:row>8</xdr:row>
          <xdr:rowOff>289560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9</xdr:row>
          <xdr:rowOff>22860</xdr:rowOff>
        </xdr:from>
        <xdr:to>
          <xdr:col>11</xdr:col>
          <xdr:colOff>327660</xdr:colOff>
          <xdr:row>9</xdr:row>
          <xdr:rowOff>289560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10</xdr:row>
          <xdr:rowOff>22860</xdr:rowOff>
        </xdr:from>
        <xdr:to>
          <xdr:col>11</xdr:col>
          <xdr:colOff>327660</xdr:colOff>
          <xdr:row>10</xdr:row>
          <xdr:rowOff>289560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11</xdr:row>
          <xdr:rowOff>22860</xdr:rowOff>
        </xdr:from>
        <xdr:to>
          <xdr:col>11</xdr:col>
          <xdr:colOff>327660</xdr:colOff>
          <xdr:row>11</xdr:row>
          <xdr:rowOff>289560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12</xdr:row>
          <xdr:rowOff>22860</xdr:rowOff>
        </xdr:from>
        <xdr:to>
          <xdr:col>11</xdr:col>
          <xdr:colOff>327660</xdr:colOff>
          <xdr:row>12</xdr:row>
          <xdr:rowOff>289560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13</xdr:row>
          <xdr:rowOff>22860</xdr:rowOff>
        </xdr:from>
        <xdr:to>
          <xdr:col>11</xdr:col>
          <xdr:colOff>327660</xdr:colOff>
          <xdr:row>13</xdr:row>
          <xdr:rowOff>289560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14</xdr:row>
          <xdr:rowOff>22860</xdr:rowOff>
        </xdr:from>
        <xdr:to>
          <xdr:col>11</xdr:col>
          <xdr:colOff>327660</xdr:colOff>
          <xdr:row>14</xdr:row>
          <xdr:rowOff>289560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15</xdr:row>
          <xdr:rowOff>22860</xdr:rowOff>
        </xdr:from>
        <xdr:to>
          <xdr:col>11</xdr:col>
          <xdr:colOff>327660</xdr:colOff>
          <xdr:row>15</xdr:row>
          <xdr:rowOff>289560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16</xdr:row>
          <xdr:rowOff>22860</xdr:rowOff>
        </xdr:from>
        <xdr:to>
          <xdr:col>11</xdr:col>
          <xdr:colOff>327660</xdr:colOff>
          <xdr:row>16</xdr:row>
          <xdr:rowOff>289560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17</xdr:row>
          <xdr:rowOff>22860</xdr:rowOff>
        </xdr:from>
        <xdr:to>
          <xdr:col>11</xdr:col>
          <xdr:colOff>327660</xdr:colOff>
          <xdr:row>18</xdr:row>
          <xdr:rowOff>15240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18</xdr:row>
          <xdr:rowOff>22860</xdr:rowOff>
        </xdr:from>
        <xdr:to>
          <xdr:col>11</xdr:col>
          <xdr:colOff>327660</xdr:colOff>
          <xdr:row>18</xdr:row>
          <xdr:rowOff>289560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7</xdr:row>
          <xdr:rowOff>22860</xdr:rowOff>
        </xdr:from>
        <xdr:to>
          <xdr:col>12</xdr:col>
          <xdr:colOff>342900</xdr:colOff>
          <xdr:row>7</xdr:row>
          <xdr:rowOff>289560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8</xdr:row>
          <xdr:rowOff>22860</xdr:rowOff>
        </xdr:from>
        <xdr:to>
          <xdr:col>12</xdr:col>
          <xdr:colOff>342900</xdr:colOff>
          <xdr:row>8</xdr:row>
          <xdr:rowOff>289560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9</xdr:row>
          <xdr:rowOff>22860</xdr:rowOff>
        </xdr:from>
        <xdr:to>
          <xdr:col>12</xdr:col>
          <xdr:colOff>342900</xdr:colOff>
          <xdr:row>9</xdr:row>
          <xdr:rowOff>289560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10</xdr:row>
          <xdr:rowOff>22860</xdr:rowOff>
        </xdr:from>
        <xdr:to>
          <xdr:col>12</xdr:col>
          <xdr:colOff>342900</xdr:colOff>
          <xdr:row>10</xdr:row>
          <xdr:rowOff>289560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11</xdr:row>
          <xdr:rowOff>22860</xdr:rowOff>
        </xdr:from>
        <xdr:to>
          <xdr:col>12</xdr:col>
          <xdr:colOff>342900</xdr:colOff>
          <xdr:row>11</xdr:row>
          <xdr:rowOff>289560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12</xdr:row>
          <xdr:rowOff>22860</xdr:rowOff>
        </xdr:from>
        <xdr:to>
          <xdr:col>12</xdr:col>
          <xdr:colOff>342900</xdr:colOff>
          <xdr:row>12</xdr:row>
          <xdr:rowOff>289560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13</xdr:row>
          <xdr:rowOff>22860</xdr:rowOff>
        </xdr:from>
        <xdr:to>
          <xdr:col>12</xdr:col>
          <xdr:colOff>342900</xdr:colOff>
          <xdr:row>13</xdr:row>
          <xdr:rowOff>289560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14</xdr:row>
          <xdr:rowOff>22860</xdr:rowOff>
        </xdr:from>
        <xdr:to>
          <xdr:col>12</xdr:col>
          <xdr:colOff>342900</xdr:colOff>
          <xdr:row>14</xdr:row>
          <xdr:rowOff>289560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15</xdr:row>
          <xdr:rowOff>22860</xdr:rowOff>
        </xdr:from>
        <xdr:to>
          <xdr:col>12</xdr:col>
          <xdr:colOff>342900</xdr:colOff>
          <xdr:row>15</xdr:row>
          <xdr:rowOff>289560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16</xdr:row>
          <xdr:rowOff>22860</xdr:rowOff>
        </xdr:from>
        <xdr:to>
          <xdr:col>12</xdr:col>
          <xdr:colOff>342900</xdr:colOff>
          <xdr:row>16</xdr:row>
          <xdr:rowOff>289560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17</xdr:row>
          <xdr:rowOff>22860</xdr:rowOff>
        </xdr:from>
        <xdr:to>
          <xdr:col>12</xdr:col>
          <xdr:colOff>342900</xdr:colOff>
          <xdr:row>17</xdr:row>
          <xdr:rowOff>289560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18</xdr:row>
          <xdr:rowOff>22860</xdr:rowOff>
        </xdr:from>
        <xdr:to>
          <xdr:col>12</xdr:col>
          <xdr:colOff>342900</xdr:colOff>
          <xdr:row>18</xdr:row>
          <xdr:rowOff>289560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7</xdr:row>
          <xdr:rowOff>22860</xdr:rowOff>
        </xdr:from>
        <xdr:to>
          <xdr:col>14</xdr:col>
          <xdr:colOff>327660</xdr:colOff>
          <xdr:row>7</xdr:row>
          <xdr:rowOff>289560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8</xdr:row>
          <xdr:rowOff>22860</xdr:rowOff>
        </xdr:from>
        <xdr:to>
          <xdr:col>14</xdr:col>
          <xdr:colOff>327660</xdr:colOff>
          <xdr:row>8</xdr:row>
          <xdr:rowOff>289560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9</xdr:row>
          <xdr:rowOff>22860</xdr:rowOff>
        </xdr:from>
        <xdr:to>
          <xdr:col>14</xdr:col>
          <xdr:colOff>327660</xdr:colOff>
          <xdr:row>9</xdr:row>
          <xdr:rowOff>289560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10</xdr:row>
          <xdr:rowOff>22860</xdr:rowOff>
        </xdr:from>
        <xdr:to>
          <xdr:col>14</xdr:col>
          <xdr:colOff>327660</xdr:colOff>
          <xdr:row>10</xdr:row>
          <xdr:rowOff>289560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11</xdr:row>
          <xdr:rowOff>22860</xdr:rowOff>
        </xdr:from>
        <xdr:to>
          <xdr:col>14</xdr:col>
          <xdr:colOff>327660</xdr:colOff>
          <xdr:row>11</xdr:row>
          <xdr:rowOff>289560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12</xdr:row>
          <xdr:rowOff>22860</xdr:rowOff>
        </xdr:from>
        <xdr:to>
          <xdr:col>14</xdr:col>
          <xdr:colOff>327660</xdr:colOff>
          <xdr:row>12</xdr:row>
          <xdr:rowOff>289560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13</xdr:row>
          <xdr:rowOff>22860</xdr:rowOff>
        </xdr:from>
        <xdr:to>
          <xdr:col>14</xdr:col>
          <xdr:colOff>327660</xdr:colOff>
          <xdr:row>13</xdr:row>
          <xdr:rowOff>289560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14</xdr:row>
          <xdr:rowOff>22860</xdr:rowOff>
        </xdr:from>
        <xdr:to>
          <xdr:col>14</xdr:col>
          <xdr:colOff>327660</xdr:colOff>
          <xdr:row>14</xdr:row>
          <xdr:rowOff>289560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15</xdr:row>
          <xdr:rowOff>22860</xdr:rowOff>
        </xdr:from>
        <xdr:to>
          <xdr:col>14</xdr:col>
          <xdr:colOff>327660</xdr:colOff>
          <xdr:row>15</xdr:row>
          <xdr:rowOff>289560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16</xdr:row>
          <xdr:rowOff>22860</xdr:rowOff>
        </xdr:from>
        <xdr:to>
          <xdr:col>14</xdr:col>
          <xdr:colOff>327660</xdr:colOff>
          <xdr:row>16</xdr:row>
          <xdr:rowOff>289560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17</xdr:row>
          <xdr:rowOff>22860</xdr:rowOff>
        </xdr:from>
        <xdr:to>
          <xdr:col>14</xdr:col>
          <xdr:colOff>327660</xdr:colOff>
          <xdr:row>17</xdr:row>
          <xdr:rowOff>289560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18</xdr:row>
          <xdr:rowOff>22860</xdr:rowOff>
        </xdr:from>
        <xdr:to>
          <xdr:col>14</xdr:col>
          <xdr:colOff>327660</xdr:colOff>
          <xdr:row>18</xdr:row>
          <xdr:rowOff>289560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7</xdr:row>
          <xdr:rowOff>22860</xdr:rowOff>
        </xdr:from>
        <xdr:to>
          <xdr:col>15</xdr:col>
          <xdr:colOff>342900</xdr:colOff>
          <xdr:row>7</xdr:row>
          <xdr:rowOff>289560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8</xdr:row>
          <xdr:rowOff>22860</xdr:rowOff>
        </xdr:from>
        <xdr:to>
          <xdr:col>15</xdr:col>
          <xdr:colOff>342900</xdr:colOff>
          <xdr:row>8</xdr:row>
          <xdr:rowOff>289560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9</xdr:row>
          <xdr:rowOff>22860</xdr:rowOff>
        </xdr:from>
        <xdr:to>
          <xdr:col>15</xdr:col>
          <xdr:colOff>342900</xdr:colOff>
          <xdr:row>9</xdr:row>
          <xdr:rowOff>289560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10</xdr:row>
          <xdr:rowOff>22860</xdr:rowOff>
        </xdr:from>
        <xdr:to>
          <xdr:col>15</xdr:col>
          <xdr:colOff>342900</xdr:colOff>
          <xdr:row>10</xdr:row>
          <xdr:rowOff>289560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11</xdr:row>
          <xdr:rowOff>22860</xdr:rowOff>
        </xdr:from>
        <xdr:to>
          <xdr:col>15</xdr:col>
          <xdr:colOff>342900</xdr:colOff>
          <xdr:row>11</xdr:row>
          <xdr:rowOff>289560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12</xdr:row>
          <xdr:rowOff>22860</xdr:rowOff>
        </xdr:from>
        <xdr:to>
          <xdr:col>15</xdr:col>
          <xdr:colOff>342900</xdr:colOff>
          <xdr:row>12</xdr:row>
          <xdr:rowOff>289560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13</xdr:row>
          <xdr:rowOff>22860</xdr:rowOff>
        </xdr:from>
        <xdr:to>
          <xdr:col>15</xdr:col>
          <xdr:colOff>342900</xdr:colOff>
          <xdr:row>13</xdr:row>
          <xdr:rowOff>289560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14</xdr:row>
          <xdr:rowOff>22860</xdr:rowOff>
        </xdr:from>
        <xdr:to>
          <xdr:col>15</xdr:col>
          <xdr:colOff>342900</xdr:colOff>
          <xdr:row>14</xdr:row>
          <xdr:rowOff>289560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15</xdr:row>
          <xdr:rowOff>22860</xdr:rowOff>
        </xdr:from>
        <xdr:to>
          <xdr:col>15</xdr:col>
          <xdr:colOff>342900</xdr:colOff>
          <xdr:row>15</xdr:row>
          <xdr:rowOff>289560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16</xdr:row>
          <xdr:rowOff>22860</xdr:rowOff>
        </xdr:from>
        <xdr:to>
          <xdr:col>15</xdr:col>
          <xdr:colOff>342900</xdr:colOff>
          <xdr:row>16</xdr:row>
          <xdr:rowOff>289560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17</xdr:row>
          <xdr:rowOff>22860</xdr:rowOff>
        </xdr:from>
        <xdr:to>
          <xdr:col>15</xdr:col>
          <xdr:colOff>342900</xdr:colOff>
          <xdr:row>17</xdr:row>
          <xdr:rowOff>289560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18</xdr:row>
          <xdr:rowOff>22860</xdr:rowOff>
        </xdr:from>
        <xdr:to>
          <xdr:col>15</xdr:col>
          <xdr:colOff>342900</xdr:colOff>
          <xdr:row>18</xdr:row>
          <xdr:rowOff>289560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7</xdr:row>
          <xdr:rowOff>22860</xdr:rowOff>
        </xdr:from>
        <xdr:to>
          <xdr:col>17</xdr:col>
          <xdr:colOff>327660</xdr:colOff>
          <xdr:row>7</xdr:row>
          <xdr:rowOff>289560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8</xdr:row>
          <xdr:rowOff>22860</xdr:rowOff>
        </xdr:from>
        <xdr:to>
          <xdr:col>17</xdr:col>
          <xdr:colOff>327660</xdr:colOff>
          <xdr:row>8</xdr:row>
          <xdr:rowOff>289560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9</xdr:row>
          <xdr:rowOff>22860</xdr:rowOff>
        </xdr:from>
        <xdr:to>
          <xdr:col>17</xdr:col>
          <xdr:colOff>327660</xdr:colOff>
          <xdr:row>9</xdr:row>
          <xdr:rowOff>289560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10</xdr:row>
          <xdr:rowOff>22860</xdr:rowOff>
        </xdr:from>
        <xdr:to>
          <xdr:col>17</xdr:col>
          <xdr:colOff>327660</xdr:colOff>
          <xdr:row>10</xdr:row>
          <xdr:rowOff>289560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11</xdr:row>
          <xdr:rowOff>22860</xdr:rowOff>
        </xdr:from>
        <xdr:to>
          <xdr:col>17</xdr:col>
          <xdr:colOff>327660</xdr:colOff>
          <xdr:row>11</xdr:row>
          <xdr:rowOff>289560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12</xdr:row>
          <xdr:rowOff>22860</xdr:rowOff>
        </xdr:from>
        <xdr:to>
          <xdr:col>17</xdr:col>
          <xdr:colOff>327660</xdr:colOff>
          <xdr:row>12</xdr:row>
          <xdr:rowOff>289560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13</xdr:row>
          <xdr:rowOff>22860</xdr:rowOff>
        </xdr:from>
        <xdr:to>
          <xdr:col>17</xdr:col>
          <xdr:colOff>327660</xdr:colOff>
          <xdr:row>13</xdr:row>
          <xdr:rowOff>289560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14</xdr:row>
          <xdr:rowOff>22860</xdr:rowOff>
        </xdr:from>
        <xdr:to>
          <xdr:col>17</xdr:col>
          <xdr:colOff>327660</xdr:colOff>
          <xdr:row>14</xdr:row>
          <xdr:rowOff>289560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15</xdr:row>
          <xdr:rowOff>22860</xdr:rowOff>
        </xdr:from>
        <xdr:to>
          <xdr:col>17</xdr:col>
          <xdr:colOff>327660</xdr:colOff>
          <xdr:row>15</xdr:row>
          <xdr:rowOff>289560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16</xdr:row>
          <xdr:rowOff>22860</xdr:rowOff>
        </xdr:from>
        <xdr:to>
          <xdr:col>17</xdr:col>
          <xdr:colOff>327660</xdr:colOff>
          <xdr:row>16</xdr:row>
          <xdr:rowOff>289560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17</xdr:row>
          <xdr:rowOff>22860</xdr:rowOff>
        </xdr:from>
        <xdr:to>
          <xdr:col>17</xdr:col>
          <xdr:colOff>327660</xdr:colOff>
          <xdr:row>17</xdr:row>
          <xdr:rowOff>289560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18</xdr:row>
          <xdr:rowOff>22860</xdr:rowOff>
        </xdr:from>
        <xdr:to>
          <xdr:col>17</xdr:col>
          <xdr:colOff>327660</xdr:colOff>
          <xdr:row>18</xdr:row>
          <xdr:rowOff>289560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7</xdr:row>
          <xdr:rowOff>22860</xdr:rowOff>
        </xdr:from>
        <xdr:to>
          <xdr:col>18</xdr:col>
          <xdr:colOff>342900</xdr:colOff>
          <xdr:row>7</xdr:row>
          <xdr:rowOff>289560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8</xdr:row>
          <xdr:rowOff>22860</xdr:rowOff>
        </xdr:from>
        <xdr:to>
          <xdr:col>18</xdr:col>
          <xdr:colOff>342900</xdr:colOff>
          <xdr:row>8</xdr:row>
          <xdr:rowOff>289560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9</xdr:row>
          <xdr:rowOff>22860</xdr:rowOff>
        </xdr:from>
        <xdr:to>
          <xdr:col>18</xdr:col>
          <xdr:colOff>342900</xdr:colOff>
          <xdr:row>9</xdr:row>
          <xdr:rowOff>289560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10</xdr:row>
          <xdr:rowOff>22860</xdr:rowOff>
        </xdr:from>
        <xdr:to>
          <xdr:col>18</xdr:col>
          <xdr:colOff>342900</xdr:colOff>
          <xdr:row>10</xdr:row>
          <xdr:rowOff>289560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11</xdr:row>
          <xdr:rowOff>22860</xdr:rowOff>
        </xdr:from>
        <xdr:to>
          <xdr:col>18</xdr:col>
          <xdr:colOff>342900</xdr:colOff>
          <xdr:row>11</xdr:row>
          <xdr:rowOff>289560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12</xdr:row>
          <xdr:rowOff>22860</xdr:rowOff>
        </xdr:from>
        <xdr:to>
          <xdr:col>18</xdr:col>
          <xdr:colOff>342900</xdr:colOff>
          <xdr:row>12</xdr:row>
          <xdr:rowOff>289560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13</xdr:row>
          <xdr:rowOff>22860</xdr:rowOff>
        </xdr:from>
        <xdr:to>
          <xdr:col>18</xdr:col>
          <xdr:colOff>342900</xdr:colOff>
          <xdr:row>13</xdr:row>
          <xdr:rowOff>289560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14</xdr:row>
          <xdr:rowOff>22860</xdr:rowOff>
        </xdr:from>
        <xdr:to>
          <xdr:col>18</xdr:col>
          <xdr:colOff>342900</xdr:colOff>
          <xdr:row>14</xdr:row>
          <xdr:rowOff>289560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15</xdr:row>
          <xdr:rowOff>22860</xdr:rowOff>
        </xdr:from>
        <xdr:to>
          <xdr:col>18</xdr:col>
          <xdr:colOff>342900</xdr:colOff>
          <xdr:row>15</xdr:row>
          <xdr:rowOff>289560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16</xdr:row>
          <xdr:rowOff>22860</xdr:rowOff>
        </xdr:from>
        <xdr:to>
          <xdr:col>18</xdr:col>
          <xdr:colOff>342900</xdr:colOff>
          <xdr:row>16</xdr:row>
          <xdr:rowOff>289560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17</xdr:row>
          <xdr:rowOff>22860</xdr:rowOff>
        </xdr:from>
        <xdr:to>
          <xdr:col>18</xdr:col>
          <xdr:colOff>342900</xdr:colOff>
          <xdr:row>17</xdr:row>
          <xdr:rowOff>289560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18</xdr:row>
          <xdr:rowOff>22860</xdr:rowOff>
        </xdr:from>
        <xdr:to>
          <xdr:col>18</xdr:col>
          <xdr:colOff>342900</xdr:colOff>
          <xdr:row>18</xdr:row>
          <xdr:rowOff>289560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7</xdr:row>
          <xdr:rowOff>22860</xdr:rowOff>
        </xdr:from>
        <xdr:to>
          <xdr:col>20</xdr:col>
          <xdr:colOff>327660</xdr:colOff>
          <xdr:row>7</xdr:row>
          <xdr:rowOff>289560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8</xdr:row>
          <xdr:rowOff>22860</xdr:rowOff>
        </xdr:from>
        <xdr:to>
          <xdr:col>20</xdr:col>
          <xdr:colOff>327660</xdr:colOff>
          <xdr:row>8</xdr:row>
          <xdr:rowOff>289560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9</xdr:row>
          <xdr:rowOff>22860</xdr:rowOff>
        </xdr:from>
        <xdr:to>
          <xdr:col>20</xdr:col>
          <xdr:colOff>327660</xdr:colOff>
          <xdr:row>9</xdr:row>
          <xdr:rowOff>289560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10</xdr:row>
          <xdr:rowOff>22860</xdr:rowOff>
        </xdr:from>
        <xdr:to>
          <xdr:col>20</xdr:col>
          <xdr:colOff>327660</xdr:colOff>
          <xdr:row>10</xdr:row>
          <xdr:rowOff>289560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11</xdr:row>
          <xdr:rowOff>22860</xdr:rowOff>
        </xdr:from>
        <xdr:to>
          <xdr:col>20</xdr:col>
          <xdr:colOff>327660</xdr:colOff>
          <xdr:row>11</xdr:row>
          <xdr:rowOff>289560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12</xdr:row>
          <xdr:rowOff>22860</xdr:rowOff>
        </xdr:from>
        <xdr:to>
          <xdr:col>20</xdr:col>
          <xdr:colOff>327660</xdr:colOff>
          <xdr:row>12</xdr:row>
          <xdr:rowOff>289560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13</xdr:row>
          <xdr:rowOff>22860</xdr:rowOff>
        </xdr:from>
        <xdr:to>
          <xdr:col>20</xdr:col>
          <xdr:colOff>327660</xdr:colOff>
          <xdr:row>13</xdr:row>
          <xdr:rowOff>289560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14</xdr:row>
          <xdr:rowOff>22860</xdr:rowOff>
        </xdr:from>
        <xdr:to>
          <xdr:col>20</xdr:col>
          <xdr:colOff>327660</xdr:colOff>
          <xdr:row>14</xdr:row>
          <xdr:rowOff>289560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15</xdr:row>
          <xdr:rowOff>22860</xdr:rowOff>
        </xdr:from>
        <xdr:to>
          <xdr:col>20</xdr:col>
          <xdr:colOff>327660</xdr:colOff>
          <xdr:row>15</xdr:row>
          <xdr:rowOff>289560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16</xdr:row>
          <xdr:rowOff>22860</xdr:rowOff>
        </xdr:from>
        <xdr:to>
          <xdr:col>20</xdr:col>
          <xdr:colOff>327660</xdr:colOff>
          <xdr:row>16</xdr:row>
          <xdr:rowOff>289560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17</xdr:row>
          <xdr:rowOff>22860</xdr:rowOff>
        </xdr:from>
        <xdr:to>
          <xdr:col>20</xdr:col>
          <xdr:colOff>327660</xdr:colOff>
          <xdr:row>17</xdr:row>
          <xdr:rowOff>289560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20</xdr:col>
          <xdr:colOff>327660</xdr:colOff>
          <xdr:row>18</xdr:row>
          <xdr:rowOff>289560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22</xdr:row>
          <xdr:rowOff>22860</xdr:rowOff>
        </xdr:from>
        <xdr:to>
          <xdr:col>3</xdr:col>
          <xdr:colOff>342900</xdr:colOff>
          <xdr:row>22</xdr:row>
          <xdr:rowOff>289560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22</xdr:row>
          <xdr:rowOff>22860</xdr:rowOff>
        </xdr:from>
        <xdr:to>
          <xdr:col>5</xdr:col>
          <xdr:colOff>327660</xdr:colOff>
          <xdr:row>22</xdr:row>
          <xdr:rowOff>289560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22860</xdr:rowOff>
        </xdr:from>
        <xdr:to>
          <xdr:col>6</xdr:col>
          <xdr:colOff>342900</xdr:colOff>
          <xdr:row>22</xdr:row>
          <xdr:rowOff>289560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22</xdr:row>
          <xdr:rowOff>22860</xdr:rowOff>
        </xdr:from>
        <xdr:to>
          <xdr:col>8</xdr:col>
          <xdr:colOff>327660</xdr:colOff>
          <xdr:row>22</xdr:row>
          <xdr:rowOff>289560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22860</xdr:rowOff>
        </xdr:from>
        <xdr:to>
          <xdr:col>9</xdr:col>
          <xdr:colOff>342900</xdr:colOff>
          <xdr:row>22</xdr:row>
          <xdr:rowOff>289560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22</xdr:row>
          <xdr:rowOff>22860</xdr:rowOff>
        </xdr:from>
        <xdr:to>
          <xdr:col>11</xdr:col>
          <xdr:colOff>327660</xdr:colOff>
          <xdr:row>22</xdr:row>
          <xdr:rowOff>289560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22</xdr:row>
          <xdr:rowOff>22860</xdr:rowOff>
        </xdr:from>
        <xdr:to>
          <xdr:col>12</xdr:col>
          <xdr:colOff>342900</xdr:colOff>
          <xdr:row>22</xdr:row>
          <xdr:rowOff>289560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22</xdr:row>
          <xdr:rowOff>22860</xdr:rowOff>
        </xdr:from>
        <xdr:to>
          <xdr:col>14</xdr:col>
          <xdr:colOff>327660</xdr:colOff>
          <xdr:row>22</xdr:row>
          <xdr:rowOff>289560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22</xdr:row>
          <xdr:rowOff>22860</xdr:rowOff>
        </xdr:from>
        <xdr:to>
          <xdr:col>15</xdr:col>
          <xdr:colOff>342900</xdr:colOff>
          <xdr:row>22</xdr:row>
          <xdr:rowOff>289560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22</xdr:row>
          <xdr:rowOff>22860</xdr:rowOff>
        </xdr:from>
        <xdr:to>
          <xdr:col>17</xdr:col>
          <xdr:colOff>327660</xdr:colOff>
          <xdr:row>22</xdr:row>
          <xdr:rowOff>289560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22</xdr:row>
          <xdr:rowOff>22860</xdr:rowOff>
        </xdr:from>
        <xdr:to>
          <xdr:col>18</xdr:col>
          <xdr:colOff>342900</xdr:colOff>
          <xdr:row>22</xdr:row>
          <xdr:rowOff>289560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22</xdr:row>
          <xdr:rowOff>22860</xdr:rowOff>
        </xdr:from>
        <xdr:to>
          <xdr:col>20</xdr:col>
          <xdr:colOff>327660</xdr:colOff>
          <xdr:row>22</xdr:row>
          <xdr:rowOff>289560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24</xdr:row>
          <xdr:rowOff>22860</xdr:rowOff>
        </xdr:from>
        <xdr:to>
          <xdr:col>3</xdr:col>
          <xdr:colOff>342900</xdr:colOff>
          <xdr:row>24</xdr:row>
          <xdr:rowOff>289560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24</xdr:row>
          <xdr:rowOff>22860</xdr:rowOff>
        </xdr:from>
        <xdr:to>
          <xdr:col>5</xdr:col>
          <xdr:colOff>327660</xdr:colOff>
          <xdr:row>24</xdr:row>
          <xdr:rowOff>289560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22860</xdr:rowOff>
        </xdr:from>
        <xdr:to>
          <xdr:col>6</xdr:col>
          <xdr:colOff>342900</xdr:colOff>
          <xdr:row>24</xdr:row>
          <xdr:rowOff>289560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24</xdr:row>
          <xdr:rowOff>22860</xdr:rowOff>
        </xdr:from>
        <xdr:to>
          <xdr:col>8</xdr:col>
          <xdr:colOff>327660</xdr:colOff>
          <xdr:row>24</xdr:row>
          <xdr:rowOff>289560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22860</xdr:rowOff>
        </xdr:from>
        <xdr:to>
          <xdr:col>9</xdr:col>
          <xdr:colOff>342900</xdr:colOff>
          <xdr:row>24</xdr:row>
          <xdr:rowOff>289560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24</xdr:row>
          <xdr:rowOff>22860</xdr:rowOff>
        </xdr:from>
        <xdr:to>
          <xdr:col>11</xdr:col>
          <xdr:colOff>327660</xdr:colOff>
          <xdr:row>24</xdr:row>
          <xdr:rowOff>289560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24</xdr:row>
          <xdr:rowOff>22860</xdr:rowOff>
        </xdr:from>
        <xdr:to>
          <xdr:col>12</xdr:col>
          <xdr:colOff>342900</xdr:colOff>
          <xdr:row>24</xdr:row>
          <xdr:rowOff>289560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24</xdr:row>
          <xdr:rowOff>22860</xdr:rowOff>
        </xdr:from>
        <xdr:to>
          <xdr:col>14</xdr:col>
          <xdr:colOff>327660</xdr:colOff>
          <xdr:row>24</xdr:row>
          <xdr:rowOff>289560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24</xdr:row>
          <xdr:rowOff>22860</xdr:rowOff>
        </xdr:from>
        <xdr:to>
          <xdr:col>15</xdr:col>
          <xdr:colOff>342900</xdr:colOff>
          <xdr:row>24</xdr:row>
          <xdr:rowOff>289560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24</xdr:row>
          <xdr:rowOff>22860</xdr:rowOff>
        </xdr:from>
        <xdr:to>
          <xdr:col>17</xdr:col>
          <xdr:colOff>327660</xdr:colOff>
          <xdr:row>24</xdr:row>
          <xdr:rowOff>289560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24</xdr:row>
          <xdr:rowOff>22860</xdr:rowOff>
        </xdr:from>
        <xdr:to>
          <xdr:col>18</xdr:col>
          <xdr:colOff>342900</xdr:colOff>
          <xdr:row>24</xdr:row>
          <xdr:rowOff>289560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24</xdr:row>
          <xdr:rowOff>22860</xdr:rowOff>
        </xdr:from>
        <xdr:to>
          <xdr:col>20</xdr:col>
          <xdr:colOff>327660</xdr:colOff>
          <xdr:row>24</xdr:row>
          <xdr:rowOff>289560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25</xdr:row>
          <xdr:rowOff>22860</xdr:rowOff>
        </xdr:from>
        <xdr:to>
          <xdr:col>3</xdr:col>
          <xdr:colOff>342900</xdr:colOff>
          <xdr:row>25</xdr:row>
          <xdr:rowOff>289560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26</xdr:row>
          <xdr:rowOff>22860</xdr:rowOff>
        </xdr:from>
        <xdr:to>
          <xdr:col>3</xdr:col>
          <xdr:colOff>342900</xdr:colOff>
          <xdr:row>26</xdr:row>
          <xdr:rowOff>289560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27</xdr:row>
          <xdr:rowOff>22860</xdr:rowOff>
        </xdr:from>
        <xdr:to>
          <xdr:col>3</xdr:col>
          <xdr:colOff>342900</xdr:colOff>
          <xdr:row>27</xdr:row>
          <xdr:rowOff>289560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28</xdr:row>
          <xdr:rowOff>22860</xdr:rowOff>
        </xdr:from>
        <xdr:to>
          <xdr:col>3</xdr:col>
          <xdr:colOff>342900</xdr:colOff>
          <xdr:row>28</xdr:row>
          <xdr:rowOff>289560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29</xdr:row>
          <xdr:rowOff>22860</xdr:rowOff>
        </xdr:from>
        <xdr:to>
          <xdr:col>3</xdr:col>
          <xdr:colOff>342900</xdr:colOff>
          <xdr:row>29</xdr:row>
          <xdr:rowOff>289560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30</xdr:row>
          <xdr:rowOff>22860</xdr:rowOff>
        </xdr:from>
        <xdr:to>
          <xdr:col>3</xdr:col>
          <xdr:colOff>342900</xdr:colOff>
          <xdr:row>30</xdr:row>
          <xdr:rowOff>289560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31</xdr:row>
          <xdr:rowOff>22860</xdr:rowOff>
        </xdr:from>
        <xdr:to>
          <xdr:col>3</xdr:col>
          <xdr:colOff>342900</xdr:colOff>
          <xdr:row>31</xdr:row>
          <xdr:rowOff>289560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32</xdr:row>
          <xdr:rowOff>22860</xdr:rowOff>
        </xdr:from>
        <xdr:to>
          <xdr:col>3</xdr:col>
          <xdr:colOff>342900</xdr:colOff>
          <xdr:row>32</xdr:row>
          <xdr:rowOff>289560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33</xdr:row>
          <xdr:rowOff>22860</xdr:rowOff>
        </xdr:from>
        <xdr:to>
          <xdr:col>3</xdr:col>
          <xdr:colOff>342900</xdr:colOff>
          <xdr:row>33</xdr:row>
          <xdr:rowOff>289560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34</xdr:row>
          <xdr:rowOff>22860</xdr:rowOff>
        </xdr:from>
        <xdr:to>
          <xdr:col>3</xdr:col>
          <xdr:colOff>342900</xdr:colOff>
          <xdr:row>34</xdr:row>
          <xdr:rowOff>289560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35</xdr:row>
          <xdr:rowOff>22860</xdr:rowOff>
        </xdr:from>
        <xdr:to>
          <xdr:col>3</xdr:col>
          <xdr:colOff>342900</xdr:colOff>
          <xdr:row>35</xdr:row>
          <xdr:rowOff>289560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36</xdr:row>
          <xdr:rowOff>22860</xdr:rowOff>
        </xdr:from>
        <xdr:to>
          <xdr:col>3</xdr:col>
          <xdr:colOff>342900</xdr:colOff>
          <xdr:row>36</xdr:row>
          <xdr:rowOff>289560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22860</xdr:rowOff>
        </xdr:from>
        <xdr:to>
          <xdr:col>5</xdr:col>
          <xdr:colOff>327660</xdr:colOff>
          <xdr:row>25</xdr:row>
          <xdr:rowOff>289560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26</xdr:row>
          <xdr:rowOff>22860</xdr:rowOff>
        </xdr:from>
        <xdr:to>
          <xdr:col>5</xdr:col>
          <xdr:colOff>327660</xdr:colOff>
          <xdr:row>26</xdr:row>
          <xdr:rowOff>289560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27</xdr:row>
          <xdr:rowOff>22860</xdr:rowOff>
        </xdr:from>
        <xdr:to>
          <xdr:col>5</xdr:col>
          <xdr:colOff>327660</xdr:colOff>
          <xdr:row>27</xdr:row>
          <xdr:rowOff>289560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28</xdr:row>
          <xdr:rowOff>22860</xdr:rowOff>
        </xdr:from>
        <xdr:to>
          <xdr:col>5</xdr:col>
          <xdr:colOff>327660</xdr:colOff>
          <xdr:row>28</xdr:row>
          <xdr:rowOff>289560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29</xdr:row>
          <xdr:rowOff>22860</xdr:rowOff>
        </xdr:from>
        <xdr:to>
          <xdr:col>5</xdr:col>
          <xdr:colOff>327660</xdr:colOff>
          <xdr:row>29</xdr:row>
          <xdr:rowOff>289560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30</xdr:row>
          <xdr:rowOff>22860</xdr:rowOff>
        </xdr:from>
        <xdr:to>
          <xdr:col>5</xdr:col>
          <xdr:colOff>327660</xdr:colOff>
          <xdr:row>30</xdr:row>
          <xdr:rowOff>289560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31</xdr:row>
          <xdr:rowOff>22860</xdr:rowOff>
        </xdr:from>
        <xdr:to>
          <xdr:col>5</xdr:col>
          <xdr:colOff>327660</xdr:colOff>
          <xdr:row>31</xdr:row>
          <xdr:rowOff>289560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32</xdr:row>
          <xdr:rowOff>22860</xdr:rowOff>
        </xdr:from>
        <xdr:to>
          <xdr:col>5</xdr:col>
          <xdr:colOff>327660</xdr:colOff>
          <xdr:row>32</xdr:row>
          <xdr:rowOff>289560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33</xdr:row>
          <xdr:rowOff>22860</xdr:rowOff>
        </xdr:from>
        <xdr:to>
          <xdr:col>5</xdr:col>
          <xdr:colOff>327660</xdr:colOff>
          <xdr:row>33</xdr:row>
          <xdr:rowOff>289560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34</xdr:row>
          <xdr:rowOff>22860</xdr:rowOff>
        </xdr:from>
        <xdr:to>
          <xdr:col>5</xdr:col>
          <xdr:colOff>327660</xdr:colOff>
          <xdr:row>34</xdr:row>
          <xdr:rowOff>289560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35</xdr:row>
          <xdr:rowOff>22860</xdr:rowOff>
        </xdr:from>
        <xdr:to>
          <xdr:col>5</xdr:col>
          <xdr:colOff>327660</xdr:colOff>
          <xdr:row>35</xdr:row>
          <xdr:rowOff>289560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36</xdr:row>
          <xdr:rowOff>22860</xdr:rowOff>
        </xdr:from>
        <xdr:to>
          <xdr:col>5</xdr:col>
          <xdr:colOff>327660</xdr:colOff>
          <xdr:row>36</xdr:row>
          <xdr:rowOff>289560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25</xdr:row>
          <xdr:rowOff>22860</xdr:rowOff>
        </xdr:from>
        <xdr:to>
          <xdr:col>6</xdr:col>
          <xdr:colOff>342900</xdr:colOff>
          <xdr:row>25</xdr:row>
          <xdr:rowOff>289560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26</xdr:row>
          <xdr:rowOff>22860</xdr:rowOff>
        </xdr:from>
        <xdr:to>
          <xdr:col>6</xdr:col>
          <xdr:colOff>342900</xdr:colOff>
          <xdr:row>26</xdr:row>
          <xdr:rowOff>289560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27</xdr:row>
          <xdr:rowOff>22860</xdr:rowOff>
        </xdr:from>
        <xdr:to>
          <xdr:col>6</xdr:col>
          <xdr:colOff>342900</xdr:colOff>
          <xdr:row>27</xdr:row>
          <xdr:rowOff>289560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28</xdr:row>
          <xdr:rowOff>22860</xdr:rowOff>
        </xdr:from>
        <xdr:to>
          <xdr:col>6</xdr:col>
          <xdr:colOff>342900</xdr:colOff>
          <xdr:row>28</xdr:row>
          <xdr:rowOff>289560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29</xdr:row>
          <xdr:rowOff>22860</xdr:rowOff>
        </xdr:from>
        <xdr:to>
          <xdr:col>6</xdr:col>
          <xdr:colOff>342900</xdr:colOff>
          <xdr:row>29</xdr:row>
          <xdr:rowOff>289560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30</xdr:row>
          <xdr:rowOff>22860</xdr:rowOff>
        </xdr:from>
        <xdr:to>
          <xdr:col>6</xdr:col>
          <xdr:colOff>342900</xdr:colOff>
          <xdr:row>30</xdr:row>
          <xdr:rowOff>289560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31</xdr:row>
          <xdr:rowOff>22860</xdr:rowOff>
        </xdr:from>
        <xdr:to>
          <xdr:col>6</xdr:col>
          <xdr:colOff>342900</xdr:colOff>
          <xdr:row>31</xdr:row>
          <xdr:rowOff>289560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32</xdr:row>
          <xdr:rowOff>22860</xdr:rowOff>
        </xdr:from>
        <xdr:to>
          <xdr:col>6</xdr:col>
          <xdr:colOff>342900</xdr:colOff>
          <xdr:row>32</xdr:row>
          <xdr:rowOff>289560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33</xdr:row>
          <xdr:rowOff>22860</xdr:rowOff>
        </xdr:from>
        <xdr:to>
          <xdr:col>6</xdr:col>
          <xdr:colOff>342900</xdr:colOff>
          <xdr:row>33</xdr:row>
          <xdr:rowOff>289560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34</xdr:row>
          <xdr:rowOff>22860</xdr:rowOff>
        </xdr:from>
        <xdr:to>
          <xdr:col>6</xdr:col>
          <xdr:colOff>342900</xdr:colOff>
          <xdr:row>34</xdr:row>
          <xdr:rowOff>289560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35</xdr:row>
          <xdr:rowOff>22860</xdr:rowOff>
        </xdr:from>
        <xdr:to>
          <xdr:col>6</xdr:col>
          <xdr:colOff>342900</xdr:colOff>
          <xdr:row>35</xdr:row>
          <xdr:rowOff>289560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36</xdr:row>
          <xdr:rowOff>22860</xdr:rowOff>
        </xdr:from>
        <xdr:to>
          <xdr:col>6</xdr:col>
          <xdr:colOff>342900</xdr:colOff>
          <xdr:row>36</xdr:row>
          <xdr:rowOff>289560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25</xdr:row>
          <xdr:rowOff>22860</xdr:rowOff>
        </xdr:from>
        <xdr:to>
          <xdr:col>8</xdr:col>
          <xdr:colOff>327660</xdr:colOff>
          <xdr:row>25</xdr:row>
          <xdr:rowOff>289560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26</xdr:row>
          <xdr:rowOff>22860</xdr:rowOff>
        </xdr:from>
        <xdr:to>
          <xdr:col>8</xdr:col>
          <xdr:colOff>327660</xdr:colOff>
          <xdr:row>26</xdr:row>
          <xdr:rowOff>289560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27</xdr:row>
          <xdr:rowOff>22860</xdr:rowOff>
        </xdr:from>
        <xdr:to>
          <xdr:col>8</xdr:col>
          <xdr:colOff>327660</xdr:colOff>
          <xdr:row>27</xdr:row>
          <xdr:rowOff>289560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28</xdr:row>
          <xdr:rowOff>22860</xdr:rowOff>
        </xdr:from>
        <xdr:to>
          <xdr:col>8</xdr:col>
          <xdr:colOff>327660</xdr:colOff>
          <xdr:row>28</xdr:row>
          <xdr:rowOff>289560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29</xdr:row>
          <xdr:rowOff>22860</xdr:rowOff>
        </xdr:from>
        <xdr:to>
          <xdr:col>8</xdr:col>
          <xdr:colOff>327660</xdr:colOff>
          <xdr:row>29</xdr:row>
          <xdr:rowOff>289560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30</xdr:row>
          <xdr:rowOff>22860</xdr:rowOff>
        </xdr:from>
        <xdr:to>
          <xdr:col>8</xdr:col>
          <xdr:colOff>327660</xdr:colOff>
          <xdr:row>30</xdr:row>
          <xdr:rowOff>289560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31</xdr:row>
          <xdr:rowOff>22860</xdr:rowOff>
        </xdr:from>
        <xdr:to>
          <xdr:col>8</xdr:col>
          <xdr:colOff>327660</xdr:colOff>
          <xdr:row>31</xdr:row>
          <xdr:rowOff>289560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32</xdr:row>
          <xdr:rowOff>22860</xdr:rowOff>
        </xdr:from>
        <xdr:to>
          <xdr:col>8</xdr:col>
          <xdr:colOff>327660</xdr:colOff>
          <xdr:row>32</xdr:row>
          <xdr:rowOff>289560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33</xdr:row>
          <xdr:rowOff>22860</xdr:rowOff>
        </xdr:from>
        <xdr:to>
          <xdr:col>8</xdr:col>
          <xdr:colOff>327660</xdr:colOff>
          <xdr:row>33</xdr:row>
          <xdr:rowOff>289560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34</xdr:row>
          <xdr:rowOff>22860</xdr:rowOff>
        </xdr:from>
        <xdr:to>
          <xdr:col>8</xdr:col>
          <xdr:colOff>327660</xdr:colOff>
          <xdr:row>34</xdr:row>
          <xdr:rowOff>289560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35</xdr:row>
          <xdr:rowOff>22860</xdr:rowOff>
        </xdr:from>
        <xdr:to>
          <xdr:col>8</xdr:col>
          <xdr:colOff>327660</xdr:colOff>
          <xdr:row>35</xdr:row>
          <xdr:rowOff>289560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36</xdr:row>
          <xdr:rowOff>22860</xdr:rowOff>
        </xdr:from>
        <xdr:to>
          <xdr:col>8</xdr:col>
          <xdr:colOff>327660</xdr:colOff>
          <xdr:row>36</xdr:row>
          <xdr:rowOff>289560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25</xdr:row>
          <xdr:rowOff>22860</xdr:rowOff>
        </xdr:from>
        <xdr:to>
          <xdr:col>9</xdr:col>
          <xdr:colOff>342900</xdr:colOff>
          <xdr:row>25</xdr:row>
          <xdr:rowOff>289560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26</xdr:row>
          <xdr:rowOff>22860</xdr:rowOff>
        </xdr:from>
        <xdr:to>
          <xdr:col>9</xdr:col>
          <xdr:colOff>342900</xdr:colOff>
          <xdr:row>26</xdr:row>
          <xdr:rowOff>289560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27</xdr:row>
          <xdr:rowOff>22860</xdr:rowOff>
        </xdr:from>
        <xdr:to>
          <xdr:col>9</xdr:col>
          <xdr:colOff>342900</xdr:colOff>
          <xdr:row>27</xdr:row>
          <xdr:rowOff>289560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28</xdr:row>
          <xdr:rowOff>22860</xdr:rowOff>
        </xdr:from>
        <xdr:to>
          <xdr:col>9</xdr:col>
          <xdr:colOff>342900</xdr:colOff>
          <xdr:row>28</xdr:row>
          <xdr:rowOff>289560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29</xdr:row>
          <xdr:rowOff>22860</xdr:rowOff>
        </xdr:from>
        <xdr:to>
          <xdr:col>9</xdr:col>
          <xdr:colOff>342900</xdr:colOff>
          <xdr:row>29</xdr:row>
          <xdr:rowOff>289560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30</xdr:row>
          <xdr:rowOff>22860</xdr:rowOff>
        </xdr:from>
        <xdr:to>
          <xdr:col>9</xdr:col>
          <xdr:colOff>342900</xdr:colOff>
          <xdr:row>30</xdr:row>
          <xdr:rowOff>289560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31</xdr:row>
          <xdr:rowOff>22860</xdr:rowOff>
        </xdr:from>
        <xdr:to>
          <xdr:col>9</xdr:col>
          <xdr:colOff>342900</xdr:colOff>
          <xdr:row>31</xdr:row>
          <xdr:rowOff>289560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32</xdr:row>
          <xdr:rowOff>22860</xdr:rowOff>
        </xdr:from>
        <xdr:to>
          <xdr:col>9</xdr:col>
          <xdr:colOff>342900</xdr:colOff>
          <xdr:row>32</xdr:row>
          <xdr:rowOff>289560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33</xdr:row>
          <xdr:rowOff>22860</xdr:rowOff>
        </xdr:from>
        <xdr:to>
          <xdr:col>9</xdr:col>
          <xdr:colOff>342900</xdr:colOff>
          <xdr:row>33</xdr:row>
          <xdr:rowOff>289560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34</xdr:row>
          <xdr:rowOff>22860</xdr:rowOff>
        </xdr:from>
        <xdr:to>
          <xdr:col>9</xdr:col>
          <xdr:colOff>342900</xdr:colOff>
          <xdr:row>34</xdr:row>
          <xdr:rowOff>289560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35</xdr:row>
          <xdr:rowOff>22860</xdr:rowOff>
        </xdr:from>
        <xdr:to>
          <xdr:col>9</xdr:col>
          <xdr:colOff>342900</xdr:colOff>
          <xdr:row>35</xdr:row>
          <xdr:rowOff>289560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36</xdr:row>
          <xdr:rowOff>22860</xdr:rowOff>
        </xdr:from>
        <xdr:to>
          <xdr:col>9</xdr:col>
          <xdr:colOff>342900</xdr:colOff>
          <xdr:row>36</xdr:row>
          <xdr:rowOff>289560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25</xdr:row>
          <xdr:rowOff>22860</xdr:rowOff>
        </xdr:from>
        <xdr:to>
          <xdr:col>11</xdr:col>
          <xdr:colOff>327660</xdr:colOff>
          <xdr:row>25</xdr:row>
          <xdr:rowOff>289560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26</xdr:row>
          <xdr:rowOff>22860</xdr:rowOff>
        </xdr:from>
        <xdr:to>
          <xdr:col>11</xdr:col>
          <xdr:colOff>327660</xdr:colOff>
          <xdr:row>26</xdr:row>
          <xdr:rowOff>289560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27</xdr:row>
          <xdr:rowOff>22860</xdr:rowOff>
        </xdr:from>
        <xdr:to>
          <xdr:col>11</xdr:col>
          <xdr:colOff>327660</xdr:colOff>
          <xdr:row>27</xdr:row>
          <xdr:rowOff>289560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28</xdr:row>
          <xdr:rowOff>22860</xdr:rowOff>
        </xdr:from>
        <xdr:to>
          <xdr:col>11</xdr:col>
          <xdr:colOff>327660</xdr:colOff>
          <xdr:row>28</xdr:row>
          <xdr:rowOff>289560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29</xdr:row>
          <xdr:rowOff>22860</xdr:rowOff>
        </xdr:from>
        <xdr:to>
          <xdr:col>11</xdr:col>
          <xdr:colOff>327660</xdr:colOff>
          <xdr:row>29</xdr:row>
          <xdr:rowOff>289560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30</xdr:row>
          <xdr:rowOff>22860</xdr:rowOff>
        </xdr:from>
        <xdr:to>
          <xdr:col>11</xdr:col>
          <xdr:colOff>327660</xdr:colOff>
          <xdr:row>30</xdr:row>
          <xdr:rowOff>289560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31</xdr:row>
          <xdr:rowOff>22860</xdr:rowOff>
        </xdr:from>
        <xdr:to>
          <xdr:col>11</xdr:col>
          <xdr:colOff>327660</xdr:colOff>
          <xdr:row>31</xdr:row>
          <xdr:rowOff>289560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32</xdr:row>
          <xdr:rowOff>22860</xdr:rowOff>
        </xdr:from>
        <xdr:to>
          <xdr:col>11</xdr:col>
          <xdr:colOff>327660</xdr:colOff>
          <xdr:row>32</xdr:row>
          <xdr:rowOff>289560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33</xdr:row>
          <xdr:rowOff>22860</xdr:rowOff>
        </xdr:from>
        <xdr:to>
          <xdr:col>11</xdr:col>
          <xdr:colOff>327660</xdr:colOff>
          <xdr:row>33</xdr:row>
          <xdr:rowOff>289560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34</xdr:row>
          <xdr:rowOff>22860</xdr:rowOff>
        </xdr:from>
        <xdr:to>
          <xdr:col>11</xdr:col>
          <xdr:colOff>327660</xdr:colOff>
          <xdr:row>34</xdr:row>
          <xdr:rowOff>289560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35</xdr:row>
          <xdr:rowOff>22860</xdr:rowOff>
        </xdr:from>
        <xdr:to>
          <xdr:col>11</xdr:col>
          <xdr:colOff>327660</xdr:colOff>
          <xdr:row>35</xdr:row>
          <xdr:rowOff>289560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36</xdr:row>
          <xdr:rowOff>22860</xdr:rowOff>
        </xdr:from>
        <xdr:to>
          <xdr:col>11</xdr:col>
          <xdr:colOff>327660</xdr:colOff>
          <xdr:row>36</xdr:row>
          <xdr:rowOff>289560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25</xdr:row>
          <xdr:rowOff>22860</xdr:rowOff>
        </xdr:from>
        <xdr:to>
          <xdr:col>12</xdr:col>
          <xdr:colOff>342900</xdr:colOff>
          <xdr:row>25</xdr:row>
          <xdr:rowOff>289560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26</xdr:row>
          <xdr:rowOff>22860</xdr:rowOff>
        </xdr:from>
        <xdr:to>
          <xdr:col>12</xdr:col>
          <xdr:colOff>342900</xdr:colOff>
          <xdr:row>26</xdr:row>
          <xdr:rowOff>289560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27</xdr:row>
          <xdr:rowOff>22860</xdr:rowOff>
        </xdr:from>
        <xdr:to>
          <xdr:col>12</xdr:col>
          <xdr:colOff>342900</xdr:colOff>
          <xdr:row>27</xdr:row>
          <xdr:rowOff>289560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28</xdr:row>
          <xdr:rowOff>22860</xdr:rowOff>
        </xdr:from>
        <xdr:to>
          <xdr:col>12</xdr:col>
          <xdr:colOff>342900</xdr:colOff>
          <xdr:row>28</xdr:row>
          <xdr:rowOff>289560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29</xdr:row>
          <xdr:rowOff>22860</xdr:rowOff>
        </xdr:from>
        <xdr:to>
          <xdr:col>12</xdr:col>
          <xdr:colOff>342900</xdr:colOff>
          <xdr:row>29</xdr:row>
          <xdr:rowOff>289560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30</xdr:row>
          <xdr:rowOff>22860</xdr:rowOff>
        </xdr:from>
        <xdr:to>
          <xdr:col>12</xdr:col>
          <xdr:colOff>342900</xdr:colOff>
          <xdr:row>30</xdr:row>
          <xdr:rowOff>289560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31</xdr:row>
          <xdr:rowOff>22860</xdr:rowOff>
        </xdr:from>
        <xdr:to>
          <xdr:col>12</xdr:col>
          <xdr:colOff>342900</xdr:colOff>
          <xdr:row>31</xdr:row>
          <xdr:rowOff>289560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32</xdr:row>
          <xdr:rowOff>22860</xdr:rowOff>
        </xdr:from>
        <xdr:to>
          <xdr:col>12</xdr:col>
          <xdr:colOff>342900</xdr:colOff>
          <xdr:row>32</xdr:row>
          <xdr:rowOff>289560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33</xdr:row>
          <xdr:rowOff>22860</xdr:rowOff>
        </xdr:from>
        <xdr:to>
          <xdr:col>12</xdr:col>
          <xdr:colOff>342900</xdr:colOff>
          <xdr:row>33</xdr:row>
          <xdr:rowOff>289560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34</xdr:row>
          <xdr:rowOff>22860</xdr:rowOff>
        </xdr:from>
        <xdr:to>
          <xdr:col>12</xdr:col>
          <xdr:colOff>342900</xdr:colOff>
          <xdr:row>34</xdr:row>
          <xdr:rowOff>289560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35</xdr:row>
          <xdr:rowOff>22860</xdr:rowOff>
        </xdr:from>
        <xdr:to>
          <xdr:col>12</xdr:col>
          <xdr:colOff>342900</xdr:colOff>
          <xdr:row>35</xdr:row>
          <xdr:rowOff>289560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36</xdr:row>
          <xdr:rowOff>22860</xdr:rowOff>
        </xdr:from>
        <xdr:to>
          <xdr:col>12</xdr:col>
          <xdr:colOff>342900</xdr:colOff>
          <xdr:row>36</xdr:row>
          <xdr:rowOff>289560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25</xdr:row>
          <xdr:rowOff>22860</xdr:rowOff>
        </xdr:from>
        <xdr:to>
          <xdr:col>14</xdr:col>
          <xdr:colOff>327660</xdr:colOff>
          <xdr:row>25</xdr:row>
          <xdr:rowOff>289560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26</xdr:row>
          <xdr:rowOff>22860</xdr:rowOff>
        </xdr:from>
        <xdr:to>
          <xdr:col>14</xdr:col>
          <xdr:colOff>327660</xdr:colOff>
          <xdr:row>26</xdr:row>
          <xdr:rowOff>289560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27</xdr:row>
          <xdr:rowOff>22860</xdr:rowOff>
        </xdr:from>
        <xdr:to>
          <xdr:col>14</xdr:col>
          <xdr:colOff>327660</xdr:colOff>
          <xdr:row>27</xdr:row>
          <xdr:rowOff>289560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28</xdr:row>
          <xdr:rowOff>22860</xdr:rowOff>
        </xdr:from>
        <xdr:to>
          <xdr:col>14</xdr:col>
          <xdr:colOff>327660</xdr:colOff>
          <xdr:row>28</xdr:row>
          <xdr:rowOff>289560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29</xdr:row>
          <xdr:rowOff>22860</xdr:rowOff>
        </xdr:from>
        <xdr:to>
          <xdr:col>14</xdr:col>
          <xdr:colOff>327660</xdr:colOff>
          <xdr:row>29</xdr:row>
          <xdr:rowOff>289560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30</xdr:row>
          <xdr:rowOff>22860</xdr:rowOff>
        </xdr:from>
        <xdr:to>
          <xdr:col>14</xdr:col>
          <xdr:colOff>327660</xdr:colOff>
          <xdr:row>30</xdr:row>
          <xdr:rowOff>289560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31</xdr:row>
          <xdr:rowOff>22860</xdr:rowOff>
        </xdr:from>
        <xdr:to>
          <xdr:col>14</xdr:col>
          <xdr:colOff>327660</xdr:colOff>
          <xdr:row>31</xdr:row>
          <xdr:rowOff>289560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32</xdr:row>
          <xdr:rowOff>22860</xdr:rowOff>
        </xdr:from>
        <xdr:to>
          <xdr:col>14</xdr:col>
          <xdr:colOff>327660</xdr:colOff>
          <xdr:row>32</xdr:row>
          <xdr:rowOff>289560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33</xdr:row>
          <xdr:rowOff>22860</xdr:rowOff>
        </xdr:from>
        <xdr:to>
          <xdr:col>14</xdr:col>
          <xdr:colOff>327660</xdr:colOff>
          <xdr:row>33</xdr:row>
          <xdr:rowOff>289560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34</xdr:row>
          <xdr:rowOff>22860</xdr:rowOff>
        </xdr:from>
        <xdr:to>
          <xdr:col>14</xdr:col>
          <xdr:colOff>327660</xdr:colOff>
          <xdr:row>34</xdr:row>
          <xdr:rowOff>289560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35</xdr:row>
          <xdr:rowOff>22860</xdr:rowOff>
        </xdr:from>
        <xdr:to>
          <xdr:col>14</xdr:col>
          <xdr:colOff>327660</xdr:colOff>
          <xdr:row>35</xdr:row>
          <xdr:rowOff>289560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36</xdr:row>
          <xdr:rowOff>22860</xdr:rowOff>
        </xdr:from>
        <xdr:to>
          <xdr:col>14</xdr:col>
          <xdr:colOff>327660</xdr:colOff>
          <xdr:row>36</xdr:row>
          <xdr:rowOff>289560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25</xdr:row>
          <xdr:rowOff>22860</xdr:rowOff>
        </xdr:from>
        <xdr:to>
          <xdr:col>15</xdr:col>
          <xdr:colOff>342900</xdr:colOff>
          <xdr:row>25</xdr:row>
          <xdr:rowOff>289560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26</xdr:row>
          <xdr:rowOff>22860</xdr:rowOff>
        </xdr:from>
        <xdr:to>
          <xdr:col>15</xdr:col>
          <xdr:colOff>342900</xdr:colOff>
          <xdr:row>26</xdr:row>
          <xdr:rowOff>289560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27</xdr:row>
          <xdr:rowOff>22860</xdr:rowOff>
        </xdr:from>
        <xdr:to>
          <xdr:col>15</xdr:col>
          <xdr:colOff>342900</xdr:colOff>
          <xdr:row>27</xdr:row>
          <xdr:rowOff>289560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28</xdr:row>
          <xdr:rowOff>22860</xdr:rowOff>
        </xdr:from>
        <xdr:to>
          <xdr:col>15</xdr:col>
          <xdr:colOff>342900</xdr:colOff>
          <xdr:row>28</xdr:row>
          <xdr:rowOff>289560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29</xdr:row>
          <xdr:rowOff>22860</xdr:rowOff>
        </xdr:from>
        <xdr:to>
          <xdr:col>15</xdr:col>
          <xdr:colOff>342900</xdr:colOff>
          <xdr:row>29</xdr:row>
          <xdr:rowOff>289560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30</xdr:row>
          <xdr:rowOff>22860</xdr:rowOff>
        </xdr:from>
        <xdr:to>
          <xdr:col>15</xdr:col>
          <xdr:colOff>342900</xdr:colOff>
          <xdr:row>30</xdr:row>
          <xdr:rowOff>289560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31</xdr:row>
          <xdr:rowOff>22860</xdr:rowOff>
        </xdr:from>
        <xdr:to>
          <xdr:col>15</xdr:col>
          <xdr:colOff>342900</xdr:colOff>
          <xdr:row>31</xdr:row>
          <xdr:rowOff>289560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32</xdr:row>
          <xdr:rowOff>22860</xdr:rowOff>
        </xdr:from>
        <xdr:to>
          <xdr:col>15</xdr:col>
          <xdr:colOff>342900</xdr:colOff>
          <xdr:row>32</xdr:row>
          <xdr:rowOff>289560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33</xdr:row>
          <xdr:rowOff>22860</xdr:rowOff>
        </xdr:from>
        <xdr:to>
          <xdr:col>15</xdr:col>
          <xdr:colOff>342900</xdr:colOff>
          <xdr:row>33</xdr:row>
          <xdr:rowOff>289560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34</xdr:row>
          <xdr:rowOff>22860</xdr:rowOff>
        </xdr:from>
        <xdr:to>
          <xdr:col>15</xdr:col>
          <xdr:colOff>342900</xdr:colOff>
          <xdr:row>34</xdr:row>
          <xdr:rowOff>289560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35</xdr:row>
          <xdr:rowOff>22860</xdr:rowOff>
        </xdr:from>
        <xdr:to>
          <xdr:col>15</xdr:col>
          <xdr:colOff>342900</xdr:colOff>
          <xdr:row>35</xdr:row>
          <xdr:rowOff>289560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36</xdr:row>
          <xdr:rowOff>22860</xdr:rowOff>
        </xdr:from>
        <xdr:to>
          <xdr:col>15</xdr:col>
          <xdr:colOff>342900</xdr:colOff>
          <xdr:row>36</xdr:row>
          <xdr:rowOff>289560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25</xdr:row>
          <xdr:rowOff>22860</xdr:rowOff>
        </xdr:from>
        <xdr:to>
          <xdr:col>17</xdr:col>
          <xdr:colOff>327660</xdr:colOff>
          <xdr:row>25</xdr:row>
          <xdr:rowOff>289560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26</xdr:row>
          <xdr:rowOff>22860</xdr:rowOff>
        </xdr:from>
        <xdr:to>
          <xdr:col>17</xdr:col>
          <xdr:colOff>327660</xdr:colOff>
          <xdr:row>26</xdr:row>
          <xdr:rowOff>289560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27</xdr:row>
          <xdr:rowOff>22860</xdr:rowOff>
        </xdr:from>
        <xdr:to>
          <xdr:col>17</xdr:col>
          <xdr:colOff>327660</xdr:colOff>
          <xdr:row>27</xdr:row>
          <xdr:rowOff>289560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28</xdr:row>
          <xdr:rowOff>22860</xdr:rowOff>
        </xdr:from>
        <xdr:to>
          <xdr:col>17</xdr:col>
          <xdr:colOff>327660</xdr:colOff>
          <xdr:row>28</xdr:row>
          <xdr:rowOff>289560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29</xdr:row>
          <xdr:rowOff>22860</xdr:rowOff>
        </xdr:from>
        <xdr:to>
          <xdr:col>17</xdr:col>
          <xdr:colOff>327660</xdr:colOff>
          <xdr:row>29</xdr:row>
          <xdr:rowOff>289560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30</xdr:row>
          <xdr:rowOff>22860</xdr:rowOff>
        </xdr:from>
        <xdr:to>
          <xdr:col>17</xdr:col>
          <xdr:colOff>327660</xdr:colOff>
          <xdr:row>30</xdr:row>
          <xdr:rowOff>289560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31</xdr:row>
          <xdr:rowOff>22860</xdr:rowOff>
        </xdr:from>
        <xdr:to>
          <xdr:col>17</xdr:col>
          <xdr:colOff>327660</xdr:colOff>
          <xdr:row>31</xdr:row>
          <xdr:rowOff>289560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32</xdr:row>
          <xdr:rowOff>22860</xdr:rowOff>
        </xdr:from>
        <xdr:to>
          <xdr:col>17</xdr:col>
          <xdr:colOff>327660</xdr:colOff>
          <xdr:row>32</xdr:row>
          <xdr:rowOff>289560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33</xdr:row>
          <xdr:rowOff>22860</xdr:rowOff>
        </xdr:from>
        <xdr:to>
          <xdr:col>17</xdr:col>
          <xdr:colOff>327660</xdr:colOff>
          <xdr:row>33</xdr:row>
          <xdr:rowOff>289560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34</xdr:row>
          <xdr:rowOff>22860</xdr:rowOff>
        </xdr:from>
        <xdr:to>
          <xdr:col>17</xdr:col>
          <xdr:colOff>327660</xdr:colOff>
          <xdr:row>34</xdr:row>
          <xdr:rowOff>289560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35</xdr:row>
          <xdr:rowOff>22860</xdr:rowOff>
        </xdr:from>
        <xdr:to>
          <xdr:col>17</xdr:col>
          <xdr:colOff>327660</xdr:colOff>
          <xdr:row>35</xdr:row>
          <xdr:rowOff>289560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36</xdr:row>
          <xdr:rowOff>22860</xdr:rowOff>
        </xdr:from>
        <xdr:to>
          <xdr:col>17</xdr:col>
          <xdr:colOff>327660</xdr:colOff>
          <xdr:row>36</xdr:row>
          <xdr:rowOff>289560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25</xdr:row>
          <xdr:rowOff>22860</xdr:rowOff>
        </xdr:from>
        <xdr:to>
          <xdr:col>18</xdr:col>
          <xdr:colOff>342900</xdr:colOff>
          <xdr:row>25</xdr:row>
          <xdr:rowOff>289560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26</xdr:row>
          <xdr:rowOff>22860</xdr:rowOff>
        </xdr:from>
        <xdr:to>
          <xdr:col>18</xdr:col>
          <xdr:colOff>342900</xdr:colOff>
          <xdr:row>26</xdr:row>
          <xdr:rowOff>289560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27</xdr:row>
          <xdr:rowOff>22860</xdr:rowOff>
        </xdr:from>
        <xdr:to>
          <xdr:col>18</xdr:col>
          <xdr:colOff>342900</xdr:colOff>
          <xdr:row>27</xdr:row>
          <xdr:rowOff>289560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28</xdr:row>
          <xdr:rowOff>22860</xdr:rowOff>
        </xdr:from>
        <xdr:to>
          <xdr:col>18</xdr:col>
          <xdr:colOff>342900</xdr:colOff>
          <xdr:row>28</xdr:row>
          <xdr:rowOff>289560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29</xdr:row>
          <xdr:rowOff>22860</xdr:rowOff>
        </xdr:from>
        <xdr:to>
          <xdr:col>18</xdr:col>
          <xdr:colOff>342900</xdr:colOff>
          <xdr:row>29</xdr:row>
          <xdr:rowOff>289560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30</xdr:row>
          <xdr:rowOff>22860</xdr:rowOff>
        </xdr:from>
        <xdr:to>
          <xdr:col>18</xdr:col>
          <xdr:colOff>342900</xdr:colOff>
          <xdr:row>30</xdr:row>
          <xdr:rowOff>289560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31</xdr:row>
          <xdr:rowOff>22860</xdr:rowOff>
        </xdr:from>
        <xdr:to>
          <xdr:col>18</xdr:col>
          <xdr:colOff>342900</xdr:colOff>
          <xdr:row>31</xdr:row>
          <xdr:rowOff>289560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32</xdr:row>
          <xdr:rowOff>22860</xdr:rowOff>
        </xdr:from>
        <xdr:to>
          <xdr:col>18</xdr:col>
          <xdr:colOff>342900</xdr:colOff>
          <xdr:row>32</xdr:row>
          <xdr:rowOff>289560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33</xdr:row>
          <xdr:rowOff>22860</xdr:rowOff>
        </xdr:from>
        <xdr:to>
          <xdr:col>18</xdr:col>
          <xdr:colOff>342900</xdr:colOff>
          <xdr:row>33</xdr:row>
          <xdr:rowOff>289560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34</xdr:row>
          <xdr:rowOff>22860</xdr:rowOff>
        </xdr:from>
        <xdr:to>
          <xdr:col>18</xdr:col>
          <xdr:colOff>342900</xdr:colOff>
          <xdr:row>34</xdr:row>
          <xdr:rowOff>289560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35</xdr:row>
          <xdr:rowOff>22860</xdr:rowOff>
        </xdr:from>
        <xdr:to>
          <xdr:col>18</xdr:col>
          <xdr:colOff>342900</xdr:colOff>
          <xdr:row>35</xdr:row>
          <xdr:rowOff>289560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36</xdr:row>
          <xdr:rowOff>22860</xdr:rowOff>
        </xdr:from>
        <xdr:to>
          <xdr:col>18</xdr:col>
          <xdr:colOff>342900</xdr:colOff>
          <xdr:row>36</xdr:row>
          <xdr:rowOff>289560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25</xdr:row>
          <xdr:rowOff>22860</xdr:rowOff>
        </xdr:from>
        <xdr:to>
          <xdr:col>20</xdr:col>
          <xdr:colOff>327660</xdr:colOff>
          <xdr:row>25</xdr:row>
          <xdr:rowOff>289560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26</xdr:row>
          <xdr:rowOff>22860</xdr:rowOff>
        </xdr:from>
        <xdr:to>
          <xdr:col>20</xdr:col>
          <xdr:colOff>327660</xdr:colOff>
          <xdr:row>26</xdr:row>
          <xdr:rowOff>289560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27</xdr:row>
          <xdr:rowOff>22860</xdr:rowOff>
        </xdr:from>
        <xdr:to>
          <xdr:col>20</xdr:col>
          <xdr:colOff>327660</xdr:colOff>
          <xdr:row>27</xdr:row>
          <xdr:rowOff>289560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28</xdr:row>
          <xdr:rowOff>22860</xdr:rowOff>
        </xdr:from>
        <xdr:to>
          <xdr:col>20</xdr:col>
          <xdr:colOff>327660</xdr:colOff>
          <xdr:row>28</xdr:row>
          <xdr:rowOff>289560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29</xdr:row>
          <xdr:rowOff>22860</xdr:rowOff>
        </xdr:from>
        <xdr:to>
          <xdr:col>20</xdr:col>
          <xdr:colOff>327660</xdr:colOff>
          <xdr:row>29</xdr:row>
          <xdr:rowOff>289560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30</xdr:row>
          <xdr:rowOff>22860</xdr:rowOff>
        </xdr:from>
        <xdr:to>
          <xdr:col>20</xdr:col>
          <xdr:colOff>327660</xdr:colOff>
          <xdr:row>30</xdr:row>
          <xdr:rowOff>289560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31</xdr:row>
          <xdr:rowOff>22860</xdr:rowOff>
        </xdr:from>
        <xdr:to>
          <xdr:col>20</xdr:col>
          <xdr:colOff>327660</xdr:colOff>
          <xdr:row>31</xdr:row>
          <xdr:rowOff>289560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32</xdr:row>
          <xdr:rowOff>22860</xdr:rowOff>
        </xdr:from>
        <xdr:to>
          <xdr:col>20</xdr:col>
          <xdr:colOff>327660</xdr:colOff>
          <xdr:row>32</xdr:row>
          <xdr:rowOff>289560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33</xdr:row>
          <xdr:rowOff>22860</xdr:rowOff>
        </xdr:from>
        <xdr:to>
          <xdr:col>20</xdr:col>
          <xdr:colOff>327660</xdr:colOff>
          <xdr:row>33</xdr:row>
          <xdr:rowOff>289560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34</xdr:row>
          <xdr:rowOff>22860</xdr:rowOff>
        </xdr:from>
        <xdr:to>
          <xdr:col>20</xdr:col>
          <xdr:colOff>327660</xdr:colOff>
          <xdr:row>34</xdr:row>
          <xdr:rowOff>289560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35</xdr:row>
          <xdr:rowOff>22860</xdr:rowOff>
        </xdr:from>
        <xdr:to>
          <xdr:col>20</xdr:col>
          <xdr:colOff>327660</xdr:colOff>
          <xdr:row>35</xdr:row>
          <xdr:rowOff>289560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36</xdr:row>
          <xdr:rowOff>22860</xdr:rowOff>
        </xdr:from>
        <xdr:to>
          <xdr:col>20</xdr:col>
          <xdr:colOff>327660</xdr:colOff>
          <xdr:row>36</xdr:row>
          <xdr:rowOff>289560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zoomScale="80" zoomScaleNormal="80" workbookViewId="0">
      <selection activeCell="I22" sqref="I22"/>
    </sheetView>
  </sheetViews>
  <sheetFormatPr defaultColWidth="11.19921875" defaultRowHeight="15.6" x14ac:dyDescent="0.3"/>
  <cols>
    <col min="1" max="1" width="3.19921875" customWidth="1"/>
    <col min="3" max="3" width="2.796875" customWidth="1"/>
    <col min="5" max="5" width="3.5" customWidth="1"/>
    <col min="8" max="8" width="5.796875" bestFit="1" customWidth="1"/>
  </cols>
  <sheetData>
    <row r="1" spans="2:12" x14ac:dyDescent="0.3">
      <c r="B1" s="2" t="s">
        <v>253</v>
      </c>
      <c r="F1" t="s">
        <v>9</v>
      </c>
      <c r="G1" t="str">
        <f>'Stats G1'!B3</f>
        <v>Arok</v>
      </c>
    </row>
    <row r="2" spans="2:12" x14ac:dyDescent="0.3">
      <c r="B2" t="str">
        <f>G1</f>
        <v>Arok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3">
      <c r="B3">
        <f>I18</f>
        <v>112</v>
      </c>
      <c r="C3" s="3" t="s">
        <v>15</v>
      </c>
      <c r="D3" s="4">
        <f>I37</f>
        <v>128</v>
      </c>
      <c r="F3" t="str">
        <f>'Stats G1'!A5</f>
        <v>Dillon</v>
      </c>
      <c r="G3" t="str">
        <f>'Stats G1'!B5</f>
        <v>Jones</v>
      </c>
      <c r="H3">
        <f>'Stats G1'!C5</f>
        <v>1</v>
      </c>
      <c r="I3">
        <f>'Stats G1'!H5*2+'Stats G1'!N5*3+'Stats G1'!T5</f>
        <v>13</v>
      </c>
      <c r="J3" t="str">
        <f>SUM('Stats G1'!N5+'Stats G1'!H5)&amp;"-"&amp;SUM('Stats G1'!E5+'Stats G1'!K5)</f>
        <v>5-14</v>
      </c>
      <c r="K3" t="str">
        <f>SUM('Stats G1'!N5)&amp;"-"&amp;SUM('Stats G1'!K5)</f>
        <v>1-4</v>
      </c>
      <c r="L3" t="str">
        <f>SUM('Stats G1'!T5)&amp;"-"&amp;SUM('Stats G1'!Q5)</f>
        <v>2-3</v>
      </c>
    </row>
    <row r="4" spans="2:12" x14ac:dyDescent="0.3">
      <c r="F4" t="str">
        <f>'Stats G1'!A6</f>
        <v>Mark</v>
      </c>
      <c r="G4" t="str">
        <f>'Stats G1'!B6</f>
        <v>Burton</v>
      </c>
      <c r="H4">
        <f>'Stats G1'!C6</f>
        <v>3</v>
      </c>
      <c r="I4">
        <f>'Stats G1'!H6*2+'Stats G1'!N6*3+'Stats G1'!T6</f>
        <v>35</v>
      </c>
      <c r="J4" t="str">
        <f>SUM('Stats G1'!N6+'Stats G1'!H6)&amp;"-"&amp;SUM('Stats G1'!E6+'Stats G1'!K6)</f>
        <v>12-28</v>
      </c>
      <c r="K4" t="str">
        <f>SUM('Stats G1'!N6)&amp;"-"&amp;SUM('Stats G1'!K6)</f>
        <v>3-13</v>
      </c>
      <c r="L4" t="str">
        <f>SUM('Stats G1'!T6)&amp;"-"&amp;SUM('Stats G1'!Q6)</f>
        <v>8-8</v>
      </c>
    </row>
    <row r="5" spans="2:12" x14ac:dyDescent="0.3">
      <c r="F5" t="str">
        <f>'Stats G1'!A7</f>
        <v>Cole</v>
      </c>
      <c r="G5" t="str">
        <f>'Stats G1'!B7</f>
        <v>Kadoguchi</v>
      </c>
      <c r="H5">
        <f>'Stats G1'!C7</f>
        <v>4</v>
      </c>
      <c r="I5">
        <f>'Stats G1'!H7*2+'Stats G1'!N7*3+'Stats G1'!T7</f>
        <v>0</v>
      </c>
      <c r="J5" t="str">
        <f>SUM('Stats G1'!N7+'Stats G1'!H7)&amp;"-"&amp;SUM('Stats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3">
      <c r="F6" t="str">
        <f>'Stats G1'!A8</f>
        <v>Deng</v>
      </c>
      <c r="G6" t="str">
        <f>'Stats G1'!B8</f>
        <v>Mayar</v>
      </c>
      <c r="H6">
        <f>'Stats G1'!C8</f>
        <v>5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3">
      <c r="F7" t="str">
        <f>'Stats G1'!A9</f>
        <v>Zach</v>
      </c>
      <c r="G7" t="str">
        <f>'Stats G1'!B9</f>
        <v>Cassita</v>
      </c>
      <c r="H7">
        <f>'Stats G1'!C9</f>
        <v>6</v>
      </c>
      <c r="I7">
        <f>'Stats G1'!H9*2+'Stats G1'!N9*3+'Stats G1'!T9</f>
        <v>8</v>
      </c>
      <c r="J7" t="str">
        <f>SUM('Stats G1'!N9+'Stats G1'!H9)&amp;"-"&amp;SUM('Stats G1'!E9+'Stats G1'!K9)</f>
        <v>3-13</v>
      </c>
      <c r="K7" t="str">
        <f>SUM('Stats G1'!N9)&amp;"-"&amp;SUM('Stats G1'!K9)</f>
        <v>2-7</v>
      </c>
      <c r="L7" t="str">
        <f>SUM('Stats G1'!T9)&amp;"-"&amp;SUM('Stats G1'!Q9)</f>
        <v>0-0</v>
      </c>
    </row>
    <row r="8" spans="2:12" x14ac:dyDescent="0.3">
      <c r="F8" t="str">
        <f>'Stats G1'!A10</f>
        <v>Zues</v>
      </c>
      <c r="G8" t="str">
        <f>'Stats G1'!B10</f>
        <v>Martinez</v>
      </c>
      <c r="H8">
        <f>'Stats G1'!C10</f>
        <v>7</v>
      </c>
      <c r="I8">
        <f>'Stats G1'!H10*2+'Stats G1'!N10*3+'Stats G1'!T10</f>
        <v>7</v>
      </c>
      <c r="J8" t="str">
        <f>SUM('Stats G1'!N10+'Stats G1'!H10)&amp;"-"&amp;SUM('Stats G1'!E10+'Stats G1'!K10)</f>
        <v>3-7</v>
      </c>
      <c r="K8" t="str">
        <f>SUM('Stats G1'!N10)&amp;"-"&amp;SUM('Stats G1'!K10)</f>
        <v>0-2</v>
      </c>
      <c r="L8" t="str">
        <f>SUM('Stats G1'!T10)&amp;"-"&amp;SUM('Stats G1'!Q10)</f>
        <v>1-2</v>
      </c>
    </row>
    <row r="9" spans="2:12" x14ac:dyDescent="0.3">
      <c r="F9" t="str">
        <f>'Stats G1'!A11</f>
        <v>Dom</v>
      </c>
      <c r="G9" t="str">
        <f>'Stats G1'!B11</f>
        <v>Philip</v>
      </c>
      <c r="H9">
        <f>'Stats G1'!C11</f>
        <v>8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3">
      <c r="F10" t="str">
        <f>'Stats G1'!A12</f>
        <v>Gerad</v>
      </c>
      <c r="G10" t="str">
        <f>'Stats G1'!B12</f>
        <v>David</v>
      </c>
      <c r="H10">
        <f>'Stats G1'!C12</f>
        <v>14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3">
      <c r="F11" t="str">
        <f>'Stats G1'!A13</f>
        <v>Trigga</v>
      </c>
      <c r="G11" t="str">
        <f>'Stats G1'!B13</f>
        <v>Trei</v>
      </c>
      <c r="H11">
        <f>'Stats G1'!C13</f>
        <v>17</v>
      </c>
      <c r="I11">
        <f>'Stats G1'!H13*2+'Stats G1'!N13*3+'Stats G1'!T13</f>
        <v>0</v>
      </c>
      <c r="J11" t="str">
        <f>SUM('Stats G1'!N13+'Stats G1'!H13)&amp;"-"&amp;SUM('Stats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3">
      <c r="F12" t="str">
        <f>'Stats G1'!A14</f>
        <v>Lual</v>
      </c>
      <c r="G12" t="str">
        <f>'Stats G1'!B14</f>
        <v>Arok</v>
      </c>
      <c r="H12">
        <f>'Stats G1'!C14</f>
        <v>20</v>
      </c>
      <c r="I12">
        <f>'Stats G1'!H14*2+'Stats G1'!N14*3+'Stats G1'!T14</f>
        <v>9</v>
      </c>
      <c r="J12" t="str">
        <f>SUM('Stats G1'!N14+'Stats G1'!H14)&amp;"-"&amp;SUM('Stats G1'!E14+'Stats G1'!K14)</f>
        <v>4-5</v>
      </c>
      <c r="K12" t="str">
        <f>SUM('Stats G1'!N14)&amp;"-"&amp;SUM('Stats G1'!K14)</f>
        <v>0-0</v>
      </c>
      <c r="L12" t="str">
        <f>SUM('Stats G1'!T14)&amp;"-"&amp;SUM('Stats G1'!Q14)</f>
        <v>1-2</v>
      </c>
    </row>
    <row r="13" spans="2:12" x14ac:dyDescent="0.3">
      <c r="F13" t="str">
        <f>'Stats G1'!A15</f>
        <v>Steven</v>
      </c>
      <c r="G13" t="str">
        <f>'Stats G1'!B15</f>
        <v>Adeyemi</v>
      </c>
      <c r="H13">
        <f>'Stats G1'!C15</f>
        <v>24</v>
      </c>
      <c r="I13">
        <f>'Stats G1'!H15*2+'Stats G1'!N15*3+'Stats G1'!T15</f>
        <v>7</v>
      </c>
      <c r="J13" t="str">
        <f>SUM('Stats G1'!N15+'Stats G1'!H15)&amp;"-"&amp;SUM('Stats G1'!E15+'Stats G1'!K15)</f>
        <v>3-3</v>
      </c>
      <c r="K13" t="str">
        <f>SUM('Stats G1'!N15)&amp;"-"&amp;SUM('Stats G1'!K15)</f>
        <v>1-1</v>
      </c>
      <c r="L13" t="str">
        <f>SUM('Stats G1'!T15)&amp;"-"&amp;SUM('Stats G1'!Q15)</f>
        <v>0-0</v>
      </c>
    </row>
    <row r="14" spans="2:12" x14ac:dyDescent="0.3">
      <c r="F14" t="str">
        <f>'Stats G1'!A16</f>
        <v>Both</v>
      </c>
      <c r="G14" t="str">
        <f>'Stats G1'!B16</f>
        <v>Gach</v>
      </c>
      <c r="H14">
        <f>'Stats G1'!C16</f>
        <v>11</v>
      </c>
      <c r="I14">
        <f>'Stats G1'!H16*2+'Stats G1'!N16*3+'Stats G1'!T16</f>
        <v>30</v>
      </c>
      <c r="J14" t="str">
        <f>SUM('Stats G1'!N16+'Stats G1'!H16)&amp;"-"&amp;SUM('Stats G1'!E16+'Stats G1'!K16)</f>
        <v>11-27</v>
      </c>
      <c r="K14" t="str">
        <f>SUM('Stats G1'!N16)&amp;"-"&amp;SUM('Stats G1'!K16)</f>
        <v>2-11</v>
      </c>
      <c r="L14" t="str">
        <f>SUM('Stats G1'!T16)&amp;"-"&amp;SUM('Stats G1'!Q16)</f>
        <v>6-8</v>
      </c>
    </row>
    <row r="15" spans="2:12" x14ac:dyDescent="0.3">
      <c r="F15" t="str">
        <f>'Stats G1'!A17</f>
        <v>Pur</v>
      </c>
      <c r="G15" t="str">
        <f>'Stats G1'!B17</f>
        <v>Pur</v>
      </c>
      <c r="H15">
        <f>'Stats G1'!C17</f>
        <v>22</v>
      </c>
      <c r="I15">
        <f>'Stats G1'!H17*2+'Stats G1'!N17*3+'Stats G1'!T17</f>
        <v>3</v>
      </c>
      <c r="J15" t="str">
        <f>SUM('Stats G1'!N17+'Stats G1'!H17)&amp;"-"&amp;SUM('Stats G1'!E17+'Stats G1'!K17)</f>
        <v>1-2</v>
      </c>
      <c r="K15" t="str">
        <f>SUM('Stats G1'!N17)&amp;"-"&amp;SUM('Stats G1'!K17)</f>
        <v>1-2</v>
      </c>
      <c r="L15" t="str">
        <f>SUM('Stats G1'!T17)&amp;"-"&amp;SUM('Stats G1'!Q17)</f>
        <v>0-0</v>
      </c>
    </row>
    <row r="16" spans="2:12" x14ac:dyDescent="0.3">
      <c r="F16" t="str">
        <f>'Stats G1'!A18</f>
        <v>Manson</v>
      </c>
      <c r="G16" t="str">
        <f>'Stats G1'!B18</f>
        <v>Kafi</v>
      </c>
      <c r="H16">
        <f>'Stats G1'!C18</f>
        <v>0</v>
      </c>
      <c r="I16">
        <f>'Stats G1'!H18*2+'Stats G1'!N18*3+'Stats G1'!T18</f>
        <v>0</v>
      </c>
      <c r="J16" t="str">
        <f>SUM('Stats G1'!N18+'Stats G1'!H18)&amp;"-"&amp;SUM('Stats G1'!E18+'Stats G1'!K18)</f>
        <v>0-2</v>
      </c>
      <c r="K16" t="str">
        <f>SUM('Stats G1'!N18)&amp;"-"&amp;SUM('Stats G1'!K18)</f>
        <v>0-2</v>
      </c>
      <c r="L16" t="str">
        <f>SUM('Stats G1'!T18)&amp;"-"&amp;SUM('Stats G1'!Q18)</f>
        <v>0-0</v>
      </c>
    </row>
    <row r="17" spans="6:12" x14ac:dyDescent="0.3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3">
      <c r="H18" s="2" t="s">
        <v>14</v>
      </c>
      <c r="I18">
        <f>SUM(I3:I17)</f>
        <v>112</v>
      </c>
      <c r="J18" t="str">
        <f>SUM('Stats G1'!N20+'Stats G1'!H20)&amp;"-"&amp;SUM('Stats G1'!E20+'Stats G1'!K20)</f>
        <v>42-101</v>
      </c>
      <c r="K18" t="str">
        <f>SUM('Stats G1'!N20)&amp;"-"&amp;SUM('Stats G1'!K20)</f>
        <v>10-42</v>
      </c>
      <c r="L18" t="str">
        <f>SUM('Stats G1'!T20)&amp;"-"&amp;SUM('Stats G1'!Q20)</f>
        <v>18-23</v>
      </c>
    </row>
    <row r="20" spans="6:12" x14ac:dyDescent="0.3">
      <c r="F20" t="s">
        <v>13</v>
      </c>
      <c r="G20" t="str">
        <f>'Stats G1'!B21</f>
        <v>Humphries</v>
      </c>
    </row>
    <row r="21" spans="6:12" x14ac:dyDescent="0.3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3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G1'!H23*2+'Stats G1'!N23*3+'Stats G1'!T23</f>
        <v>52</v>
      </c>
      <c r="J22" t="str">
        <f>SUM('Stats G1'!N23+'Stats G1'!H23)&amp;"-"&amp;SUM('Stats G1'!E23+'Stats G1'!K23)</f>
        <v>17-36</v>
      </c>
      <c r="K22" t="str">
        <f>SUM('Stats G1'!N23)&amp;"-"&amp;SUM('Stats G1'!K23)</f>
        <v>2-13</v>
      </c>
      <c r="L22" t="str">
        <f>SUM('Stats G1'!T23)&amp;"-"&amp;SUM('Stats G1'!Q23)</f>
        <v>16-22</v>
      </c>
    </row>
    <row r="23" spans="6:12" x14ac:dyDescent="0.3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3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3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G1'!H26*2+'Stats G1'!N26*3+'Stats G1'!T26</f>
        <v>23</v>
      </c>
      <c r="J25" t="str">
        <f>SUM('Stats G1'!N26+'Stats G1'!H26)&amp;"-"&amp;SUM('Stats G1'!E26+'Stats G1'!K26)</f>
        <v>8-17</v>
      </c>
      <c r="K25" t="str">
        <f>SUM('Stats G1'!N26)&amp;"-"&amp;SUM('Stats G1'!K26)</f>
        <v>0-0</v>
      </c>
      <c r="L25" t="str">
        <f>SUM('Stats G1'!T26)&amp;"-"&amp;SUM('Stats G1'!Q26)</f>
        <v>7-8</v>
      </c>
    </row>
    <row r="26" spans="6:12" x14ac:dyDescent="0.3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G1'!H27*2+'Stats G1'!N27*3+'Stats G1'!T27</f>
        <v>0</v>
      </c>
      <c r="J26" t="str">
        <f>SUM('Stats G1'!N27+'Stats G1'!H27)&amp;"-"&amp;SUM('Stats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3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3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G1'!H29*2+'Stats G1'!N29*3+'Stats G1'!T29</f>
        <v>16</v>
      </c>
      <c r="J28" t="str">
        <f>SUM('Stats G1'!N29+'Stats G1'!H29)&amp;"-"&amp;SUM('Stats G1'!E29+'Stats G1'!K29)</f>
        <v>7-12</v>
      </c>
      <c r="K28" t="str">
        <f>SUM('Stats G1'!N29)&amp;"-"&amp;SUM('Stats G1'!K29)</f>
        <v>0-2</v>
      </c>
      <c r="L28" t="str">
        <f>SUM('Stats G1'!T29)&amp;"-"&amp;SUM('Stats G1'!Q29)</f>
        <v>2-2</v>
      </c>
    </row>
    <row r="29" spans="6:12" x14ac:dyDescent="0.3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G1'!H30*2+'Stats G1'!N30*3+'Stats G1'!T30</f>
        <v>11</v>
      </c>
      <c r="J29" t="str">
        <f>SUM('Stats G1'!N30+'Stats G1'!H30)&amp;"-"&amp;SUM('Stats G1'!E30+'Stats G1'!K30)</f>
        <v>5-10</v>
      </c>
      <c r="K29" t="str">
        <f>SUM('Stats G1'!N30)&amp;"-"&amp;SUM('Stats G1'!K30)</f>
        <v>1-3</v>
      </c>
      <c r="L29" t="str">
        <f>SUM('Stats G1'!T30)&amp;"-"&amp;SUM('Stats G1'!Q30)</f>
        <v>0-2</v>
      </c>
    </row>
    <row r="30" spans="6:12" x14ac:dyDescent="0.3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G1'!H31*2+'Stats G1'!N31*3+'Stats G1'!T31</f>
        <v>9</v>
      </c>
      <c r="J30" t="str">
        <f>SUM('Stats G1'!N31+'Stats G1'!H31)&amp;"-"&amp;SUM('Stats G1'!E31+'Stats G1'!K31)</f>
        <v>3-8</v>
      </c>
      <c r="K30" t="str">
        <f>SUM('Stats G1'!N31)&amp;"-"&amp;SUM('Stats G1'!K31)</f>
        <v>3-8</v>
      </c>
      <c r="L30" t="str">
        <f>SUM('Stats G1'!T31)&amp;"-"&amp;SUM('Stats G1'!Q31)</f>
        <v>0-0</v>
      </c>
    </row>
    <row r="31" spans="6:12" x14ac:dyDescent="0.3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G1'!H32*2+'Stats G1'!N32*3+'Stats G1'!T32</f>
        <v>0</v>
      </c>
      <c r="J31" t="str">
        <f>SUM('Stats G1'!N32+'Stats G1'!H32)&amp;"-"&amp;SUM('Stats G1'!E32+'Stats G1'!K32)</f>
        <v>0-4</v>
      </c>
      <c r="K31" t="str">
        <f>SUM('Stats G1'!N32)&amp;"-"&amp;SUM('Stats G1'!K32)</f>
        <v>0-3</v>
      </c>
      <c r="L31" t="str">
        <f>SUM('Stats G1'!T32)&amp;"-"&amp;SUM('Stats G1'!Q32)</f>
        <v>0-0</v>
      </c>
    </row>
    <row r="32" spans="6:12" x14ac:dyDescent="0.3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G1'!H33*2+'Stats G1'!N33*3+'Stats G1'!T33</f>
        <v>13</v>
      </c>
      <c r="J32" t="str">
        <f>SUM('Stats G1'!N33+'Stats G1'!H33)&amp;"-"&amp;SUM('Stats G1'!E33+'Stats G1'!K33)</f>
        <v>5-12</v>
      </c>
      <c r="K32" t="str">
        <f>SUM('Stats G1'!N33)&amp;"-"&amp;SUM('Stats G1'!K33)</f>
        <v>3-9</v>
      </c>
      <c r="L32" t="str">
        <f>SUM('Stats G1'!T33)&amp;"-"&amp;SUM('Stats G1'!Q33)</f>
        <v>0-0</v>
      </c>
    </row>
    <row r="33" spans="6:12" x14ac:dyDescent="0.3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3">
      <c r="F34" t="str">
        <f>'Stats G1'!A35</f>
        <v>Carter</v>
      </c>
      <c r="G34" t="str">
        <f>'Stats G1'!B35</f>
        <v>Welling</v>
      </c>
      <c r="H34">
        <f>'Stats G1'!C35</f>
        <v>32</v>
      </c>
      <c r="I34">
        <f>'Stats G1'!H35*2+'Stats G1'!N35*3+'Stats G1'!T35</f>
        <v>4</v>
      </c>
      <c r="J34" t="str">
        <f>SUM('Stats G1'!N35+'Stats G1'!H35)&amp;"-"&amp;SUM('Stats G1'!E35+'Stats G1'!K35)</f>
        <v>1-4</v>
      </c>
      <c r="K34" t="str">
        <f>SUM('Stats G1'!N35)&amp;"-"&amp;SUM('Stats G1'!K35)</f>
        <v>0-0</v>
      </c>
      <c r="L34" t="str">
        <f>SUM('Stats G1'!T35)&amp;"-"&amp;SUM('Stats G1'!Q35)</f>
        <v>2-2</v>
      </c>
    </row>
    <row r="35" spans="6:12" x14ac:dyDescent="0.3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3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3">
      <c r="H37" s="2" t="s">
        <v>14</v>
      </c>
      <c r="I37">
        <f>SUM(I22:I36)</f>
        <v>128</v>
      </c>
      <c r="J37" t="str">
        <f>SUM('Stats G1'!N38+'Stats G1'!H38)&amp;"-"&amp;SUM('Stats G1'!E38+'Stats G1'!K38)</f>
        <v>46-103</v>
      </c>
      <c r="K37" t="str">
        <f>SUM('Stats G1'!N38)&amp;"-"&amp;SUM('Stats G1'!K38)</f>
        <v>9-38</v>
      </c>
      <c r="L37" t="str">
        <f>SUM('Stats G1'!T38)&amp;"-"&amp;SUM('Stats G1'!Q38)</f>
        <v>27-36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3" zoomScale="80" zoomScaleNormal="80" workbookViewId="0">
      <selection activeCell="W12" sqref="W12"/>
    </sheetView>
  </sheetViews>
  <sheetFormatPr defaultColWidth="11.19921875" defaultRowHeight="15.6" x14ac:dyDescent="0.3"/>
  <cols>
    <col min="2" max="2" width="17.5" customWidth="1"/>
    <col min="3" max="3" width="4.5" customWidth="1"/>
    <col min="4" max="4" width="5.296875" customWidth="1"/>
    <col min="5" max="5" width="5.796875" customWidth="1"/>
    <col min="6" max="7" width="5.296875" customWidth="1"/>
    <col min="8" max="8" width="5.796875" customWidth="1"/>
    <col min="9" max="10" width="5.296875" customWidth="1"/>
    <col min="11" max="11" width="5.796875" customWidth="1"/>
    <col min="12" max="13" width="5.296875" customWidth="1"/>
    <col min="14" max="14" width="5.796875" customWidth="1"/>
    <col min="15" max="16" width="5.296875" customWidth="1"/>
    <col min="17" max="17" width="5.796875" customWidth="1"/>
    <col min="18" max="19" width="5.296875" customWidth="1"/>
    <col min="20" max="20" width="5.796875" customWidth="1"/>
    <col min="21" max="21" width="5.296875" customWidth="1"/>
  </cols>
  <sheetData>
    <row r="1" spans="1:21" hidden="1" x14ac:dyDescent="0.3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3"/>
    <row r="3" spans="1:21" x14ac:dyDescent="0.3">
      <c r="A3" s="2" t="s">
        <v>16</v>
      </c>
      <c r="B3" s="1" t="s">
        <v>21</v>
      </c>
    </row>
    <row r="4" spans="1:21" x14ac:dyDescent="0.3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3">
      <c r="A5" s="5" t="str">
        <f>_xlfn.IFNA(VLOOKUP($B$3&amp;ROWS($A$5:A5),Rosters!$B$2:$C$162,2,0),"?")</f>
        <v>Dillon</v>
      </c>
      <c r="B5" s="5" t="str">
        <f>_xlfn.IFNA(VLOOKUP($B$3&amp;ROWS($B$5:B5),Rosters!$B$2:$D$162,3,0),"?")</f>
        <v>Jones</v>
      </c>
      <c r="C5" s="5">
        <f>_xlfn.IFNA(VLOOKUP($B$3&amp;ROWS($C$5:C5),Rosters!$B$2:$E$162,4,0),"")</f>
        <v>1</v>
      </c>
      <c r="D5" s="5"/>
      <c r="E5" s="5">
        <v>10</v>
      </c>
      <c r="F5" s="5"/>
      <c r="G5" s="5"/>
      <c r="H5" s="5">
        <v>4</v>
      </c>
      <c r="I5" s="5"/>
      <c r="J5" s="5"/>
      <c r="K5" s="5">
        <v>4</v>
      </c>
      <c r="L5" s="5"/>
      <c r="M5" s="5"/>
      <c r="N5" s="5">
        <v>1</v>
      </c>
      <c r="O5" s="5"/>
      <c r="P5" s="5"/>
      <c r="Q5" s="5">
        <v>3</v>
      </c>
      <c r="R5" s="5"/>
      <c r="S5" s="5"/>
      <c r="T5" s="5">
        <v>2</v>
      </c>
      <c r="U5" s="5"/>
    </row>
    <row r="6" spans="1:21" s="6" customFormat="1" x14ac:dyDescent="0.3">
      <c r="A6" s="6" t="str">
        <f>_xlfn.IFNA(VLOOKUP($B$3&amp;ROWS($A$5:A6),Rosters!$B$2:$C$162,2,0),"?")</f>
        <v>Mark</v>
      </c>
      <c r="B6" s="6" t="str">
        <f>_xlfn.IFNA(VLOOKUP($B$3&amp;ROWS($B$5:B6),Rosters!$B$2:$D$162,3,0),"?")</f>
        <v>Burton</v>
      </c>
      <c r="C6" s="6">
        <f>_xlfn.IFNA(VLOOKUP($B$3&amp;ROWS($C$5:C6),Rosters!$B$2:$E$162,4,0),"")</f>
        <v>3</v>
      </c>
      <c r="E6" s="6">
        <v>15</v>
      </c>
      <c r="H6" s="6">
        <v>9</v>
      </c>
      <c r="K6" s="6">
        <v>13</v>
      </c>
      <c r="N6" s="6">
        <v>3</v>
      </c>
      <c r="Q6" s="6">
        <v>8</v>
      </c>
      <c r="T6" s="6">
        <v>8</v>
      </c>
    </row>
    <row r="7" spans="1:21" s="6" customFormat="1" x14ac:dyDescent="0.3">
      <c r="A7" s="5" t="str">
        <f>_xlfn.IFNA(VLOOKUP($B$3&amp;ROWS($A$5:A7),Rosters!$B$2:$C$162,2,0),"?")</f>
        <v>Cole</v>
      </c>
      <c r="B7" s="5" t="str">
        <f>_xlfn.IFNA(VLOOKUP($B$3&amp;ROWS($B$5:B7),Rosters!$B$2:$D$162,3,0),"?")</f>
        <v>Kadoguchi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3">
      <c r="A8" s="6" t="str">
        <f>_xlfn.IFNA(VLOOKUP($B$3&amp;ROWS($A$5:A8),Rosters!$B$2:$C$162,2,0),"?")</f>
        <v>Deng</v>
      </c>
      <c r="B8" s="6" t="str">
        <f>_xlfn.IFNA(VLOOKUP($B$3&amp;ROWS($B$5:B8),Rosters!$B$2:$D$162,3,0),"?")</f>
        <v>Mayar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3">
      <c r="A9" s="5" t="str">
        <f>_xlfn.IFNA(VLOOKUP($B$3&amp;ROWS($A$5:A9),Rosters!$B$2:$C$162,2,0),"?")</f>
        <v>Zach</v>
      </c>
      <c r="B9" s="5" t="str">
        <f>_xlfn.IFNA(VLOOKUP($B$3&amp;ROWS($B$5:B9),Rosters!$B$2:$D$162,3,0),"?")</f>
        <v>Cassita</v>
      </c>
      <c r="C9" s="5">
        <f>_xlfn.IFNA(VLOOKUP($B$3&amp;ROWS($C$5:C9),Rosters!$B$2:$E$162,4,0),"")</f>
        <v>6</v>
      </c>
      <c r="D9" s="5"/>
      <c r="E9" s="5">
        <v>6</v>
      </c>
      <c r="F9" s="5"/>
      <c r="G9" s="5"/>
      <c r="H9" s="5">
        <v>1</v>
      </c>
      <c r="I9" s="5"/>
      <c r="J9" s="5"/>
      <c r="K9" s="5">
        <v>7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3">
      <c r="A10" s="6" t="str">
        <f>_xlfn.IFNA(VLOOKUP($B$3&amp;ROWS($A$5:A10),Rosters!$B$2:$C$162,2,0),"?")</f>
        <v>Zues</v>
      </c>
      <c r="B10" s="6" t="str">
        <f>_xlfn.IFNA(VLOOKUP($B$3&amp;ROWS($B$5:B10),Rosters!$B$2:$D$162,3,0),"?")</f>
        <v>Martinez</v>
      </c>
      <c r="C10" s="6">
        <f>_xlfn.IFNA(VLOOKUP($B$3&amp;ROWS($C$5:C10),Rosters!$B$2:$E$162,4,0),"")</f>
        <v>7</v>
      </c>
      <c r="E10" s="6">
        <v>5</v>
      </c>
      <c r="H10" s="6">
        <v>3</v>
      </c>
      <c r="K10" s="6">
        <v>2</v>
      </c>
      <c r="N10" s="6">
        <v>0</v>
      </c>
      <c r="Q10" s="6">
        <v>2</v>
      </c>
      <c r="T10" s="6">
        <v>1</v>
      </c>
    </row>
    <row r="11" spans="1:21" s="6" customFormat="1" x14ac:dyDescent="0.3">
      <c r="A11" s="5" t="str">
        <f>_xlfn.IFNA(VLOOKUP($B$3&amp;ROWS($A$5:A11),Rosters!$B$2:$C$162,2,0),"?")</f>
        <v>Dom</v>
      </c>
      <c r="B11" s="5" t="str">
        <f>_xlfn.IFNA(VLOOKUP($B$3&amp;ROWS($B$5:B11),Rosters!$B$2:$D$162,3,0),"?")</f>
        <v>Philip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3">
      <c r="A12" s="6" t="str">
        <f>_xlfn.IFNA(VLOOKUP($B$3&amp;ROWS($A$5:A12),Rosters!$B$2:$C$162,2,0),"?")</f>
        <v>Gerad</v>
      </c>
      <c r="B12" s="6" t="str">
        <f>_xlfn.IFNA(VLOOKUP($B$3&amp;ROWS($B$5:B12),Rosters!$B$2:$D$162,3,0),"?")</f>
        <v>David</v>
      </c>
      <c r="C12" s="6">
        <f>_xlfn.IFNA(VLOOKUP($B$3&amp;ROWS($C$5:C12),Rosters!$B$2:$E$162,4,0),"")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3">
      <c r="A13" s="5" t="str">
        <f>_xlfn.IFNA(VLOOKUP($B$3&amp;ROWS($A$5:A13),Rosters!$B$2:$C$162,2,0),"?")</f>
        <v>Trigga</v>
      </c>
      <c r="B13" s="5" t="str">
        <f>_xlfn.IFNA(VLOOKUP($B$3&amp;ROWS($B$5:B13),Rosters!$B$2:$D$162,3,0),"?")</f>
        <v>Trei</v>
      </c>
      <c r="C13" s="5">
        <f>_xlfn.IFNA(VLOOKUP($B$3&amp;ROWS($C$5:C13),Rosters!$B$2:$E$162,4,0),"")</f>
        <v>17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3">
      <c r="A14" s="6" t="str">
        <f>_xlfn.IFNA(VLOOKUP($B$3&amp;ROWS($A$5:A14),Rosters!$B$2:$C$162,2,0),"?")</f>
        <v>Lual</v>
      </c>
      <c r="B14" s="6" t="str">
        <f>_xlfn.IFNA(VLOOKUP($B$3&amp;ROWS($B$5:B14),Rosters!$B$2:$D$162,3,0),"?")</f>
        <v>Arok</v>
      </c>
      <c r="C14" s="6">
        <f>_xlfn.IFNA(VLOOKUP($B$3&amp;ROWS($C$5:C14),Rosters!$B$2:$E$162,4,0),"")</f>
        <v>20</v>
      </c>
      <c r="E14" s="6">
        <v>5</v>
      </c>
      <c r="H14" s="6">
        <v>4</v>
      </c>
      <c r="K14" s="6">
        <v>0</v>
      </c>
      <c r="N14" s="6">
        <v>0</v>
      </c>
      <c r="Q14" s="6">
        <v>2</v>
      </c>
      <c r="T14" s="6">
        <v>1</v>
      </c>
    </row>
    <row r="15" spans="1:21" s="6" customFormat="1" x14ac:dyDescent="0.3">
      <c r="A15" s="5" t="str">
        <f>_xlfn.IFNA(VLOOKUP($B$3&amp;ROWS($A$5:A15),Rosters!$B$2:$C$162,2,0),"?")</f>
        <v>Steven</v>
      </c>
      <c r="B15" s="5" t="str">
        <f>_xlfn.IFNA(VLOOKUP($B$3&amp;ROWS($B$5:B15),Rosters!$B$2:$D$162,3,0),"?")</f>
        <v>Adeyemi</v>
      </c>
      <c r="C15" s="5">
        <f>_xlfn.IFNA(VLOOKUP($B$3&amp;ROWS($C$5:C15),Rosters!$B$2:$E$162,4,0),"")</f>
        <v>24</v>
      </c>
      <c r="D15" s="5"/>
      <c r="E15" s="5">
        <v>2</v>
      </c>
      <c r="F15" s="5"/>
      <c r="G15" s="5"/>
      <c r="H15" s="5">
        <v>2</v>
      </c>
      <c r="I15" s="5"/>
      <c r="J15" s="5"/>
      <c r="K15" s="5">
        <v>1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3">
      <c r="A16" s="6" t="str">
        <f>_xlfn.IFNA(VLOOKUP($B$3&amp;ROWS($A$5:A16),Rosters!$B$2:$C$162,2,0),"?")</f>
        <v>Both</v>
      </c>
      <c r="B16" s="6" t="str">
        <f>_xlfn.IFNA(VLOOKUP($B$3&amp;ROWS($B$5:B16),Rosters!$B$2:$D$162,3,0),"?")</f>
        <v>Gach</v>
      </c>
      <c r="C16" s="6">
        <f>_xlfn.IFNA(VLOOKUP($B$3&amp;ROWS($C$5:C16),Rosters!$B$2:$E$162,4,0),"")</f>
        <v>11</v>
      </c>
      <c r="E16" s="6">
        <v>16</v>
      </c>
      <c r="H16" s="6">
        <v>9</v>
      </c>
      <c r="K16" s="6">
        <v>11</v>
      </c>
      <c r="N16" s="6">
        <v>2</v>
      </c>
      <c r="Q16" s="6">
        <v>8</v>
      </c>
      <c r="T16" s="6">
        <v>6</v>
      </c>
    </row>
    <row r="17" spans="1:21" s="6" customFormat="1" x14ac:dyDescent="0.3">
      <c r="A17" s="5" t="s">
        <v>274</v>
      </c>
      <c r="B17" s="5" t="s">
        <v>274</v>
      </c>
      <c r="C17" s="5">
        <v>22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2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3">
      <c r="A18" s="6" t="s">
        <v>275</v>
      </c>
      <c r="B18" s="6" t="s">
        <v>276</v>
      </c>
      <c r="C18" s="6">
        <v>0</v>
      </c>
      <c r="E18" s="6">
        <v>0</v>
      </c>
      <c r="H18" s="6">
        <v>0</v>
      </c>
      <c r="K18" s="6">
        <v>2</v>
      </c>
      <c r="N18" s="6">
        <v>0</v>
      </c>
      <c r="Q18" s="6">
        <v>0</v>
      </c>
      <c r="T18" s="6">
        <v>0</v>
      </c>
    </row>
    <row r="19" spans="1:21" s="6" customFormat="1" x14ac:dyDescent="0.3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3">
      <c r="E20">
        <f>SUM(E5:E19)</f>
        <v>59</v>
      </c>
      <c r="H20">
        <f>SUM(H5:H19)</f>
        <v>32</v>
      </c>
      <c r="K20">
        <f>SUM(K5:K19)</f>
        <v>42</v>
      </c>
      <c r="N20">
        <f>SUM(N5:N19)</f>
        <v>10</v>
      </c>
      <c r="Q20">
        <f>SUM(Q5:Q19)</f>
        <v>23</v>
      </c>
      <c r="T20">
        <f>SUM(T5:T19)</f>
        <v>18</v>
      </c>
    </row>
    <row r="21" spans="1:21" x14ac:dyDescent="0.3">
      <c r="A21" s="2" t="s">
        <v>17</v>
      </c>
      <c r="B21" s="1" t="s">
        <v>20</v>
      </c>
    </row>
    <row r="22" spans="1:21" x14ac:dyDescent="0.3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3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23</v>
      </c>
      <c r="F23" s="5"/>
      <c r="G23" s="5"/>
      <c r="H23" s="5">
        <v>15</v>
      </c>
      <c r="I23" s="5"/>
      <c r="J23" s="5"/>
      <c r="K23" s="5">
        <v>13</v>
      </c>
      <c r="L23" s="5"/>
      <c r="M23" s="5"/>
      <c r="N23" s="5">
        <v>2</v>
      </c>
      <c r="O23" s="5"/>
      <c r="P23" s="5"/>
      <c r="Q23" s="5">
        <v>22</v>
      </c>
      <c r="R23" s="5"/>
      <c r="S23" s="5"/>
      <c r="T23" s="5">
        <v>16</v>
      </c>
      <c r="U23" s="5"/>
    </row>
    <row r="24" spans="1:21" s="6" customFormat="1" x14ac:dyDescent="0.3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3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3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17</v>
      </c>
      <c r="H26" s="6">
        <v>8</v>
      </c>
      <c r="K26" s="6">
        <v>0</v>
      </c>
      <c r="N26" s="6">
        <v>0</v>
      </c>
      <c r="Q26" s="6">
        <v>8</v>
      </c>
      <c r="T26" s="6">
        <v>7</v>
      </c>
    </row>
    <row r="27" spans="1:21" s="6" customFormat="1" x14ac:dyDescent="0.3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3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3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10</v>
      </c>
      <c r="F29" s="5"/>
      <c r="G29" s="5"/>
      <c r="H29" s="5">
        <v>7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2</v>
      </c>
      <c r="R29" s="5"/>
      <c r="S29" s="5"/>
      <c r="T29" s="5">
        <v>2</v>
      </c>
      <c r="U29" s="5"/>
    </row>
    <row r="30" spans="1:21" s="6" customFormat="1" x14ac:dyDescent="0.3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7</v>
      </c>
      <c r="H30" s="6">
        <v>4</v>
      </c>
      <c r="K30" s="6">
        <v>3</v>
      </c>
      <c r="N30" s="6">
        <v>1</v>
      </c>
      <c r="Q30" s="6">
        <v>2</v>
      </c>
      <c r="T30" s="6">
        <v>0</v>
      </c>
    </row>
    <row r="31" spans="1:21" s="6" customFormat="1" x14ac:dyDescent="0.3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8</v>
      </c>
      <c r="L31" s="5"/>
      <c r="M31" s="5"/>
      <c r="N31" s="5">
        <v>3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3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1</v>
      </c>
      <c r="H32" s="6">
        <v>0</v>
      </c>
      <c r="K32" s="6">
        <v>3</v>
      </c>
      <c r="N32" s="6">
        <v>0</v>
      </c>
      <c r="Q32" s="6">
        <v>0</v>
      </c>
      <c r="T32" s="6">
        <v>0</v>
      </c>
    </row>
    <row r="33" spans="1:21" s="6" customFormat="1" x14ac:dyDescent="0.3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3</v>
      </c>
      <c r="F33" s="5"/>
      <c r="G33" s="5"/>
      <c r="H33" s="5">
        <v>2</v>
      </c>
      <c r="I33" s="5"/>
      <c r="J33" s="5"/>
      <c r="K33" s="5">
        <v>9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3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3">
      <c r="A35" s="5" t="s">
        <v>234</v>
      </c>
      <c r="B35" s="5" t="s">
        <v>277</v>
      </c>
      <c r="C35" s="5">
        <v>32</v>
      </c>
      <c r="D35" s="5"/>
      <c r="E35" s="5">
        <v>4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</v>
      </c>
      <c r="R35" s="5"/>
      <c r="S35" s="5"/>
      <c r="T35" s="5">
        <v>2</v>
      </c>
      <c r="U35" s="5"/>
    </row>
    <row r="36" spans="1:21" s="6" customFormat="1" x14ac:dyDescent="0.3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3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3">
      <c r="E38">
        <f>SUM(E23:E37)</f>
        <v>65</v>
      </c>
      <c r="H38">
        <f>SUM(H23:H37)</f>
        <v>37</v>
      </c>
      <c r="K38">
        <f>SUM(K23:K37)</f>
        <v>38</v>
      </c>
      <c r="N38">
        <f>SUM(N23:N37)</f>
        <v>9</v>
      </c>
      <c r="Q38">
        <f>SUM(Q23:Q37)</f>
        <v>36</v>
      </c>
      <c r="T38">
        <f>SUM(T23:T37)</f>
        <v>27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60960</xdr:colOff>
                    <xdr:row>4</xdr:row>
                    <xdr:rowOff>22860</xdr:rowOff>
                  </from>
                  <to>
                    <xdr:col>3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5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60960</xdr:colOff>
                    <xdr:row>4</xdr:row>
                    <xdr:rowOff>22860</xdr:rowOff>
                  </from>
                  <to>
                    <xdr:col>6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53340</xdr:colOff>
                    <xdr:row>4</xdr:row>
                    <xdr:rowOff>22860</xdr:rowOff>
                  </from>
                  <to>
                    <xdr:col>8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60960</xdr:colOff>
                    <xdr:row>4</xdr:row>
                    <xdr:rowOff>22860</xdr:rowOff>
                  </from>
                  <to>
                    <xdr:col>9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53340</xdr:colOff>
                    <xdr:row>4</xdr:row>
                    <xdr:rowOff>22860</xdr:rowOff>
                  </from>
                  <to>
                    <xdr:col>11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60960</xdr:colOff>
                    <xdr:row>4</xdr:row>
                    <xdr:rowOff>22860</xdr:rowOff>
                  </from>
                  <to>
                    <xdr:col>12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53340</xdr:colOff>
                    <xdr:row>4</xdr:row>
                    <xdr:rowOff>22860</xdr:rowOff>
                  </from>
                  <to>
                    <xdr:col>14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60960</xdr:colOff>
                    <xdr:row>4</xdr:row>
                    <xdr:rowOff>22860</xdr:rowOff>
                  </from>
                  <to>
                    <xdr:col>15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53340</xdr:colOff>
                    <xdr:row>4</xdr:row>
                    <xdr:rowOff>22860</xdr:rowOff>
                  </from>
                  <to>
                    <xdr:col>17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60960</xdr:colOff>
                    <xdr:row>4</xdr:row>
                    <xdr:rowOff>22860</xdr:rowOff>
                  </from>
                  <to>
                    <xdr:col>18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53340</xdr:colOff>
                    <xdr:row>4</xdr:row>
                    <xdr:rowOff>22860</xdr:rowOff>
                  </from>
                  <to>
                    <xdr:col>20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5</xdr:row>
                    <xdr:rowOff>22860</xdr:rowOff>
                  </from>
                  <to>
                    <xdr:col>3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5</xdr:row>
                    <xdr:rowOff>22860</xdr:rowOff>
                  </from>
                  <to>
                    <xdr:col>5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5</xdr:row>
                    <xdr:rowOff>22860</xdr:rowOff>
                  </from>
                  <to>
                    <xdr:col>6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5</xdr:row>
                    <xdr:rowOff>22860</xdr:rowOff>
                  </from>
                  <to>
                    <xdr:col>8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5</xdr:row>
                    <xdr:rowOff>22860</xdr:rowOff>
                  </from>
                  <to>
                    <xdr:col>9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5</xdr:row>
                    <xdr:rowOff>22860</xdr:rowOff>
                  </from>
                  <to>
                    <xdr:col>11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5</xdr:row>
                    <xdr:rowOff>22860</xdr:rowOff>
                  </from>
                  <to>
                    <xdr:col>12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5</xdr:row>
                    <xdr:rowOff>22860</xdr:rowOff>
                  </from>
                  <to>
                    <xdr:col>14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5</xdr:row>
                    <xdr:rowOff>22860</xdr:rowOff>
                  </from>
                  <to>
                    <xdr:col>15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5</xdr:row>
                    <xdr:rowOff>22860</xdr:rowOff>
                  </from>
                  <to>
                    <xdr:col>17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5</xdr:row>
                    <xdr:rowOff>22860</xdr:rowOff>
                  </from>
                  <to>
                    <xdr:col>18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5</xdr:row>
                    <xdr:rowOff>22860</xdr:rowOff>
                  </from>
                  <to>
                    <xdr:col>20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60960</xdr:colOff>
                    <xdr:row>5</xdr:row>
                    <xdr:rowOff>22860</xdr:rowOff>
                  </from>
                  <to>
                    <xdr:col>3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53340</xdr:colOff>
                    <xdr:row>5</xdr:row>
                    <xdr:rowOff>22860</xdr:rowOff>
                  </from>
                  <to>
                    <xdr:col>5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60960</xdr:colOff>
                    <xdr:row>5</xdr:row>
                    <xdr:rowOff>22860</xdr:rowOff>
                  </from>
                  <to>
                    <xdr:col>6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53340</xdr:colOff>
                    <xdr:row>5</xdr:row>
                    <xdr:rowOff>22860</xdr:rowOff>
                  </from>
                  <to>
                    <xdr:col>8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60960</xdr:colOff>
                    <xdr:row>5</xdr:row>
                    <xdr:rowOff>22860</xdr:rowOff>
                  </from>
                  <to>
                    <xdr:col>9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53340</xdr:colOff>
                    <xdr:row>5</xdr:row>
                    <xdr:rowOff>22860</xdr:rowOff>
                  </from>
                  <to>
                    <xdr:col>11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60960</xdr:colOff>
                    <xdr:row>5</xdr:row>
                    <xdr:rowOff>22860</xdr:rowOff>
                  </from>
                  <to>
                    <xdr:col>12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53340</xdr:colOff>
                    <xdr:row>5</xdr:row>
                    <xdr:rowOff>22860</xdr:rowOff>
                  </from>
                  <to>
                    <xdr:col>14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60960</xdr:colOff>
                    <xdr:row>5</xdr:row>
                    <xdr:rowOff>22860</xdr:rowOff>
                  </from>
                  <to>
                    <xdr:col>15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53340</xdr:colOff>
                    <xdr:row>5</xdr:row>
                    <xdr:rowOff>22860</xdr:rowOff>
                  </from>
                  <to>
                    <xdr:col>17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60960</xdr:colOff>
                    <xdr:row>5</xdr:row>
                    <xdr:rowOff>22860</xdr:rowOff>
                  </from>
                  <to>
                    <xdr:col>18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53340</xdr:colOff>
                    <xdr:row>5</xdr:row>
                    <xdr:rowOff>22860</xdr:rowOff>
                  </from>
                  <to>
                    <xdr:col>20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60960</xdr:colOff>
                    <xdr:row>6</xdr:row>
                    <xdr:rowOff>22860</xdr:rowOff>
                  </from>
                  <to>
                    <xdr:col>3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53340</xdr:colOff>
                    <xdr:row>6</xdr:row>
                    <xdr:rowOff>22860</xdr:rowOff>
                  </from>
                  <to>
                    <xdr:col>5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60960</xdr:colOff>
                    <xdr:row>6</xdr:row>
                    <xdr:rowOff>22860</xdr:rowOff>
                  </from>
                  <to>
                    <xdr:col>6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53340</xdr:colOff>
                    <xdr:row>6</xdr:row>
                    <xdr:rowOff>22860</xdr:rowOff>
                  </from>
                  <to>
                    <xdr:col>8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60960</xdr:colOff>
                    <xdr:row>6</xdr:row>
                    <xdr:rowOff>22860</xdr:rowOff>
                  </from>
                  <to>
                    <xdr:col>9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53340</xdr:colOff>
                    <xdr:row>6</xdr:row>
                    <xdr:rowOff>22860</xdr:rowOff>
                  </from>
                  <to>
                    <xdr:col>11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60960</xdr:colOff>
                    <xdr:row>6</xdr:row>
                    <xdr:rowOff>22860</xdr:rowOff>
                  </from>
                  <to>
                    <xdr:col>12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53340</xdr:colOff>
                    <xdr:row>6</xdr:row>
                    <xdr:rowOff>22860</xdr:rowOff>
                  </from>
                  <to>
                    <xdr:col>14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60960</xdr:colOff>
                    <xdr:row>6</xdr:row>
                    <xdr:rowOff>22860</xdr:rowOff>
                  </from>
                  <to>
                    <xdr:col>15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53340</xdr:colOff>
                    <xdr:row>6</xdr:row>
                    <xdr:rowOff>22860</xdr:rowOff>
                  </from>
                  <to>
                    <xdr:col>17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60960</xdr:colOff>
                    <xdr:row>6</xdr:row>
                    <xdr:rowOff>22860</xdr:rowOff>
                  </from>
                  <to>
                    <xdr:col>18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53340</xdr:colOff>
                    <xdr:row>6</xdr:row>
                    <xdr:rowOff>22860</xdr:rowOff>
                  </from>
                  <to>
                    <xdr:col>20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22</xdr:row>
                    <xdr:rowOff>22860</xdr:rowOff>
                  </from>
                  <to>
                    <xdr:col>3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22</xdr:row>
                    <xdr:rowOff>22860</xdr:rowOff>
                  </from>
                  <to>
                    <xdr:col>5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22</xdr:row>
                    <xdr:rowOff>22860</xdr:rowOff>
                  </from>
                  <to>
                    <xdr:col>6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22</xdr:row>
                    <xdr:rowOff>22860</xdr:rowOff>
                  </from>
                  <to>
                    <xdr:col>8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22</xdr:row>
                    <xdr:rowOff>22860</xdr:rowOff>
                  </from>
                  <to>
                    <xdr:col>9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22</xdr:row>
                    <xdr:rowOff>22860</xdr:rowOff>
                  </from>
                  <to>
                    <xdr:col>11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22</xdr:row>
                    <xdr:rowOff>22860</xdr:rowOff>
                  </from>
                  <to>
                    <xdr:col>12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22</xdr:row>
                    <xdr:rowOff>22860</xdr:rowOff>
                  </from>
                  <to>
                    <xdr:col>14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22</xdr:row>
                    <xdr:rowOff>22860</xdr:rowOff>
                  </from>
                  <to>
                    <xdr:col>15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22</xdr:row>
                    <xdr:rowOff>22860</xdr:rowOff>
                  </from>
                  <to>
                    <xdr:col>17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22</xdr:row>
                    <xdr:rowOff>22860</xdr:rowOff>
                  </from>
                  <to>
                    <xdr:col>18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22</xdr:row>
                    <xdr:rowOff>22860</xdr:rowOff>
                  </from>
                  <to>
                    <xdr:col>20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24</xdr:row>
                    <xdr:rowOff>22860</xdr:rowOff>
                  </from>
                  <to>
                    <xdr:col>3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24</xdr:row>
                    <xdr:rowOff>22860</xdr:rowOff>
                  </from>
                  <to>
                    <xdr:col>5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24</xdr:row>
                    <xdr:rowOff>22860</xdr:rowOff>
                  </from>
                  <to>
                    <xdr:col>6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24</xdr:row>
                    <xdr:rowOff>22860</xdr:rowOff>
                  </from>
                  <to>
                    <xdr:col>8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24</xdr:row>
                    <xdr:rowOff>22860</xdr:rowOff>
                  </from>
                  <to>
                    <xdr:col>9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24</xdr:row>
                    <xdr:rowOff>22860</xdr:rowOff>
                  </from>
                  <to>
                    <xdr:col>11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24</xdr:row>
                    <xdr:rowOff>22860</xdr:rowOff>
                  </from>
                  <to>
                    <xdr:col>12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24</xdr:row>
                    <xdr:rowOff>22860</xdr:rowOff>
                  </from>
                  <to>
                    <xdr:col>14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24</xdr:row>
                    <xdr:rowOff>22860</xdr:rowOff>
                  </from>
                  <to>
                    <xdr:col>15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24</xdr:row>
                    <xdr:rowOff>22860</xdr:rowOff>
                  </from>
                  <to>
                    <xdr:col>17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24</xdr:row>
                    <xdr:rowOff>22860</xdr:rowOff>
                  </from>
                  <to>
                    <xdr:col>18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24</xdr:row>
                    <xdr:rowOff>22860</xdr:rowOff>
                  </from>
                  <to>
                    <xdr:col>20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60960</xdr:colOff>
                    <xdr:row>7</xdr:row>
                    <xdr:rowOff>22860</xdr:rowOff>
                  </from>
                  <to>
                    <xdr:col>3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60960</xdr:colOff>
                    <xdr:row>8</xdr:row>
                    <xdr:rowOff>22860</xdr:rowOff>
                  </from>
                  <to>
                    <xdr:col>3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60960</xdr:colOff>
                    <xdr:row>9</xdr:row>
                    <xdr:rowOff>22860</xdr:rowOff>
                  </from>
                  <to>
                    <xdr:col>3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60960</xdr:colOff>
                    <xdr:row>10</xdr:row>
                    <xdr:rowOff>22860</xdr:rowOff>
                  </from>
                  <to>
                    <xdr:col>3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60960</xdr:colOff>
                    <xdr:row>11</xdr:row>
                    <xdr:rowOff>22860</xdr:rowOff>
                  </from>
                  <to>
                    <xdr:col>3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60960</xdr:colOff>
                    <xdr:row>12</xdr:row>
                    <xdr:rowOff>22860</xdr:rowOff>
                  </from>
                  <to>
                    <xdr:col>3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60960</xdr:colOff>
                    <xdr:row>13</xdr:row>
                    <xdr:rowOff>22860</xdr:rowOff>
                  </from>
                  <to>
                    <xdr:col>3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60960</xdr:colOff>
                    <xdr:row>14</xdr:row>
                    <xdr:rowOff>22860</xdr:rowOff>
                  </from>
                  <to>
                    <xdr:col>3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60960</xdr:colOff>
                    <xdr:row>15</xdr:row>
                    <xdr:rowOff>22860</xdr:rowOff>
                  </from>
                  <to>
                    <xdr:col>3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60960</xdr:colOff>
                    <xdr:row>16</xdr:row>
                    <xdr:rowOff>22860</xdr:rowOff>
                  </from>
                  <to>
                    <xdr:col>3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60960</xdr:colOff>
                    <xdr:row>17</xdr:row>
                    <xdr:rowOff>22860</xdr:rowOff>
                  </from>
                  <to>
                    <xdr:col>3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60960</xdr:colOff>
                    <xdr:row>18</xdr:row>
                    <xdr:rowOff>22860</xdr:rowOff>
                  </from>
                  <to>
                    <xdr:col>3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5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53340</xdr:colOff>
                    <xdr:row>8</xdr:row>
                    <xdr:rowOff>22860</xdr:rowOff>
                  </from>
                  <to>
                    <xdr:col>5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53340</xdr:colOff>
                    <xdr:row>9</xdr:row>
                    <xdr:rowOff>22860</xdr:rowOff>
                  </from>
                  <to>
                    <xdr:col>5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5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53340</xdr:colOff>
                    <xdr:row>11</xdr:row>
                    <xdr:rowOff>22860</xdr:rowOff>
                  </from>
                  <to>
                    <xdr:col>5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53340</xdr:colOff>
                    <xdr:row>12</xdr:row>
                    <xdr:rowOff>22860</xdr:rowOff>
                  </from>
                  <to>
                    <xdr:col>5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5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53340</xdr:colOff>
                    <xdr:row>14</xdr:row>
                    <xdr:rowOff>22860</xdr:rowOff>
                  </from>
                  <to>
                    <xdr:col>5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53340</xdr:colOff>
                    <xdr:row>15</xdr:row>
                    <xdr:rowOff>22860</xdr:rowOff>
                  </from>
                  <to>
                    <xdr:col>5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5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53340</xdr:colOff>
                    <xdr:row>17</xdr:row>
                    <xdr:rowOff>22860</xdr:rowOff>
                  </from>
                  <to>
                    <xdr:col>5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53340</xdr:colOff>
                    <xdr:row>18</xdr:row>
                    <xdr:rowOff>22860</xdr:rowOff>
                  </from>
                  <to>
                    <xdr:col>5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60960</xdr:colOff>
                    <xdr:row>7</xdr:row>
                    <xdr:rowOff>22860</xdr:rowOff>
                  </from>
                  <to>
                    <xdr:col>6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60960</xdr:colOff>
                    <xdr:row>8</xdr:row>
                    <xdr:rowOff>22860</xdr:rowOff>
                  </from>
                  <to>
                    <xdr:col>6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60960</xdr:colOff>
                    <xdr:row>9</xdr:row>
                    <xdr:rowOff>22860</xdr:rowOff>
                  </from>
                  <to>
                    <xdr:col>6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60960</xdr:colOff>
                    <xdr:row>10</xdr:row>
                    <xdr:rowOff>22860</xdr:rowOff>
                  </from>
                  <to>
                    <xdr:col>6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60960</xdr:colOff>
                    <xdr:row>11</xdr:row>
                    <xdr:rowOff>22860</xdr:rowOff>
                  </from>
                  <to>
                    <xdr:col>6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60960</xdr:colOff>
                    <xdr:row>12</xdr:row>
                    <xdr:rowOff>22860</xdr:rowOff>
                  </from>
                  <to>
                    <xdr:col>6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60960</xdr:colOff>
                    <xdr:row>13</xdr:row>
                    <xdr:rowOff>22860</xdr:rowOff>
                  </from>
                  <to>
                    <xdr:col>6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60960</xdr:colOff>
                    <xdr:row>14</xdr:row>
                    <xdr:rowOff>22860</xdr:rowOff>
                  </from>
                  <to>
                    <xdr:col>6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60960</xdr:colOff>
                    <xdr:row>15</xdr:row>
                    <xdr:rowOff>22860</xdr:rowOff>
                  </from>
                  <to>
                    <xdr:col>6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60960</xdr:colOff>
                    <xdr:row>16</xdr:row>
                    <xdr:rowOff>22860</xdr:rowOff>
                  </from>
                  <to>
                    <xdr:col>6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60960</xdr:colOff>
                    <xdr:row>17</xdr:row>
                    <xdr:rowOff>22860</xdr:rowOff>
                  </from>
                  <to>
                    <xdr:col>6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60960</xdr:colOff>
                    <xdr:row>18</xdr:row>
                    <xdr:rowOff>22860</xdr:rowOff>
                  </from>
                  <to>
                    <xdr:col>6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53340</xdr:colOff>
                    <xdr:row>7</xdr:row>
                    <xdr:rowOff>22860</xdr:rowOff>
                  </from>
                  <to>
                    <xdr:col>8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53340</xdr:colOff>
                    <xdr:row>8</xdr:row>
                    <xdr:rowOff>22860</xdr:rowOff>
                  </from>
                  <to>
                    <xdr:col>8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53340</xdr:colOff>
                    <xdr:row>9</xdr:row>
                    <xdr:rowOff>22860</xdr:rowOff>
                  </from>
                  <to>
                    <xdr:col>8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53340</xdr:colOff>
                    <xdr:row>10</xdr:row>
                    <xdr:rowOff>22860</xdr:rowOff>
                  </from>
                  <to>
                    <xdr:col>8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53340</xdr:colOff>
                    <xdr:row>11</xdr:row>
                    <xdr:rowOff>22860</xdr:rowOff>
                  </from>
                  <to>
                    <xdr:col>8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53340</xdr:colOff>
                    <xdr:row>12</xdr:row>
                    <xdr:rowOff>22860</xdr:rowOff>
                  </from>
                  <to>
                    <xdr:col>8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53340</xdr:colOff>
                    <xdr:row>13</xdr:row>
                    <xdr:rowOff>22860</xdr:rowOff>
                  </from>
                  <to>
                    <xdr:col>8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53340</xdr:colOff>
                    <xdr:row>14</xdr:row>
                    <xdr:rowOff>22860</xdr:rowOff>
                  </from>
                  <to>
                    <xdr:col>8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53340</xdr:colOff>
                    <xdr:row>15</xdr:row>
                    <xdr:rowOff>22860</xdr:rowOff>
                  </from>
                  <to>
                    <xdr:col>8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53340</xdr:colOff>
                    <xdr:row>16</xdr:row>
                    <xdr:rowOff>22860</xdr:rowOff>
                  </from>
                  <to>
                    <xdr:col>8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53340</xdr:colOff>
                    <xdr:row>17</xdr:row>
                    <xdr:rowOff>22860</xdr:rowOff>
                  </from>
                  <to>
                    <xdr:col>8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53340</xdr:colOff>
                    <xdr:row>18</xdr:row>
                    <xdr:rowOff>22860</xdr:rowOff>
                  </from>
                  <to>
                    <xdr:col>8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60960</xdr:colOff>
                    <xdr:row>7</xdr:row>
                    <xdr:rowOff>22860</xdr:rowOff>
                  </from>
                  <to>
                    <xdr:col>9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60960</xdr:colOff>
                    <xdr:row>8</xdr:row>
                    <xdr:rowOff>22860</xdr:rowOff>
                  </from>
                  <to>
                    <xdr:col>9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60960</xdr:colOff>
                    <xdr:row>9</xdr:row>
                    <xdr:rowOff>22860</xdr:rowOff>
                  </from>
                  <to>
                    <xdr:col>9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60960</xdr:colOff>
                    <xdr:row>10</xdr:row>
                    <xdr:rowOff>22860</xdr:rowOff>
                  </from>
                  <to>
                    <xdr:col>9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60960</xdr:colOff>
                    <xdr:row>11</xdr:row>
                    <xdr:rowOff>22860</xdr:rowOff>
                  </from>
                  <to>
                    <xdr:col>9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60960</xdr:colOff>
                    <xdr:row>12</xdr:row>
                    <xdr:rowOff>22860</xdr:rowOff>
                  </from>
                  <to>
                    <xdr:col>9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60960</xdr:colOff>
                    <xdr:row>13</xdr:row>
                    <xdr:rowOff>22860</xdr:rowOff>
                  </from>
                  <to>
                    <xdr:col>9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60960</xdr:colOff>
                    <xdr:row>14</xdr:row>
                    <xdr:rowOff>22860</xdr:rowOff>
                  </from>
                  <to>
                    <xdr:col>9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60960</xdr:colOff>
                    <xdr:row>15</xdr:row>
                    <xdr:rowOff>22860</xdr:rowOff>
                  </from>
                  <to>
                    <xdr:col>9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60960</xdr:colOff>
                    <xdr:row>16</xdr:row>
                    <xdr:rowOff>22860</xdr:rowOff>
                  </from>
                  <to>
                    <xdr:col>9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60960</xdr:colOff>
                    <xdr:row>17</xdr:row>
                    <xdr:rowOff>22860</xdr:rowOff>
                  </from>
                  <to>
                    <xdr:col>9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60960</xdr:colOff>
                    <xdr:row>18</xdr:row>
                    <xdr:rowOff>22860</xdr:rowOff>
                  </from>
                  <to>
                    <xdr:col>9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53340</xdr:colOff>
                    <xdr:row>7</xdr:row>
                    <xdr:rowOff>22860</xdr:rowOff>
                  </from>
                  <to>
                    <xdr:col>11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53340</xdr:colOff>
                    <xdr:row>8</xdr:row>
                    <xdr:rowOff>22860</xdr:rowOff>
                  </from>
                  <to>
                    <xdr:col>11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53340</xdr:colOff>
                    <xdr:row>9</xdr:row>
                    <xdr:rowOff>22860</xdr:rowOff>
                  </from>
                  <to>
                    <xdr:col>11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53340</xdr:colOff>
                    <xdr:row>10</xdr:row>
                    <xdr:rowOff>22860</xdr:rowOff>
                  </from>
                  <to>
                    <xdr:col>11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53340</xdr:colOff>
                    <xdr:row>11</xdr:row>
                    <xdr:rowOff>22860</xdr:rowOff>
                  </from>
                  <to>
                    <xdr:col>11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53340</xdr:colOff>
                    <xdr:row>12</xdr:row>
                    <xdr:rowOff>22860</xdr:rowOff>
                  </from>
                  <to>
                    <xdr:col>11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53340</xdr:colOff>
                    <xdr:row>13</xdr:row>
                    <xdr:rowOff>22860</xdr:rowOff>
                  </from>
                  <to>
                    <xdr:col>11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53340</xdr:colOff>
                    <xdr:row>14</xdr:row>
                    <xdr:rowOff>22860</xdr:rowOff>
                  </from>
                  <to>
                    <xdr:col>11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53340</xdr:colOff>
                    <xdr:row>15</xdr:row>
                    <xdr:rowOff>22860</xdr:rowOff>
                  </from>
                  <to>
                    <xdr:col>11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53340</xdr:colOff>
                    <xdr:row>16</xdr:row>
                    <xdr:rowOff>22860</xdr:rowOff>
                  </from>
                  <to>
                    <xdr:col>11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53340</xdr:colOff>
                    <xdr:row>17</xdr:row>
                    <xdr:rowOff>22860</xdr:rowOff>
                  </from>
                  <to>
                    <xdr:col>11</xdr:col>
                    <xdr:colOff>327660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53340</xdr:colOff>
                    <xdr:row>18</xdr:row>
                    <xdr:rowOff>22860</xdr:rowOff>
                  </from>
                  <to>
                    <xdr:col>11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60960</xdr:colOff>
                    <xdr:row>7</xdr:row>
                    <xdr:rowOff>22860</xdr:rowOff>
                  </from>
                  <to>
                    <xdr:col>12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60960</xdr:colOff>
                    <xdr:row>8</xdr:row>
                    <xdr:rowOff>22860</xdr:rowOff>
                  </from>
                  <to>
                    <xdr:col>12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60960</xdr:colOff>
                    <xdr:row>9</xdr:row>
                    <xdr:rowOff>22860</xdr:rowOff>
                  </from>
                  <to>
                    <xdr:col>12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60960</xdr:colOff>
                    <xdr:row>10</xdr:row>
                    <xdr:rowOff>22860</xdr:rowOff>
                  </from>
                  <to>
                    <xdr:col>12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60960</xdr:colOff>
                    <xdr:row>11</xdr:row>
                    <xdr:rowOff>22860</xdr:rowOff>
                  </from>
                  <to>
                    <xdr:col>12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60960</xdr:colOff>
                    <xdr:row>12</xdr:row>
                    <xdr:rowOff>22860</xdr:rowOff>
                  </from>
                  <to>
                    <xdr:col>12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60960</xdr:colOff>
                    <xdr:row>13</xdr:row>
                    <xdr:rowOff>22860</xdr:rowOff>
                  </from>
                  <to>
                    <xdr:col>12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60960</xdr:colOff>
                    <xdr:row>14</xdr:row>
                    <xdr:rowOff>22860</xdr:rowOff>
                  </from>
                  <to>
                    <xdr:col>12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60960</xdr:colOff>
                    <xdr:row>15</xdr:row>
                    <xdr:rowOff>22860</xdr:rowOff>
                  </from>
                  <to>
                    <xdr:col>12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60960</xdr:colOff>
                    <xdr:row>16</xdr:row>
                    <xdr:rowOff>22860</xdr:rowOff>
                  </from>
                  <to>
                    <xdr:col>12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60960</xdr:colOff>
                    <xdr:row>17</xdr:row>
                    <xdr:rowOff>22860</xdr:rowOff>
                  </from>
                  <to>
                    <xdr:col>12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60960</xdr:colOff>
                    <xdr:row>18</xdr:row>
                    <xdr:rowOff>22860</xdr:rowOff>
                  </from>
                  <to>
                    <xdr:col>12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53340</xdr:colOff>
                    <xdr:row>7</xdr:row>
                    <xdr:rowOff>22860</xdr:rowOff>
                  </from>
                  <to>
                    <xdr:col>14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53340</xdr:colOff>
                    <xdr:row>8</xdr:row>
                    <xdr:rowOff>22860</xdr:rowOff>
                  </from>
                  <to>
                    <xdr:col>14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53340</xdr:colOff>
                    <xdr:row>9</xdr:row>
                    <xdr:rowOff>22860</xdr:rowOff>
                  </from>
                  <to>
                    <xdr:col>14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53340</xdr:colOff>
                    <xdr:row>10</xdr:row>
                    <xdr:rowOff>22860</xdr:rowOff>
                  </from>
                  <to>
                    <xdr:col>14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53340</xdr:colOff>
                    <xdr:row>11</xdr:row>
                    <xdr:rowOff>22860</xdr:rowOff>
                  </from>
                  <to>
                    <xdr:col>14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53340</xdr:colOff>
                    <xdr:row>12</xdr:row>
                    <xdr:rowOff>22860</xdr:rowOff>
                  </from>
                  <to>
                    <xdr:col>14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53340</xdr:colOff>
                    <xdr:row>13</xdr:row>
                    <xdr:rowOff>22860</xdr:rowOff>
                  </from>
                  <to>
                    <xdr:col>14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53340</xdr:colOff>
                    <xdr:row>14</xdr:row>
                    <xdr:rowOff>22860</xdr:rowOff>
                  </from>
                  <to>
                    <xdr:col>14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53340</xdr:colOff>
                    <xdr:row>15</xdr:row>
                    <xdr:rowOff>22860</xdr:rowOff>
                  </from>
                  <to>
                    <xdr:col>14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53340</xdr:colOff>
                    <xdr:row>16</xdr:row>
                    <xdr:rowOff>22860</xdr:rowOff>
                  </from>
                  <to>
                    <xdr:col>14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53340</xdr:colOff>
                    <xdr:row>17</xdr:row>
                    <xdr:rowOff>22860</xdr:rowOff>
                  </from>
                  <to>
                    <xdr:col>14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53340</xdr:colOff>
                    <xdr:row>18</xdr:row>
                    <xdr:rowOff>22860</xdr:rowOff>
                  </from>
                  <to>
                    <xdr:col>14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60960</xdr:colOff>
                    <xdr:row>7</xdr:row>
                    <xdr:rowOff>22860</xdr:rowOff>
                  </from>
                  <to>
                    <xdr:col>15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60960</xdr:colOff>
                    <xdr:row>8</xdr:row>
                    <xdr:rowOff>22860</xdr:rowOff>
                  </from>
                  <to>
                    <xdr:col>15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60960</xdr:colOff>
                    <xdr:row>9</xdr:row>
                    <xdr:rowOff>22860</xdr:rowOff>
                  </from>
                  <to>
                    <xdr:col>15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60960</xdr:colOff>
                    <xdr:row>10</xdr:row>
                    <xdr:rowOff>22860</xdr:rowOff>
                  </from>
                  <to>
                    <xdr:col>15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60960</xdr:colOff>
                    <xdr:row>11</xdr:row>
                    <xdr:rowOff>22860</xdr:rowOff>
                  </from>
                  <to>
                    <xdr:col>15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60960</xdr:colOff>
                    <xdr:row>12</xdr:row>
                    <xdr:rowOff>22860</xdr:rowOff>
                  </from>
                  <to>
                    <xdr:col>15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60960</xdr:colOff>
                    <xdr:row>13</xdr:row>
                    <xdr:rowOff>22860</xdr:rowOff>
                  </from>
                  <to>
                    <xdr:col>15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60960</xdr:colOff>
                    <xdr:row>14</xdr:row>
                    <xdr:rowOff>22860</xdr:rowOff>
                  </from>
                  <to>
                    <xdr:col>15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60960</xdr:colOff>
                    <xdr:row>15</xdr:row>
                    <xdr:rowOff>22860</xdr:rowOff>
                  </from>
                  <to>
                    <xdr:col>15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60960</xdr:colOff>
                    <xdr:row>16</xdr:row>
                    <xdr:rowOff>22860</xdr:rowOff>
                  </from>
                  <to>
                    <xdr:col>15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60960</xdr:colOff>
                    <xdr:row>17</xdr:row>
                    <xdr:rowOff>22860</xdr:rowOff>
                  </from>
                  <to>
                    <xdr:col>15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60960</xdr:colOff>
                    <xdr:row>18</xdr:row>
                    <xdr:rowOff>22860</xdr:rowOff>
                  </from>
                  <to>
                    <xdr:col>15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53340</xdr:colOff>
                    <xdr:row>7</xdr:row>
                    <xdr:rowOff>22860</xdr:rowOff>
                  </from>
                  <to>
                    <xdr:col>17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53340</xdr:colOff>
                    <xdr:row>8</xdr:row>
                    <xdr:rowOff>22860</xdr:rowOff>
                  </from>
                  <to>
                    <xdr:col>17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53340</xdr:colOff>
                    <xdr:row>9</xdr:row>
                    <xdr:rowOff>22860</xdr:rowOff>
                  </from>
                  <to>
                    <xdr:col>17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53340</xdr:colOff>
                    <xdr:row>10</xdr:row>
                    <xdr:rowOff>22860</xdr:rowOff>
                  </from>
                  <to>
                    <xdr:col>17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53340</xdr:colOff>
                    <xdr:row>11</xdr:row>
                    <xdr:rowOff>22860</xdr:rowOff>
                  </from>
                  <to>
                    <xdr:col>17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53340</xdr:colOff>
                    <xdr:row>12</xdr:row>
                    <xdr:rowOff>22860</xdr:rowOff>
                  </from>
                  <to>
                    <xdr:col>17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53340</xdr:colOff>
                    <xdr:row>13</xdr:row>
                    <xdr:rowOff>22860</xdr:rowOff>
                  </from>
                  <to>
                    <xdr:col>17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53340</xdr:colOff>
                    <xdr:row>14</xdr:row>
                    <xdr:rowOff>22860</xdr:rowOff>
                  </from>
                  <to>
                    <xdr:col>17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53340</xdr:colOff>
                    <xdr:row>15</xdr:row>
                    <xdr:rowOff>22860</xdr:rowOff>
                  </from>
                  <to>
                    <xdr:col>17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53340</xdr:colOff>
                    <xdr:row>16</xdr:row>
                    <xdr:rowOff>22860</xdr:rowOff>
                  </from>
                  <to>
                    <xdr:col>17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53340</xdr:colOff>
                    <xdr:row>17</xdr:row>
                    <xdr:rowOff>22860</xdr:rowOff>
                  </from>
                  <to>
                    <xdr:col>17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53340</xdr:colOff>
                    <xdr:row>18</xdr:row>
                    <xdr:rowOff>22860</xdr:rowOff>
                  </from>
                  <to>
                    <xdr:col>17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60960</xdr:colOff>
                    <xdr:row>7</xdr:row>
                    <xdr:rowOff>22860</xdr:rowOff>
                  </from>
                  <to>
                    <xdr:col>18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60960</xdr:colOff>
                    <xdr:row>8</xdr:row>
                    <xdr:rowOff>22860</xdr:rowOff>
                  </from>
                  <to>
                    <xdr:col>18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60960</xdr:colOff>
                    <xdr:row>9</xdr:row>
                    <xdr:rowOff>22860</xdr:rowOff>
                  </from>
                  <to>
                    <xdr:col>18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60960</xdr:colOff>
                    <xdr:row>10</xdr:row>
                    <xdr:rowOff>22860</xdr:rowOff>
                  </from>
                  <to>
                    <xdr:col>18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60960</xdr:colOff>
                    <xdr:row>11</xdr:row>
                    <xdr:rowOff>22860</xdr:rowOff>
                  </from>
                  <to>
                    <xdr:col>18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60960</xdr:colOff>
                    <xdr:row>12</xdr:row>
                    <xdr:rowOff>22860</xdr:rowOff>
                  </from>
                  <to>
                    <xdr:col>18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60960</xdr:colOff>
                    <xdr:row>13</xdr:row>
                    <xdr:rowOff>22860</xdr:rowOff>
                  </from>
                  <to>
                    <xdr:col>18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60960</xdr:colOff>
                    <xdr:row>14</xdr:row>
                    <xdr:rowOff>22860</xdr:rowOff>
                  </from>
                  <to>
                    <xdr:col>18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60960</xdr:colOff>
                    <xdr:row>15</xdr:row>
                    <xdr:rowOff>22860</xdr:rowOff>
                  </from>
                  <to>
                    <xdr:col>18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60960</xdr:colOff>
                    <xdr:row>16</xdr:row>
                    <xdr:rowOff>22860</xdr:rowOff>
                  </from>
                  <to>
                    <xdr:col>18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60960</xdr:colOff>
                    <xdr:row>17</xdr:row>
                    <xdr:rowOff>22860</xdr:rowOff>
                  </from>
                  <to>
                    <xdr:col>18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60960</xdr:colOff>
                    <xdr:row>18</xdr:row>
                    <xdr:rowOff>22860</xdr:rowOff>
                  </from>
                  <to>
                    <xdr:col>18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53340</xdr:colOff>
                    <xdr:row>7</xdr:row>
                    <xdr:rowOff>22860</xdr:rowOff>
                  </from>
                  <to>
                    <xdr:col>20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53340</xdr:colOff>
                    <xdr:row>8</xdr:row>
                    <xdr:rowOff>22860</xdr:rowOff>
                  </from>
                  <to>
                    <xdr:col>20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53340</xdr:colOff>
                    <xdr:row>9</xdr:row>
                    <xdr:rowOff>22860</xdr:rowOff>
                  </from>
                  <to>
                    <xdr:col>20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53340</xdr:colOff>
                    <xdr:row>10</xdr:row>
                    <xdr:rowOff>22860</xdr:rowOff>
                  </from>
                  <to>
                    <xdr:col>20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53340</xdr:colOff>
                    <xdr:row>11</xdr:row>
                    <xdr:rowOff>22860</xdr:rowOff>
                  </from>
                  <to>
                    <xdr:col>20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53340</xdr:colOff>
                    <xdr:row>12</xdr:row>
                    <xdr:rowOff>22860</xdr:rowOff>
                  </from>
                  <to>
                    <xdr:col>20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53340</xdr:colOff>
                    <xdr:row>13</xdr:row>
                    <xdr:rowOff>22860</xdr:rowOff>
                  </from>
                  <to>
                    <xdr:col>20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53340</xdr:colOff>
                    <xdr:row>14</xdr:row>
                    <xdr:rowOff>22860</xdr:rowOff>
                  </from>
                  <to>
                    <xdr:col>20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53340</xdr:colOff>
                    <xdr:row>15</xdr:row>
                    <xdr:rowOff>22860</xdr:rowOff>
                  </from>
                  <to>
                    <xdr:col>20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53340</xdr:colOff>
                    <xdr:row>16</xdr:row>
                    <xdr:rowOff>22860</xdr:rowOff>
                  </from>
                  <to>
                    <xdr:col>20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53340</xdr:colOff>
                    <xdr:row>17</xdr:row>
                    <xdr:rowOff>22860</xdr:rowOff>
                  </from>
                  <to>
                    <xdr:col>20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20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60960</xdr:colOff>
                    <xdr:row>22</xdr:row>
                    <xdr:rowOff>22860</xdr:rowOff>
                  </from>
                  <to>
                    <xdr:col>3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53340</xdr:colOff>
                    <xdr:row>22</xdr:row>
                    <xdr:rowOff>22860</xdr:rowOff>
                  </from>
                  <to>
                    <xdr:col>5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60960</xdr:colOff>
                    <xdr:row>22</xdr:row>
                    <xdr:rowOff>22860</xdr:rowOff>
                  </from>
                  <to>
                    <xdr:col>6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53340</xdr:colOff>
                    <xdr:row>22</xdr:row>
                    <xdr:rowOff>22860</xdr:rowOff>
                  </from>
                  <to>
                    <xdr:col>8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60960</xdr:colOff>
                    <xdr:row>22</xdr:row>
                    <xdr:rowOff>22860</xdr:rowOff>
                  </from>
                  <to>
                    <xdr:col>9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53340</xdr:colOff>
                    <xdr:row>22</xdr:row>
                    <xdr:rowOff>22860</xdr:rowOff>
                  </from>
                  <to>
                    <xdr:col>11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60960</xdr:colOff>
                    <xdr:row>22</xdr:row>
                    <xdr:rowOff>22860</xdr:rowOff>
                  </from>
                  <to>
                    <xdr:col>12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53340</xdr:colOff>
                    <xdr:row>22</xdr:row>
                    <xdr:rowOff>22860</xdr:rowOff>
                  </from>
                  <to>
                    <xdr:col>14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60960</xdr:colOff>
                    <xdr:row>22</xdr:row>
                    <xdr:rowOff>22860</xdr:rowOff>
                  </from>
                  <to>
                    <xdr:col>15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53340</xdr:colOff>
                    <xdr:row>22</xdr:row>
                    <xdr:rowOff>22860</xdr:rowOff>
                  </from>
                  <to>
                    <xdr:col>17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60960</xdr:colOff>
                    <xdr:row>22</xdr:row>
                    <xdr:rowOff>22860</xdr:rowOff>
                  </from>
                  <to>
                    <xdr:col>18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53340</xdr:colOff>
                    <xdr:row>22</xdr:row>
                    <xdr:rowOff>22860</xdr:rowOff>
                  </from>
                  <to>
                    <xdr:col>20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60960</xdr:colOff>
                    <xdr:row>24</xdr:row>
                    <xdr:rowOff>22860</xdr:rowOff>
                  </from>
                  <to>
                    <xdr:col>3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53340</xdr:colOff>
                    <xdr:row>24</xdr:row>
                    <xdr:rowOff>22860</xdr:rowOff>
                  </from>
                  <to>
                    <xdr:col>5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60960</xdr:colOff>
                    <xdr:row>24</xdr:row>
                    <xdr:rowOff>22860</xdr:rowOff>
                  </from>
                  <to>
                    <xdr:col>6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53340</xdr:colOff>
                    <xdr:row>24</xdr:row>
                    <xdr:rowOff>22860</xdr:rowOff>
                  </from>
                  <to>
                    <xdr:col>8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60960</xdr:colOff>
                    <xdr:row>24</xdr:row>
                    <xdr:rowOff>22860</xdr:rowOff>
                  </from>
                  <to>
                    <xdr:col>9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53340</xdr:colOff>
                    <xdr:row>24</xdr:row>
                    <xdr:rowOff>22860</xdr:rowOff>
                  </from>
                  <to>
                    <xdr:col>11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60960</xdr:colOff>
                    <xdr:row>24</xdr:row>
                    <xdr:rowOff>22860</xdr:rowOff>
                  </from>
                  <to>
                    <xdr:col>12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53340</xdr:colOff>
                    <xdr:row>24</xdr:row>
                    <xdr:rowOff>22860</xdr:rowOff>
                  </from>
                  <to>
                    <xdr:col>14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60960</xdr:colOff>
                    <xdr:row>24</xdr:row>
                    <xdr:rowOff>22860</xdr:rowOff>
                  </from>
                  <to>
                    <xdr:col>15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53340</xdr:colOff>
                    <xdr:row>24</xdr:row>
                    <xdr:rowOff>22860</xdr:rowOff>
                  </from>
                  <to>
                    <xdr:col>17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60960</xdr:colOff>
                    <xdr:row>24</xdr:row>
                    <xdr:rowOff>22860</xdr:rowOff>
                  </from>
                  <to>
                    <xdr:col>18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53340</xdr:colOff>
                    <xdr:row>24</xdr:row>
                    <xdr:rowOff>22860</xdr:rowOff>
                  </from>
                  <to>
                    <xdr:col>20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60960</xdr:colOff>
                    <xdr:row>25</xdr:row>
                    <xdr:rowOff>22860</xdr:rowOff>
                  </from>
                  <to>
                    <xdr:col>3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60960</xdr:colOff>
                    <xdr:row>26</xdr:row>
                    <xdr:rowOff>22860</xdr:rowOff>
                  </from>
                  <to>
                    <xdr:col>3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60960</xdr:colOff>
                    <xdr:row>27</xdr:row>
                    <xdr:rowOff>22860</xdr:rowOff>
                  </from>
                  <to>
                    <xdr:col>3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60960</xdr:colOff>
                    <xdr:row>28</xdr:row>
                    <xdr:rowOff>22860</xdr:rowOff>
                  </from>
                  <to>
                    <xdr:col>3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60960</xdr:colOff>
                    <xdr:row>29</xdr:row>
                    <xdr:rowOff>22860</xdr:rowOff>
                  </from>
                  <to>
                    <xdr:col>3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60960</xdr:colOff>
                    <xdr:row>30</xdr:row>
                    <xdr:rowOff>22860</xdr:rowOff>
                  </from>
                  <to>
                    <xdr:col>3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60960</xdr:colOff>
                    <xdr:row>31</xdr:row>
                    <xdr:rowOff>22860</xdr:rowOff>
                  </from>
                  <to>
                    <xdr:col>3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60960</xdr:colOff>
                    <xdr:row>32</xdr:row>
                    <xdr:rowOff>22860</xdr:rowOff>
                  </from>
                  <to>
                    <xdr:col>3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60960</xdr:colOff>
                    <xdr:row>33</xdr:row>
                    <xdr:rowOff>22860</xdr:rowOff>
                  </from>
                  <to>
                    <xdr:col>3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60960</xdr:colOff>
                    <xdr:row>34</xdr:row>
                    <xdr:rowOff>22860</xdr:rowOff>
                  </from>
                  <to>
                    <xdr:col>3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60960</xdr:colOff>
                    <xdr:row>35</xdr:row>
                    <xdr:rowOff>22860</xdr:rowOff>
                  </from>
                  <to>
                    <xdr:col>3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60960</xdr:colOff>
                    <xdr:row>36</xdr:row>
                    <xdr:rowOff>22860</xdr:rowOff>
                  </from>
                  <to>
                    <xdr:col>3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53340</xdr:colOff>
                    <xdr:row>25</xdr:row>
                    <xdr:rowOff>22860</xdr:rowOff>
                  </from>
                  <to>
                    <xdr:col>5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53340</xdr:colOff>
                    <xdr:row>26</xdr:row>
                    <xdr:rowOff>22860</xdr:rowOff>
                  </from>
                  <to>
                    <xdr:col>5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53340</xdr:colOff>
                    <xdr:row>27</xdr:row>
                    <xdr:rowOff>22860</xdr:rowOff>
                  </from>
                  <to>
                    <xdr:col>5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53340</xdr:colOff>
                    <xdr:row>28</xdr:row>
                    <xdr:rowOff>22860</xdr:rowOff>
                  </from>
                  <to>
                    <xdr:col>5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53340</xdr:colOff>
                    <xdr:row>29</xdr:row>
                    <xdr:rowOff>22860</xdr:rowOff>
                  </from>
                  <to>
                    <xdr:col>5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53340</xdr:colOff>
                    <xdr:row>30</xdr:row>
                    <xdr:rowOff>22860</xdr:rowOff>
                  </from>
                  <to>
                    <xdr:col>5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53340</xdr:colOff>
                    <xdr:row>31</xdr:row>
                    <xdr:rowOff>22860</xdr:rowOff>
                  </from>
                  <to>
                    <xdr:col>5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53340</xdr:colOff>
                    <xdr:row>32</xdr:row>
                    <xdr:rowOff>22860</xdr:rowOff>
                  </from>
                  <to>
                    <xdr:col>5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53340</xdr:colOff>
                    <xdr:row>33</xdr:row>
                    <xdr:rowOff>22860</xdr:rowOff>
                  </from>
                  <to>
                    <xdr:col>5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53340</xdr:colOff>
                    <xdr:row>34</xdr:row>
                    <xdr:rowOff>22860</xdr:rowOff>
                  </from>
                  <to>
                    <xdr:col>5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53340</xdr:colOff>
                    <xdr:row>35</xdr:row>
                    <xdr:rowOff>22860</xdr:rowOff>
                  </from>
                  <to>
                    <xdr:col>5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53340</xdr:colOff>
                    <xdr:row>36</xdr:row>
                    <xdr:rowOff>22860</xdr:rowOff>
                  </from>
                  <to>
                    <xdr:col>5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60960</xdr:colOff>
                    <xdr:row>25</xdr:row>
                    <xdr:rowOff>22860</xdr:rowOff>
                  </from>
                  <to>
                    <xdr:col>6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60960</xdr:colOff>
                    <xdr:row>26</xdr:row>
                    <xdr:rowOff>22860</xdr:rowOff>
                  </from>
                  <to>
                    <xdr:col>6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60960</xdr:colOff>
                    <xdr:row>27</xdr:row>
                    <xdr:rowOff>22860</xdr:rowOff>
                  </from>
                  <to>
                    <xdr:col>6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60960</xdr:colOff>
                    <xdr:row>28</xdr:row>
                    <xdr:rowOff>22860</xdr:rowOff>
                  </from>
                  <to>
                    <xdr:col>6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60960</xdr:colOff>
                    <xdr:row>29</xdr:row>
                    <xdr:rowOff>22860</xdr:rowOff>
                  </from>
                  <to>
                    <xdr:col>6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60960</xdr:colOff>
                    <xdr:row>30</xdr:row>
                    <xdr:rowOff>22860</xdr:rowOff>
                  </from>
                  <to>
                    <xdr:col>6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60960</xdr:colOff>
                    <xdr:row>31</xdr:row>
                    <xdr:rowOff>22860</xdr:rowOff>
                  </from>
                  <to>
                    <xdr:col>6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60960</xdr:colOff>
                    <xdr:row>32</xdr:row>
                    <xdr:rowOff>22860</xdr:rowOff>
                  </from>
                  <to>
                    <xdr:col>6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60960</xdr:colOff>
                    <xdr:row>33</xdr:row>
                    <xdr:rowOff>22860</xdr:rowOff>
                  </from>
                  <to>
                    <xdr:col>6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60960</xdr:colOff>
                    <xdr:row>34</xdr:row>
                    <xdr:rowOff>22860</xdr:rowOff>
                  </from>
                  <to>
                    <xdr:col>6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60960</xdr:colOff>
                    <xdr:row>35</xdr:row>
                    <xdr:rowOff>22860</xdr:rowOff>
                  </from>
                  <to>
                    <xdr:col>6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60960</xdr:colOff>
                    <xdr:row>36</xdr:row>
                    <xdr:rowOff>22860</xdr:rowOff>
                  </from>
                  <to>
                    <xdr:col>6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53340</xdr:colOff>
                    <xdr:row>25</xdr:row>
                    <xdr:rowOff>22860</xdr:rowOff>
                  </from>
                  <to>
                    <xdr:col>8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53340</xdr:colOff>
                    <xdr:row>26</xdr:row>
                    <xdr:rowOff>22860</xdr:rowOff>
                  </from>
                  <to>
                    <xdr:col>8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53340</xdr:colOff>
                    <xdr:row>27</xdr:row>
                    <xdr:rowOff>22860</xdr:rowOff>
                  </from>
                  <to>
                    <xdr:col>8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53340</xdr:colOff>
                    <xdr:row>28</xdr:row>
                    <xdr:rowOff>22860</xdr:rowOff>
                  </from>
                  <to>
                    <xdr:col>8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53340</xdr:colOff>
                    <xdr:row>29</xdr:row>
                    <xdr:rowOff>22860</xdr:rowOff>
                  </from>
                  <to>
                    <xdr:col>8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53340</xdr:colOff>
                    <xdr:row>30</xdr:row>
                    <xdr:rowOff>22860</xdr:rowOff>
                  </from>
                  <to>
                    <xdr:col>8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53340</xdr:colOff>
                    <xdr:row>31</xdr:row>
                    <xdr:rowOff>22860</xdr:rowOff>
                  </from>
                  <to>
                    <xdr:col>8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53340</xdr:colOff>
                    <xdr:row>32</xdr:row>
                    <xdr:rowOff>22860</xdr:rowOff>
                  </from>
                  <to>
                    <xdr:col>8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53340</xdr:colOff>
                    <xdr:row>33</xdr:row>
                    <xdr:rowOff>22860</xdr:rowOff>
                  </from>
                  <to>
                    <xdr:col>8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53340</xdr:colOff>
                    <xdr:row>34</xdr:row>
                    <xdr:rowOff>22860</xdr:rowOff>
                  </from>
                  <to>
                    <xdr:col>8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53340</xdr:colOff>
                    <xdr:row>35</xdr:row>
                    <xdr:rowOff>22860</xdr:rowOff>
                  </from>
                  <to>
                    <xdr:col>8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53340</xdr:colOff>
                    <xdr:row>36</xdr:row>
                    <xdr:rowOff>22860</xdr:rowOff>
                  </from>
                  <to>
                    <xdr:col>8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60960</xdr:colOff>
                    <xdr:row>25</xdr:row>
                    <xdr:rowOff>22860</xdr:rowOff>
                  </from>
                  <to>
                    <xdr:col>9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60960</xdr:colOff>
                    <xdr:row>26</xdr:row>
                    <xdr:rowOff>22860</xdr:rowOff>
                  </from>
                  <to>
                    <xdr:col>9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60960</xdr:colOff>
                    <xdr:row>27</xdr:row>
                    <xdr:rowOff>22860</xdr:rowOff>
                  </from>
                  <to>
                    <xdr:col>9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60960</xdr:colOff>
                    <xdr:row>28</xdr:row>
                    <xdr:rowOff>22860</xdr:rowOff>
                  </from>
                  <to>
                    <xdr:col>9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60960</xdr:colOff>
                    <xdr:row>29</xdr:row>
                    <xdr:rowOff>22860</xdr:rowOff>
                  </from>
                  <to>
                    <xdr:col>9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60960</xdr:colOff>
                    <xdr:row>30</xdr:row>
                    <xdr:rowOff>22860</xdr:rowOff>
                  </from>
                  <to>
                    <xdr:col>9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60960</xdr:colOff>
                    <xdr:row>31</xdr:row>
                    <xdr:rowOff>22860</xdr:rowOff>
                  </from>
                  <to>
                    <xdr:col>9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60960</xdr:colOff>
                    <xdr:row>32</xdr:row>
                    <xdr:rowOff>22860</xdr:rowOff>
                  </from>
                  <to>
                    <xdr:col>9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60960</xdr:colOff>
                    <xdr:row>33</xdr:row>
                    <xdr:rowOff>22860</xdr:rowOff>
                  </from>
                  <to>
                    <xdr:col>9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60960</xdr:colOff>
                    <xdr:row>34</xdr:row>
                    <xdr:rowOff>22860</xdr:rowOff>
                  </from>
                  <to>
                    <xdr:col>9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60960</xdr:colOff>
                    <xdr:row>35</xdr:row>
                    <xdr:rowOff>22860</xdr:rowOff>
                  </from>
                  <to>
                    <xdr:col>9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60960</xdr:colOff>
                    <xdr:row>36</xdr:row>
                    <xdr:rowOff>22860</xdr:rowOff>
                  </from>
                  <to>
                    <xdr:col>9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53340</xdr:colOff>
                    <xdr:row>25</xdr:row>
                    <xdr:rowOff>22860</xdr:rowOff>
                  </from>
                  <to>
                    <xdr:col>11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53340</xdr:colOff>
                    <xdr:row>26</xdr:row>
                    <xdr:rowOff>22860</xdr:rowOff>
                  </from>
                  <to>
                    <xdr:col>11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53340</xdr:colOff>
                    <xdr:row>27</xdr:row>
                    <xdr:rowOff>22860</xdr:rowOff>
                  </from>
                  <to>
                    <xdr:col>11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53340</xdr:colOff>
                    <xdr:row>28</xdr:row>
                    <xdr:rowOff>22860</xdr:rowOff>
                  </from>
                  <to>
                    <xdr:col>11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53340</xdr:colOff>
                    <xdr:row>29</xdr:row>
                    <xdr:rowOff>22860</xdr:rowOff>
                  </from>
                  <to>
                    <xdr:col>11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53340</xdr:colOff>
                    <xdr:row>30</xdr:row>
                    <xdr:rowOff>22860</xdr:rowOff>
                  </from>
                  <to>
                    <xdr:col>11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53340</xdr:colOff>
                    <xdr:row>31</xdr:row>
                    <xdr:rowOff>22860</xdr:rowOff>
                  </from>
                  <to>
                    <xdr:col>11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53340</xdr:colOff>
                    <xdr:row>32</xdr:row>
                    <xdr:rowOff>22860</xdr:rowOff>
                  </from>
                  <to>
                    <xdr:col>11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53340</xdr:colOff>
                    <xdr:row>33</xdr:row>
                    <xdr:rowOff>22860</xdr:rowOff>
                  </from>
                  <to>
                    <xdr:col>11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53340</xdr:colOff>
                    <xdr:row>34</xdr:row>
                    <xdr:rowOff>22860</xdr:rowOff>
                  </from>
                  <to>
                    <xdr:col>11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53340</xdr:colOff>
                    <xdr:row>35</xdr:row>
                    <xdr:rowOff>22860</xdr:rowOff>
                  </from>
                  <to>
                    <xdr:col>11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53340</xdr:colOff>
                    <xdr:row>36</xdr:row>
                    <xdr:rowOff>22860</xdr:rowOff>
                  </from>
                  <to>
                    <xdr:col>11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60960</xdr:colOff>
                    <xdr:row>25</xdr:row>
                    <xdr:rowOff>22860</xdr:rowOff>
                  </from>
                  <to>
                    <xdr:col>12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60960</xdr:colOff>
                    <xdr:row>26</xdr:row>
                    <xdr:rowOff>22860</xdr:rowOff>
                  </from>
                  <to>
                    <xdr:col>12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60960</xdr:colOff>
                    <xdr:row>27</xdr:row>
                    <xdr:rowOff>22860</xdr:rowOff>
                  </from>
                  <to>
                    <xdr:col>12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60960</xdr:colOff>
                    <xdr:row>28</xdr:row>
                    <xdr:rowOff>22860</xdr:rowOff>
                  </from>
                  <to>
                    <xdr:col>12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60960</xdr:colOff>
                    <xdr:row>29</xdr:row>
                    <xdr:rowOff>22860</xdr:rowOff>
                  </from>
                  <to>
                    <xdr:col>12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60960</xdr:colOff>
                    <xdr:row>30</xdr:row>
                    <xdr:rowOff>22860</xdr:rowOff>
                  </from>
                  <to>
                    <xdr:col>12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60960</xdr:colOff>
                    <xdr:row>31</xdr:row>
                    <xdr:rowOff>22860</xdr:rowOff>
                  </from>
                  <to>
                    <xdr:col>12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60960</xdr:colOff>
                    <xdr:row>32</xdr:row>
                    <xdr:rowOff>22860</xdr:rowOff>
                  </from>
                  <to>
                    <xdr:col>12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60960</xdr:colOff>
                    <xdr:row>33</xdr:row>
                    <xdr:rowOff>22860</xdr:rowOff>
                  </from>
                  <to>
                    <xdr:col>12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60960</xdr:colOff>
                    <xdr:row>34</xdr:row>
                    <xdr:rowOff>22860</xdr:rowOff>
                  </from>
                  <to>
                    <xdr:col>12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60960</xdr:colOff>
                    <xdr:row>35</xdr:row>
                    <xdr:rowOff>22860</xdr:rowOff>
                  </from>
                  <to>
                    <xdr:col>12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60960</xdr:colOff>
                    <xdr:row>36</xdr:row>
                    <xdr:rowOff>22860</xdr:rowOff>
                  </from>
                  <to>
                    <xdr:col>12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53340</xdr:colOff>
                    <xdr:row>25</xdr:row>
                    <xdr:rowOff>22860</xdr:rowOff>
                  </from>
                  <to>
                    <xdr:col>14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53340</xdr:colOff>
                    <xdr:row>26</xdr:row>
                    <xdr:rowOff>22860</xdr:rowOff>
                  </from>
                  <to>
                    <xdr:col>14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53340</xdr:colOff>
                    <xdr:row>27</xdr:row>
                    <xdr:rowOff>22860</xdr:rowOff>
                  </from>
                  <to>
                    <xdr:col>14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53340</xdr:colOff>
                    <xdr:row>28</xdr:row>
                    <xdr:rowOff>22860</xdr:rowOff>
                  </from>
                  <to>
                    <xdr:col>14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53340</xdr:colOff>
                    <xdr:row>29</xdr:row>
                    <xdr:rowOff>22860</xdr:rowOff>
                  </from>
                  <to>
                    <xdr:col>14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53340</xdr:colOff>
                    <xdr:row>30</xdr:row>
                    <xdr:rowOff>22860</xdr:rowOff>
                  </from>
                  <to>
                    <xdr:col>14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53340</xdr:colOff>
                    <xdr:row>31</xdr:row>
                    <xdr:rowOff>22860</xdr:rowOff>
                  </from>
                  <to>
                    <xdr:col>14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53340</xdr:colOff>
                    <xdr:row>32</xdr:row>
                    <xdr:rowOff>22860</xdr:rowOff>
                  </from>
                  <to>
                    <xdr:col>14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53340</xdr:colOff>
                    <xdr:row>33</xdr:row>
                    <xdr:rowOff>22860</xdr:rowOff>
                  </from>
                  <to>
                    <xdr:col>14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53340</xdr:colOff>
                    <xdr:row>34</xdr:row>
                    <xdr:rowOff>22860</xdr:rowOff>
                  </from>
                  <to>
                    <xdr:col>14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53340</xdr:colOff>
                    <xdr:row>35</xdr:row>
                    <xdr:rowOff>22860</xdr:rowOff>
                  </from>
                  <to>
                    <xdr:col>14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53340</xdr:colOff>
                    <xdr:row>36</xdr:row>
                    <xdr:rowOff>22860</xdr:rowOff>
                  </from>
                  <to>
                    <xdr:col>14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60960</xdr:colOff>
                    <xdr:row>25</xdr:row>
                    <xdr:rowOff>22860</xdr:rowOff>
                  </from>
                  <to>
                    <xdr:col>15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60960</xdr:colOff>
                    <xdr:row>26</xdr:row>
                    <xdr:rowOff>22860</xdr:rowOff>
                  </from>
                  <to>
                    <xdr:col>15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60960</xdr:colOff>
                    <xdr:row>27</xdr:row>
                    <xdr:rowOff>22860</xdr:rowOff>
                  </from>
                  <to>
                    <xdr:col>15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60960</xdr:colOff>
                    <xdr:row>28</xdr:row>
                    <xdr:rowOff>22860</xdr:rowOff>
                  </from>
                  <to>
                    <xdr:col>15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60960</xdr:colOff>
                    <xdr:row>29</xdr:row>
                    <xdr:rowOff>22860</xdr:rowOff>
                  </from>
                  <to>
                    <xdr:col>15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60960</xdr:colOff>
                    <xdr:row>30</xdr:row>
                    <xdr:rowOff>22860</xdr:rowOff>
                  </from>
                  <to>
                    <xdr:col>15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60960</xdr:colOff>
                    <xdr:row>31</xdr:row>
                    <xdr:rowOff>22860</xdr:rowOff>
                  </from>
                  <to>
                    <xdr:col>15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60960</xdr:colOff>
                    <xdr:row>32</xdr:row>
                    <xdr:rowOff>22860</xdr:rowOff>
                  </from>
                  <to>
                    <xdr:col>15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60960</xdr:colOff>
                    <xdr:row>33</xdr:row>
                    <xdr:rowOff>22860</xdr:rowOff>
                  </from>
                  <to>
                    <xdr:col>15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60960</xdr:colOff>
                    <xdr:row>34</xdr:row>
                    <xdr:rowOff>22860</xdr:rowOff>
                  </from>
                  <to>
                    <xdr:col>15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60960</xdr:colOff>
                    <xdr:row>35</xdr:row>
                    <xdr:rowOff>22860</xdr:rowOff>
                  </from>
                  <to>
                    <xdr:col>15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60960</xdr:colOff>
                    <xdr:row>36</xdr:row>
                    <xdr:rowOff>22860</xdr:rowOff>
                  </from>
                  <to>
                    <xdr:col>15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53340</xdr:colOff>
                    <xdr:row>25</xdr:row>
                    <xdr:rowOff>22860</xdr:rowOff>
                  </from>
                  <to>
                    <xdr:col>17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53340</xdr:colOff>
                    <xdr:row>26</xdr:row>
                    <xdr:rowOff>22860</xdr:rowOff>
                  </from>
                  <to>
                    <xdr:col>17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53340</xdr:colOff>
                    <xdr:row>27</xdr:row>
                    <xdr:rowOff>22860</xdr:rowOff>
                  </from>
                  <to>
                    <xdr:col>17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53340</xdr:colOff>
                    <xdr:row>28</xdr:row>
                    <xdr:rowOff>22860</xdr:rowOff>
                  </from>
                  <to>
                    <xdr:col>17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53340</xdr:colOff>
                    <xdr:row>29</xdr:row>
                    <xdr:rowOff>22860</xdr:rowOff>
                  </from>
                  <to>
                    <xdr:col>17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53340</xdr:colOff>
                    <xdr:row>30</xdr:row>
                    <xdr:rowOff>22860</xdr:rowOff>
                  </from>
                  <to>
                    <xdr:col>17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53340</xdr:colOff>
                    <xdr:row>31</xdr:row>
                    <xdr:rowOff>22860</xdr:rowOff>
                  </from>
                  <to>
                    <xdr:col>17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53340</xdr:colOff>
                    <xdr:row>32</xdr:row>
                    <xdr:rowOff>22860</xdr:rowOff>
                  </from>
                  <to>
                    <xdr:col>17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53340</xdr:colOff>
                    <xdr:row>33</xdr:row>
                    <xdr:rowOff>22860</xdr:rowOff>
                  </from>
                  <to>
                    <xdr:col>17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53340</xdr:colOff>
                    <xdr:row>34</xdr:row>
                    <xdr:rowOff>22860</xdr:rowOff>
                  </from>
                  <to>
                    <xdr:col>17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53340</xdr:colOff>
                    <xdr:row>35</xdr:row>
                    <xdr:rowOff>22860</xdr:rowOff>
                  </from>
                  <to>
                    <xdr:col>17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53340</xdr:colOff>
                    <xdr:row>36</xdr:row>
                    <xdr:rowOff>22860</xdr:rowOff>
                  </from>
                  <to>
                    <xdr:col>17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60960</xdr:colOff>
                    <xdr:row>25</xdr:row>
                    <xdr:rowOff>22860</xdr:rowOff>
                  </from>
                  <to>
                    <xdr:col>18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60960</xdr:colOff>
                    <xdr:row>26</xdr:row>
                    <xdr:rowOff>22860</xdr:rowOff>
                  </from>
                  <to>
                    <xdr:col>18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60960</xdr:colOff>
                    <xdr:row>27</xdr:row>
                    <xdr:rowOff>22860</xdr:rowOff>
                  </from>
                  <to>
                    <xdr:col>18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60960</xdr:colOff>
                    <xdr:row>28</xdr:row>
                    <xdr:rowOff>22860</xdr:rowOff>
                  </from>
                  <to>
                    <xdr:col>18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60960</xdr:colOff>
                    <xdr:row>29</xdr:row>
                    <xdr:rowOff>22860</xdr:rowOff>
                  </from>
                  <to>
                    <xdr:col>18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60960</xdr:colOff>
                    <xdr:row>30</xdr:row>
                    <xdr:rowOff>22860</xdr:rowOff>
                  </from>
                  <to>
                    <xdr:col>18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60960</xdr:colOff>
                    <xdr:row>31</xdr:row>
                    <xdr:rowOff>22860</xdr:rowOff>
                  </from>
                  <to>
                    <xdr:col>18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60960</xdr:colOff>
                    <xdr:row>32</xdr:row>
                    <xdr:rowOff>22860</xdr:rowOff>
                  </from>
                  <to>
                    <xdr:col>18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60960</xdr:colOff>
                    <xdr:row>33</xdr:row>
                    <xdr:rowOff>22860</xdr:rowOff>
                  </from>
                  <to>
                    <xdr:col>18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60960</xdr:colOff>
                    <xdr:row>34</xdr:row>
                    <xdr:rowOff>22860</xdr:rowOff>
                  </from>
                  <to>
                    <xdr:col>18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60960</xdr:colOff>
                    <xdr:row>35</xdr:row>
                    <xdr:rowOff>22860</xdr:rowOff>
                  </from>
                  <to>
                    <xdr:col>18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60960</xdr:colOff>
                    <xdr:row>36</xdr:row>
                    <xdr:rowOff>22860</xdr:rowOff>
                  </from>
                  <to>
                    <xdr:col>18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53340</xdr:colOff>
                    <xdr:row>25</xdr:row>
                    <xdr:rowOff>22860</xdr:rowOff>
                  </from>
                  <to>
                    <xdr:col>20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53340</xdr:colOff>
                    <xdr:row>26</xdr:row>
                    <xdr:rowOff>22860</xdr:rowOff>
                  </from>
                  <to>
                    <xdr:col>20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53340</xdr:colOff>
                    <xdr:row>27</xdr:row>
                    <xdr:rowOff>22860</xdr:rowOff>
                  </from>
                  <to>
                    <xdr:col>20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53340</xdr:colOff>
                    <xdr:row>28</xdr:row>
                    <xdr:rowOff>22860</xdr:rowOff>
                  </from>
                  <to>
                    <xdr:col>20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53340</xdr:colOff>
                    <xdr:row>29</xdr:row>
                    <xdr:rowOff>22860</xdr:rowOff>
                  </from>
                  <to>
                    <xdr:col>20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53340</xdr:colOff>
                    <xdr:row>30</xdr:row>
                    <xdr:rowOff>22860</xdr:rowOff>
                  </from>
                  <to>
                    <xdr:col>20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53340</xdr:colOff>
                    <xdr:row>31</xdr:row>
                    <xdr:rowOff>22860</xdr:rowOff>
                  </from>
                  <to>
                    <xdr:col>20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53340</xdr:colOff>
                    <xdr:row>32</xdr:row>
                    <xdr:rowOff>22860</xdr:rowOff>
                  </from>
                  <to>
                    <xdr:col>20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53340</xdr:colOff>
                    <xdr:row>33</xdr:row>
                    <xdr:rowOff>22860</xdr:rowOff>
                  </from>
                  <to>
                    <xdr:col>20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53340</xdr:colOff>
                    <xdr:row>34</xdr:row>
                    <xdr:rowOff>22860</xdr:rowOff>
                  </from>
                  <to>
                    <xdr:col>20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53340</xdr:colOff>
                    <xdr:row>35</xdr:row>
                    <xdr:rowOff>22860</xdr:rowOff>
                  </from>
                  <to>
                    <xdr:col>20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53340</xdr:colOff>
                    <xdr:row>36</xdr:row>
                    <xdr:rowOff>22860</xdr:rowOff>
                  </from>
                  <to>
                    <xdr:col>20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24" workbookViewId="0">
      <selection activeCell="B128" sqref="B128"/>
    </sheetView>
  </sheetViews>
  <sheetFormatPr defaultColWidth="11.19921875" defaultRowHeight="15.6" x14ac:dyDescent="0.3"/>
  <cols>
    <col min="2" max="2" width="12.296875" bestFit="1" customWidth="1"/>
  </cols>
  <sheetData>
    <row r="1" spans="1:5" x14ac:dyDescent="0.3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3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3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3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3">
      <c r="A5" t="s">
        <v>26</v>
      </c>
      <c r="B5" t="str">
        <f>A5&amp;COUNTIF($A$2:$A5,A5)</f>
        <v>Drisdom4</v>
      </c>
      <c r="C5" t="s">
        <v>259</v>
      </c>
      <c r="D5" t="s">
        <v>44</v>
      </c>
      <c r="E5">
        <v>3</v>
      </c>
    </row>
    <row r="6" spans="1:5" x14ac:dyDescent="0.3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3">
      <c r="A7" t="s">
        <v>26</v>
      </c>
      <c r="B7" t="str">
        <f>A7&amp;COUNTIF($A$2:$A7,A7)</f>
        <v>Drisdom6</v>
      </c>
      <c r="C7" t="s">
        <v>260</v>
      </c>
      <c r="D7" t="s">
        <v>40</v>
      </c>
      <c r="E7">
        <v>7</v>
      </c>
    </row>
    <row r="8" spans="1:5" x14ac:dyDescent="0.3">
      <c r="A8" t="s">
        <v>26</v>
      </c>
      <c r="B8" t="str">
        <f>A8&amp;COUNTIF($A$2:$A8,A8)</f>
        <v>Drisdom7</v>
      </c>
      <c r="C8" t="s">
        <v>261</v>
      </c>
      <c r="D8" t="s">
        <v>43</v>
      </c>
      <c r="E8">
        <v>8</v>
      </c>
    </row>
    <row r="9" spans="1:5" x14ac:dyDescent="0.3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3">
      <c r="A10" t="s">
        <v>26</v>
      </c>
      <c r="B10" t="str">
        <f>A10&amp;COUNTIF($A$2:$A10,A10)</f>
        <v>Drisdom9</v>
      </c>
      <c r="C10" t="s">
        <v>257</v>
      </c>
      <c r="D10" t="s">
        <v>39</v>
      </c>
      <c r="E10">
        <v>14</v>
      </c>
    </row>
    <row r="11" spans="1:5" x14ac:dyDescent="0.3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3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3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3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3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3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3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3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3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3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3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3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3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3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3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3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3">
      <c r="A27" t="s">
        <v>22</v>
      </c>
      <c r="B27" t="str">
        <f>A27&amp;COUNTIF($A$2:$A27,A27)</f>
        <v>Clarke1</v>
      </c>
      <c r="C27" t="s">
        <v>74</v>
      </c>
      <c r="D27" t="s">
        <v>262</v>
      </c>
      <c r="E27">
        <v>0</v>
      </c>
    </row>
    <row r="28" spans="1:5" x14ac:dyDescent="0.3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3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3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3">
      <c r="A31" t="s">
        <v>22</v>
      </c>
      <c r="B31" t="str">
        <f>A31&amp;COUNTIF($A$2:$A31,A31)</f>
        <v>Clarke5</v>
      </c>
      <c r="C31" t="s">
        <v>263</v>
      </c>
      <c r="D31" t="s">
        <v>75</v>
      </c>
      <c r="E31">
        <v>10</v>
      </c>
    </row>
    <row r="32" spans="1:5" x14ac:dyDescent="0.3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3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3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3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3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3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3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3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3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3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3">
      <c r="A42" t="s">
        <v>21</v>
      </c>
      <c r="B42" t="str">
        <f>A42&amp;COUNTIF($A$2:$A42,A42)</f>
        <v>Arok4</v>
      </c>
      <c r="C42" t="s">
        <v>264</v>
      </c>
      <c r="D42" t="s">
        <v>110</v>
      </c>
      <c r="E42">
        <v>5</v>
      </c>
    </row>
    <row r="43" spans="1:5" x14ac:dyDescent="0.3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3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3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3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3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3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3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3">
      <c r="A50" t="s">
        <v>21</v>
      </c>
      <c r="B50" t="str">
        <f>A50&amp;COUNTIF($A$2:$A50,A50)</f>
        <v>Arok12</v>
      </c>
      <c r="C50" t="s">
        <v>265</v>
      </c>
      <c r="D50" t="s">
        <v>266</v>
      </c>
      <c r="E50">
        <v>11</v>
      </c>
    </row>
    <row r="51" spans="1:5" x14ac:dyDescent="0.3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3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3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3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3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3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3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3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3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3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3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3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3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3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3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3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254</v>
      </c>
    </row>
    <row r="67" spans="1:5" x14ac:dyDescent="0.3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3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3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3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3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3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3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3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3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3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3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3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3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3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3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3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3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3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3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3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3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3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3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3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3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3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3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3">
      <c r="A94" t="s">
        <v>20</v>
      </c>
      <c r="B94" t="str">
        <f>A94&amp;COUNTIF($A$2:$A94,A94)</f>
        <v>Humphries6</v>
      </c>
      <c r="C94" t="s">
        <v>255</v>
      </c>
      <c r="D94" t="s">
        <v>191</v>
      </c>
      <c r="E94">
        <v>9</v>
      </c>
    </row>
    <row r="95" spans="1:5" x14ac:dyDescent="0.3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3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3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3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3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3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3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3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3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3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3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3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3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3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3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3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3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3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3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3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3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3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3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3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3">
      <c r="A119" t="s">
        <v>19</v>
      </c>
      <c r="B119" t="str">
        <f>A119&amp;COUNTIF($A$2:$A119,A119)</f>
        <v>Berger7</v>
      </c>
      <c r="C119" t="s">
        <v>270</v>
      </c>
      <c r="D119" t="s">
        <v>42</v>
      </c>
      <c r="E119">
        <v>21</v>
      </c>
    </row>
    <row r="120" spans="1:5" x14ac:dyDescent="0.3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3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3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3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3">
      <c r="A124" t="s">
        <v>28</v>
      </c>
      <c r="B124" t="str">
        <f>A124&amp;COUNTIF($A$2:$A124,A124)</f>
        <v>Fulton3</v>
      </c>
      <c r="C124" t="s">
        <v>271</v>
      </c>
      <c r="D124" t="s">
        <v>230</v>
      </c>
      <c r="E124">
        <v>5</v>
      </c>
    </row>
    <row r="125" spans="1:5" x14ac:dyDescent="0.3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3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3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3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3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3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3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3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3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3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3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3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3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3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3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3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3">
      <c r="A141" t="s">
        <v>258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3">
      <c r="A142" t="s">
        <v>258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3">
      <c r="A143" t="s">
        <v>258</v>
      </c>
      <c r="B143" t="str">
        <f>A143&amp;COUNTIF($A$2:$A143,A143)</f>
        <v>Guest3</v>
      </c>
      <c r="C143" t="s">
        <v>272</v>
      </c>
      <c r="D143" t="s">
        <v>250</v>
      </c>
      <c r="E143">
        <v>19</v>
      </c>
    </row>
    <row r="144" spans="1:5" x14ac:dyDescent="0.3">
      <c r="A144" t="s">
        <v>258</v>
      </c>
      <c r="B144" t="str">
        <f>A144&amp;COUNTIF($A$2:$A144,A144)</f>
        <v>Guest4</v>
      </c>
      <c r="C144" t="s">
        <v>252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drewc</cp:lastModifiedBy>
  <dcterms:created xsi:type="dcterms:W3CDTF">2021-06-24T17:53:51Z</dcterms:created>
  <dcterms:modified xsi:type="dcterms:W3CDTF">2021-07-09T02:32:54Z</dcterms:modified>
</cp:coreProperties>
</file>