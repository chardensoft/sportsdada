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ewc\Downloads\"/>
    </mc:Choice>
  </mc:AlternateContent>
  <xr:revisionPtr revIDLastSave="0" documentId="13_ncr:1_{54FDDD2D-DD94-4441-AF8F-0F7E6E7F7C1C}" xr6:coauthVersionLast="47" xr6:coauthVersionMax="47" xr10:uidLastSave="{00000000-0000-0000-0000-000000000000}"/>
  <bookViews>
    <workbookView xWindow="-108" yWindow="-108" windowWidth="23256" windowHeight="12576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3" l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B12" i="1"/>
  <c r="C25" i="1"/>
  <c r="A15" i="1"/>
  <c r="F13" i="2" s="1"/>
  <c r="C35" i="1"/>
  <c r="H34" i="2" s="1"/>
  <c r="A25" i="1"/>
  <c r="F24" i="2" s="1"/>
  <c r="B17" i="1"/>
  <c r="G15" i="2" s="1"/>
  <c r="B35" i="1"/>
  <c r="G34" i="2" s="1"/>
  <c r="C18" i="1"/>
  <c r="H16" i="2" s="1"/>
  <c r="B13" i="1"/>
  <c r="G11" i="2" s="1"/>
  <c r="A8" i="1"/>
  <c r="F6" i="2" s="1"/>
  <c r="C36" i="1"/>
  <c r="H35" i="2" s="1"/>
  <c r="C28" i="1"/>
  <c r="H27" i="2" s="1"/>
  <c r="A5" i="1"/>
  <c r="F3" i="2" s="1"/>
  <c r="A18" i="1"/>
  <c r="F16" i="2" s="1"/>
  <c r="B15" i="1"/>
  <c r="G13" i="2" s="1"/>
  <c r="C12" i="1"/>
  <c r="H10" i="2" s="1"/>
  <c r="A10" i="1"/>
  <c r="B7" i="1"/>
  <c r="A24" i="1"/>
  <c r="F23" i="2" s="1"/>
  <c r="A36" i="1"/>
  <c r="F35" i="2" s="1"/>
  <c r="B33" i="1"/>
  <c r="G32" i="2" s="1"/>
  <c r="C30" i="1"/>
  <c r="H29" i="2" s="1"/>
  <c r="A28" i="1"/>
  <c r="F27" i="2" s="1"/>
  <c r="B25" i="1"/>
  <c r="G24" i="2" s="1"/>
  <c r="B24" i="1"/>
  <c r="G23" i="2" s="1"/>
  <c r="A12" i="1"/>
  <c r="A35" i="1"/>
  <c r="F34" i="2" s="1"/>
  <c r="A7" i="1"/>
  <c r="F5" i="2" s="1"/>
  <c r="C27" i="1"/>
  <c r="H26" i="2" s="1"/>
  <c r="B9" i="1"/>
  <c r="G7" i="2" s="1"/>
  <c r="C32" i="1"/>
  <c r="H31" i="2" s="1"/>
  <c r="C19" i="1"/>
  <c r="H17" i="2" s="1"/>
  <c r="B14" i="1"/>
  <c r="G12" i="2" s="1"/>
  <c r="A9" i="1"/>
  <c r="F7" i="2" s="1"/>
  <c r="C37" i="1"/>
  <c r="H36" i="2" s="1"/>
  <c r="C29" i="1"/>
  <c r="H28" i="2" s="1"/>
  <c r="B19" i="1"/>
  <c r="G17" i="2" s="1"/>
  <c r="C16" i="1"/>
  <c r="H14" i="2" s="1"/>
  <c r="A14" i="1"/>
  <c r="F12" i="2" s="1"/>
  <c r="B11" i="1"/>
  <c r="G9" i="2" s="1"/>
  <c r="C8" i="1"/>
  <c r="H6" i="2" s="1"/>
  <c r="A6" i="1"/>
  <c r="B37" i="1"/>
  <c r="G36" i="2" s="1"/>
  <c r="C34" i="1"/>
  <c r="H33" i="2" s="1"/>
  <c r="A32" i="1"/>
  <c r="F31" i="2" s="1"/>
  <c r="B29" i="1"/>
  <c r="G28" i="2" s="1"/>
  <c r="C26" i="1"/>
  <c r="H25" i="2" s="1"/>
  <c r="B5" i="1"/>
  <c r="G3" i="2" s="1"/>
  <c r="C9" i="1"/>
  <c r="H7" i="2" s="1"/>
  <c r="A33" i="1"/>
  <c r="C14" i="1"/>
  <c r="H12" i="2" s="1"/>
  <c r="C24" i="1"/>
  <c r="H23" i="2" s="1"/>
  <c r="B27" i="1"/>
  <c r="G26" i="2" s="1"/>
  <c r="A17" i="1"/>
  <c r="F15" i="2" s="1"/>
  <c r="C11" i="1"/>
  <c r="H9" i="2" s="1"/>
  <c r="B6" i="1"/>
  <c r="G4" i="2" s="1"/>
  <c r="B32" i="1"/>
  <c r="G31" i="2" s="1"/>
  <c r="A27" i="1"/>
  <c r="F26" i="2" s="1"/>
  <c r="A19" i="1"/>
  <c r="F17" i="2" s="1"/>
  <c r="B16" i="1"/>
  <c r="G14" i="2" s="1"/>
  <c r="C13" i="1"/>
  <c r="H11" i="2" s="1"/>
  <c r="A11" i="1"/>
  <c r="F9" i="2" s="1"/>
  <c r="B8" i="1"/>
  <c r="G6" i="2" s="1"/>
  <c r="A23" i="1"/>
  <c r="F22" i="2" s="1"/>
  <c r="A37" i="1"/>
  <c r="F36" i="2" s="1"/>
  <c r="B34" i="1"/>
  <c r="C31" i="1"/>
  <c r="H30" i="2" s="1"/>
  <c r="A29" i="1"/>
  <c r="F28" i="2" s="1"/>
  <c r="B26" i="1"/>
  <c r="G25" i="2" s="1"/>
  <c r="H15" i="2"/>
  <c r="B30" i="1"/>
  <c r="G29" i="2" s="1"/>
  <c r="C5" i="1"/>
  <c r="H3" i="2" s="1"/>
  <c r="C6" i="1"/>
  <c r="H4" i="2" s="1"/>
  <c r="A16" i="1"/>
  <c r="F14" i="2" s="1"/>
  <c r="C10" i="1"/>
  <c r="H8" i="2" s="1"/>
  <c r="B23" i="1"/>
  <c r="G22" i="2" s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B10" i="1"/>
  <c r="G8" i="2" s="1"/>
  <c r="C7" i="1"/>
  <c r="H5" i="2" s="1"/>
  <c r="C23" i="1"/>
  <c r="H22" i="2" s="1"/>
  <c r="B36" i="1"/>
  <c r="G35" i="2" s="1"/>
  <c r="C33" i="1"/>
  <c r="H32" i="2" s="1"/>
  <c r="A31" i="1"/>
  <c r="F30" i="2" s="1"/>
  <c r="B28" i="1"/>
  <c r="G27" i="2" s="1"/>
  <c r="F4" i="2"/>
  <c r="F29" i="2"/>
  <c r="G10" i="2"/>
  <c r="G33" i="2"/>
  <c r="F8" i="2"/>
  <c r="H24" i="2"/>
  <c r="F10" i="2"/>
  <c r="G5" i="2"/>
  <c r="F32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<sst xmlns="http://schemas.openxmlformats.org/spreadsheetml/2006/main" count="490" uniqueCount="274">
  <si>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</si>
  <si>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</si>
  <si>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</si>
  <si>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</si>
  <si>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</si>
  <si>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</si>
  <si>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</si>
  <si>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</si>
  <si>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</si>
  <si>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</si>
  <si>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</si>
  <si>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</si>
  <si>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</si>
  <si>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</si>
  <si>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</si>
  <si>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</si>
  <si>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</si>
  <si>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</si>
  <si>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</si>
  <si>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</si>
  <si>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</si>
  <si>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</si>
  <si>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</si>
  <si>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</si>
  <si>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</si>
  <si>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</si>
  <si>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</si>
  <si>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</si>
  <si>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</si>
  <si>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</si>
  <si>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</si>
  <si>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</si>
  <si>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</si>
  <si>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</si>
  <si>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</si>
  <si>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</si>
  <si>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</si>
  <si>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</si>
  <si>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</si>
  <si>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</si>
  <si>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</si>
  <si>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</si>
  <si>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</si>
  <si>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</si>
  <si>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</si>
  <si>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</si>
  <si>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</si>
  <si>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</si>
  <si>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</si>
  <si>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</si>
  <si>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</si>
  <si>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</si>
  <si>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</si>
  <si>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</si>
  <si>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</si>
  <si>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</si>
  <si>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</si>
  <si>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</si>
  <si>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</si>
  <si>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</si>
  <si>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</si>
  <si>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</si>
  <si>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</si>
  <si>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</si>
  <si>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</si>
  <si>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</si>
  <si>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</si>
  <si>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</si>
  <si>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</si>
  <si>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</si>
  <si>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</si>
  <si>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</si>
  <si>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</si>
  <si>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</si>
  <si>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</si>
  <si>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</si>
  <si>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</si>
  <si>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</si>
  <si>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</si>
  <si>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</si>
  <si>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</si>
  <si>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</si>
  <si>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</si>
  <si>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</si>
  <si>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</si>
  <si>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</si>
  <si>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</si>
  <si>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</si>
  <si>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</si>
  <si>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</si>
  <si>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</si>
  <si>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</si>
  <si>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</si>
  <si>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</si>
  <si>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</si>
  <si>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</si>
  <si>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</si>
  <si>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</si>
  <si>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</si>
  <si>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</si>
  <si>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</si>
  <si>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</si>
  <si>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</si>
  <si>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</si>
  <si>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</si>
  <si>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</si>
  <si>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</si>
  <si>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</si>
  <si>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</si>
  <si>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</si>
  <si>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</si>
  <si>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</si>
  <si>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</si>
  <si>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</si>
  <si>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</si>
  <si>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</si>
  <si>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</si>
  <si>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</si>
  <si>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</si>
  <si>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</si>
  <si>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</si>
  <si>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</si>
  <si>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</si>
  <si>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</si>
  <si>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</si>
  <si>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</si>
  <si>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</si>
  <si>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</si>
  <si>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</si>
  <si>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</si>
  <si>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</si>
  <si>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</si>
  <si>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</si>
  <si>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</si>
  <si>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</si>
  <si>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</si>
  <si>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</si>
  <si>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</si>
  <si>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</si>
  <si>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</si>
  <si>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</si>
  <si>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</si>
  <si>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</si>
  <si>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</si>
  <si>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</si>
  <si>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</si>
  <si>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</si>
  <si>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</si>
  <si>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</si>
  <si>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</si>
  <si>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</si>
  <si>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</si>
  <si>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</si>
  <si>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</si>
  <si>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</si>
  <si>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</si>
  <si>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</si>
  <si>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</si>
  <si>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</si>
  <si>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</si>
  <si>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</si>
  <si>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</si>
  <si>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</si>
  <si>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</si>
  <si>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</si>
  <si>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</si>
  <si>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</si>
  <si>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</si>
  <si>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</si>
  <si>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</si>
  <si>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</si>
  <si>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</si>
  <si>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</si>
  <si>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</si>
  <si>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</si>
  <si>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</si>
  <si>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</si>
  <si>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</si>
  <si>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</si>
  <si>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</si>
  <si>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</si>
  <si>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</si>
  <si>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</si>
  <si>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</si>
  <si>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</si>
  <si>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</si>
  <si>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</si>
  <si>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</si>
  <si>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</si>
  <si>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</si>
  <si>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</si>
  <si>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</si>
  <si>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</si>
  <si>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</si>
  <si>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</si>
  <si>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</si>
  <si>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</si>
  <si>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</si>
  <si>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</si>
  <si>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</si>
  <si>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</si>
  <si>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</si>
  <si>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</si>
  <si>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</si>
  <si>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</si>
  <si>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</si>
  <si>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</si>
  <si>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</si>
  <si>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</si>
  <si>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</si>
  <si>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</si>
  <si>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</si>
  <si>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</si>
  <si>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</si>
  <si>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</si>
  <si>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</si>
  <si>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</si>
  <si>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</si>
  <si>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</si>
  <si>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</si>
  <si>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</si>
  <si>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</si>
  <si>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</si>
  <si>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</si>
  <si>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</si>
  <si>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</si>
  <si>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</si>
  <si>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</si>
  <si>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</si>
  <si>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</si>
  <si>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</si>
  <si>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</si>
  <si>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</si>
  <si>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</si>
  <si>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</si>
  <si>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</si>
  <si>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</si>
  <si>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</si>
  <si>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</si>
  <si>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</si>
  <si>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</si>
  <si>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</si>
  <si>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</si>
  <si>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</si>
  <si>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</si>
  <si>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</si>
  <si>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</si>
  <si>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</si>
  <si>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</si>
  <si>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</si>
  <si>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</si>
  <si>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</si>
  <si>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</si>
  <si>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</si>
  <si>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TJ</t>
  </si>
  <si>
    <t>PTS</t>
  </si>
  <si>
    <t>Dakarai</t>
  </si>
  <si>
    <t>Guest</t>
  </si>
  <si>
    <t>Both</t>
  </si>
  <si>
    <t>Gach</t>
  </si>
  <si>
    <t>Peter</t>
  </si>
  <si>
    <t>OShea</t>
  </si>
  <si>
    <t>Tre</t>
  </si>
  <si>
    <t>Ronnie</t>
  </si>
  <si>
    <t>Isaiah</t>
  </si>
  <si>
    <t>Jay</t>
  </si>
  <si>
    <t>Deng</t>
  </si>
  <si>
    <t>Payton</t>
  </si>
  <si>
    <t>Jael</t>
  </si>
  <si>
    <t>Yoeli</t>
  </si>
  <si>
    <t>Conner</t>
  </si>
  <si>
    <t>Raul</t>
  </si>
  <si>
    <t>ONeal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</si>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</sst>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4</xdr:row>
          <xdr:rowOff>22860</xdr:rowOff>
        </xdr:from>
        <xdr:to>
          <xdr:col>3</xdr:col>
          <xdr:colOff>342900</xdr:colOff>
          <xdr:row>4</xdr:row>
          <xdr:rowOff>289560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4</xdr:row>
          <xdr:rowOff>22860</xdr:rowOff>
        </xdr:from>
        <xdr:to>
          <xdr:col>5</xdr:col>
          <xdr:colOff>327660</xdr:colOff>
          <xdr:row>4</xdr:row>
          <xdr:rowOff>289560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4</xdr:row>
          <xdr:rowOff>22860</xdr:rowOff>
        </xdr:from>
        <xdr:to>
          <xdr:col>6</xdr:col>
          <xdr:colOff>342900</xdr:colOff>
          <xdr:row>4</xdr:row>
          <xdr:rowOff>289560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4</xdr:row>
          <xdr:rowOff>22860</xdr:rowOff>
        </xdr:from>
        <xdr:to>
          <xdr:col>8</xdr:col>
          <xdr:colOff>327660</xdr:colOff>
          <xdr:row>4</xdr:row>
          <xdr:rowOff>289560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4</xdr:row>
          <xdr:rowOff>22860</xdr:rowOff>
        </xdr:from>
        <xdr:to>
          <xdr:col>9</xdr:col>
          <xdr:colOff>342900</xdr:colOff>
          <xdr:row>4</xdr:row>
          <xdr:rowOff>289560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4</xdr:row>
          <xdr:rowOff>22860</xdr:rowOff>
        </xdr:from>
        <xdr:to>
          <xdr:col>11</xdr:col>
          <xdr:colOff>327660</xdr:colOff>
          <xdr:row>4</xdr:row>
          <xdr:rowOff>289560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4</xdr:row>
          <xdr:rowOff>22860</xdr:rowOff>
        </xdr:from>
        <xdr:to>
          <xdr:col>12</xdr:col>
          <xdr:colOff>342900</xdr:colOff>
          <xdr:row>4</xdr:row>
          <xdr:rowOff>289560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4</xdr:row>
          <xdr:rowOff>22860</xdr:rowOff>
        </xdr:from>
        <xdr:to>
          <xdr:col>14</xdr:col>
          <xdr:colOff>327660</xdr:colOff>
          <xdr:row>4</xdr:row>
          <xdr:rowOff>289560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4</xdr:row>
          <xdr:rowOff>22860</xdr:rowOff>
        </xdr:from>
        <xdr:to>
          <xdr:col>15</xdr:col>
          <xdr:colOff>342900</xdr:colOff>
          <xdr:row>4</xdr:row>
          <xdr:rowOff>289560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4</xdr:row>
          <xdr:rowOff>22860</xdr:rowOff>
        </xdr:from>
        <xdr:to>
          <xdr:col>17</xdr:col>
          <xdr:colOff>327660</xdr:colOff>
          <xdr:row>4</xdr:row>
          <xdr:rowOff>289560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4</xdr:row>
          <xdr:rowOff>22860</xdr:rowOff>
        </xdr:from>
        <xdr:to>
          <xdr:col>18</xdr:col>
          <xdr:colOff>342900</xdr:colOff>
          <xdr:row>4</xdr:row>
          <xdr:rowOff>289560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4</xdr:row>
          <xdr:rowOff>22860</xdr:rowOff>
        </xdr:from>
        <xdr:to>
          <xdr:col>20</xdr:col>
          <xdr:colOff>327660</xdr:colOff>
          <xdr:row>4</xdr:row>
          <xdr:rowOff>289560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5</xdr:row>
          <xdr:rowOff>22860</xdr:rowOff>
        </xdr:from>
        <xdr:to>
          <xdr:col>3</xdr:col>
          <xdr:colOff>342900</xdr:colOff>
          <xdr:row>5</xdr:row>
          <xdr:rowOff>289560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5</xdr:row>
          <xdr:rowOff>22860</xdr:rowOff>
        </xdr:from>
        <xdr:to>
          <xdr:col>5</xdr:col>
          <xdr:colOff>327660</xdr:colOff>
          <xdr:row>5</xdr:row>
          <xdr:rowOff>289560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22860</xdr:rowOff>
        </xdr:from>
        <xdr:to>
          <xdr:col>6</xdr:col>
          <xdr:colOff>342900</xdr:colOff>
          <xdr:row>5</xdr:row>
          <xdr:rowOff>289560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</xdr:row>
          <xdr:rowOff>22860</xdr:rowOff>
        </xdr:from>
        <xdr:to>
          <xdr:col>8</xdr:col>
          <xdr:colOff>327660</xdr:colOff>
          <xdr:row>5</xdr:row>
          <xdr:rowOff>289560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22860</xdr:rowOff>
        </xdr:from>
        <xdr:to>
          <xdr:col>9</xdr:col>
          <xdr:colOff>342900</xdr:colOff>
          <xdr:row>5</xdr:row>
          <xdr:rowOff>289560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22860</xdr:rowOff>
        </xdr:from>
        <xdr:to>
          <xdr:col>11</xdr:col>
          <xdr:colOff>327660</xdr:colOff>
          <xdr:row>5</xdr:row>
          <xdr:rowOff>289560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5</xdr:row>
          <xdr:rowOff>22860</xdr:rowOff>
        </xdr:from>
        <xdr:to>
          <xdr:col>12</xdr:col>
          <xdr:colOff>342900</xdr:colOff>
          <xdr:row>5</xdr:row>
          <xdr:rowOff>289560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5</xdr:row>
          <xdr:rowOff>22860</xdr:rowOff>
        </xdr:from>
        <xdr:to>
          <xdr:col>14</xdr:col>
          <xdr:colOff>327660</xdr:colOff>
          <xdr:row>5</xdr:row>
          <xdr:rowOff>289560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5</xdr:row>
          <xdr:rowOff>22860</xdr:rowOff>
        </xdr:from>
        <xdr:to>
          <xdr:col>15</xdr:col>
          <xdr:colOff>342900</xdr:colOff>
          <xdr:row>5</xdr:row>
          <xdr:rowOff>289560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5</xdr:row>
          <xdr:rowOff>22860</xdr:rowOff>
        </xdr:from>
        <xdr:to>
          <xdr:col>17</xdr:col>
          <xdr:colOff>327660</xdr:colOff>
          <xdr:row>5</xdr:row>
          <xdr:rowOff>289560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5</xdr:row>
          <xdr:rowOff>22860</xdr:rowOff>
        </xdr:from>
        <xdr:to>
          <xdr:col>18</xdr:col>
          <xdr:colOff>342900</xdr:colOff>
          <xdr:row>5</xdr:row>
          <xdr:rowOff>289560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5</xdr:row>
          <xdr:rowOff>22860</xdr:rowOff>
        </xdr:from>
        <xdr:to>
          <xdr:col>20</xdr:col>
          <xdr:colOff>327660</xdr:colOff>
          <xdr:row>5</xdr:row>
          <xdr:rowOff>289560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5</xdr:row>
          <xdr:rowOff>22860</xdr:rowOff>
        </xdr:from>
        <xdr:to>
          <xdr:col>3</xdr:col>
          <xdr:colOff>342900</xdr:colOff>
          <xdr:row>5</xdr:row>
          <xdr:rowOff>289560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5</xdr:row>
          <xdr:rowOff>22860</xdr:rowOff>
        </xdr:from>
        <xdr:to>
          <xdr:col>5</xdr:col>
          <xdr:colOff>327660</xdr:colOff>
          <xdr:row>5</xdr:row>
          <xdr:rowOff>289560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5</xdr:row>
          <xdr:rowOff>22860</xdr:rowOff>
        </xdr:from>
        <xdr:to>
          <xdr:col>6</xdr:col>
          <xdr:colOff>342900</xdr:colOff>
          <xdr:row>5</xdr:row>
          <xdr:rowOff>289560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</xdr:row>
          <xdr:rowOff>22860</xdr:rowOff>
        </xdr:from>
        <xdr:to>
          <xdr:col>8</xdr:col>
          <xdr:colOff>327660</xdr:colOff>
          <xdr:row>5</xdr:row>
          <xdr:rowOff>289560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22860</xdr:rowOff>
        </xdr:from>
        <xdr:to>
          <xdr:col>9</xdr:col>
          <xdr:colOff>342900</xdr:colOff>
          <xdr:row>5</xdr:row>
          <xdr:rowOff>289560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5</xdr:row>
          <xdr:rowOff>22860</xdr:rowOff>
        </xdr:from>
        <xdr:to>
          <xdr:col>11</xdr:col>
          <xdr:colOff>327660</xdr:colOff>
          <xdr:row>5</xdr:row>
          <xdr:rowOff>289560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5</xdr:row>
          <xdr:rowOff>22860</xdr:rowOff>
        </xdr:from>
        <xdr:to>
          <xdr:col>12</xdr:col>
          <xdr:colOff>342900</xdr:colOff>
          <xdr:row>5</xdr:row>
          <xdr:rowOff>289560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5</xdr:row>
          <xdr:rowOff>22860</xdr:rowOff>
        </xdr:from>
        <xdr:to>
          <xdr:col>14</xdr:col>
          <xdr:colOff>327660</xdr:colOff>
          <xdr:row>5</xdr:row>
          <xdr:rowOff>289560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5</xdr:row>
          <xdr:rowOff>22860</xdr:rowOff>
        </xdr:from>
        <xdr:to>
          <xdr:col>15</xdr:col>
          <xdr:colOff>342900</xdr:colOff>
          <xdr:row>5</xdr:row>
          <xdr:rowOff>289560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5</xdr:row>
          <xdr:rowOff>22860</xdr:rowOff>
        </xdr:from>
        <xdr:to>
          <xdr:col>17</xdr:col>
          <xdr:colOff>327660</xdr:colOff>
          <xdr:row>5</xdr:row>
          <xdr:rowOff>289560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5</xdr:row>
          <xdr:rowOff>22860</xdr:rowOff>
        </xdr:from>
        <xdr:to>
          <xdr:col>18</xdr:col>
          <xdr:colOff>342900</xdr:colOff>
          <xdr:row>5</xdr:row>
          <xdr:rowOff>289560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5</xdr:row>
          <xdr:rowOff>22860</xdr:rowOff>
        </xdr:from>
        <xdr:to>
          <xdr:col>20</xdr:col>
          <xdr:colOff>327660</xdr:colOff>
          <xdr:row>5</xdr:row>
          <xdr:rowOff>289560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6</xdr:row>
          <xdr:rowOff>22860</xdr:rowOff>
        </xdr:from>
        <xdr:to>
          <xdr:col>3</xdr:col>
          <xdr:colOff>342900</xdr:colOff>
          <xdr:row>6</xdr:row>
          <xdr:rowOff>289560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6</xdr:row>
          <xdr:rowOff>22860</xdr:rowOff>
        </xdr:from>
        <xdr:to>
          <xdr:col>5</xdr:col>
          <xdr:colOff>327660</xdr:colOff>
          <xdr:row>6</xdr:row>
          <xdr:rowOff>289560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22860</xdr:rowOff>
        </xdr:from>
        <xdr:to>
          <xdr:col>6</xdr:col>
          <xdr:colOff>342900</xdr:colOff>
          <xdr:row>6</xdr:row>
          <xdr:rowOff>289560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6</xdr:row>
          <xdr:rowOff>22860</xdr:rowOff>
        </xdr:from>
        <xdr:to>
          <xdr:col>8</xdr:col>
          <xdr:colOff>327660</xdr:colOff>
          <xdr:row>6</xdr:row>
          <xdr:rowOff>289560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6</xdr:row>
          <xdr:rowOff>22860</xdr:rowOff>
        </xdr:from>
        <xdr:to>
          <xdr:col>9</xdr:col>
          <xdr:colOff>342900</xdr:colOff>
          <xdr:row>6</xdr:row>
          <xdr:rowOff>289560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6</xdr:row>
          <xdr:rowOff>22860</xdr:rowOff>
        </xdr:from>
        <xdr:to>
          <xdr:col>11</xdr:col>
          <xdr:colOff>327660</xdr:colOff>
          <xdr:row>6</xdr:row>
          <xdr:rowOff>289560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6</xdr:row>
          <xdr:rowOff>22860</xdr:rowOff>
        </xdr:from>
        <xdr:to>
          <xdr:col>12</xdr:col>
          <xdr:colOff>342900</xdr:colOff>
          <xdr:row>6</xdr:row>
          <xdr:rowOff>289560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6</xdr:row>
          <xdr:rowOff>22860</xdr:rowOff>
        </xdr:from>
        <xdr:to>
          <xdr:col>14</xdr:col>
          <xdr:colOff>327660</xdr:colOff>
          <xdr:row>6</xdr:row>
          <xdr:rowOff>289560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6</xdr:row>
          <xdr:rowOff>22860</xdr:rowOff>
        </xdr:from>
        <xdr:to>
          <xdr:col>15</xdr:col>
          <xdr:colOff>342900</xdr:colOff>
          <xdr:row>6</xdr:row>
          <xdr:rowOff>289560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6</xdr:row>
          <xdr:rowOff>22860</xdr:rowOff>
        </xdr:from>
        <xdr:to>
          <xdr:col>17</xdr:col>
          <xdr:colOff>327660</xdr:colOff>
          <xdr:row>6</xdr:row>
          <xdr:rowOff>289560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6</xdr:row>
          <xdr:rowOff>22860</xdr:rowOff>
        </xdr:from>
        <xdr:to>
          <xdr:col>18</xdr:col>
          <xdr:colOff>342900</xdr:colOff>
          <xdr:row>6</xdr:row>
          <xdr:rowOff>289560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6</xdr:row>
          <xdr:rowOff>22860</xdr:rowOff>
        </xdr:from>
        <xdr:to>
          <xdr:col>20</xdr:col>
          <xdr:colOff>327660</xdr:colOff>
          <xdr:row>6</xdr:row>
          <xdr:rowOff>289560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22</xdr:row>
          <xdr:rowOff>22860</xdr:rowOff>
        </xdr:from>
        <xdr:to>
          <xdr:col>3</xdr:col>
          <xdr:colOff>342900</xdr:colOff>
          <xdr:row>22</xdr:row>
          <xdr:rowOff>289560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22</xdr:row>
          <xdr:rowOff>22860</xdr:rowOff>
        </xdr:from>
        <xdr:to>
          <xdr:col>5</xdr:col>
          <xdr:colOff>327660</xdr:colOff>
          <xdr:row>22</xdr:row>
          <xdr:rowOff>289560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22860</xdr:rowOff>
        </xdr:from>
        <xdr:to>
          <xdr:col>6</xdr:col>
          <xdr:colOff>342900</xdr:colOff>
          <xdr:row>22</xdr:row>
          <xdr:rowOff>289560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22</xdr:row>
          <xdr:rowOff>22860</xdr:rowOff>
        </xdr:from>
        <xdr:to>
          <xdr:col>8</xdr:col>
          <xdr:colOff>327660</xdr:colOff>
          <xdr:row>22</xdr:row>
          <xdr:rowOff>289560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22860</xdr:rowOff>
        </xdr:from>
        <xdr:to>
          <xdr:col>9</xdr:col>
          <xdr:colOff>342900</xdr:colOff>
          <xdr:row>22</xdr:row>
          <xdr:rowOff>289560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22</xdr:row>
          <xdr:rowOff>22860</xdr:rowOff>
        </xdr:from>
        <xdr:to>
          <xdr:col>11</xdr:col>
          <xdr:colOff>327660</xdr:colOff>
          <xdr:row>22</xdr:row>
          <xdr:rowOff>289560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22</xdr:row>
          <xdr:rowOff>22860</xdr:rowOff>
        </xdr:from>
        <xdr:to>
          <xdr:col>12</xdr:col>
          <xdr:colOff>342900</xdr:colOff>
          <xdr:row>22</xdr:row>
          <xdr:rowOff>289560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22</xdr:row>
          <xdr:rowOff>22860</xdr:rowOff>
        </xdr:from>
        <xdr:to>
          <xdr:col>14</xdr:col>
          <xdr:colOff>327660</xdr:colOff>
          <xdr:row>22</xdr:row>
          <xdr:rowOff>289560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22</xdr:row>
          <xdr:rowOff>22860</xdr:rowOff>
        </xdr:from>
        <xdr:to>
          <xdr:col>15</xdr:col>
          <xdr:colOff>342900</xdr:colOff>
          <xdr:row>22</xdr:row>
          <xdr:rowOff>289560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22</xdr:row>
          <xdr:rowOff>22860</xdr:rowOff>
        </xdr:from>
        <xdr:to>
          <xdr:col>17</xdr:col>
          <xdr:colOff>327660</xdr:colOff>
          <xdr:row>22</xdr:row>
          <xdr:rowOff>289560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22</xdr:row>
          <xdr:rowOff>22860</xdr:rowOff>
        </xdr:from>
        <xdr:to>
          <xdr:col>18</xdr:col>
          <xdr:colOff>342900</xdr:colOff>
          <xdr:row>22</xdr:row>
          <xdr:rowOff>289560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22</xdr:row>
          <xdr:rowOff>22860</xdr:rowOff>
        </xdr:from>
        <xdr:to>
          <xdr:col>20</xdr:col>
          <xdr:colOff>327660</xdr:colOff>
          <xdr:row>22</xdr:row>
          <xdr:rowOff>289560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24</xdr:row>
          <xdr:rowOff>22860</xdr:rowOff>
        </xdr:from>
        <xdr:to>
          <xdr:col>3</xdr:col>
          <xdr:colOff>342900</xdr:colOff>
          <xdr:row>24</xdr:row>
          <xdr:rowOff>289560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24</xdr:row>
          <xdr:rowOff>22860</xdr:rowOff>
        </xdr:from>
        <xdr:to>
          <xdr:col>5</xdr:col>
          <xdr:colOff>327660</xdr:colOff>
          <xdr:row>24</xdr:row>
          <xdr:rowOff>289560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22860</xdr:rowOff>
        </xdr:from>
        <xdr:to>
          <xdr:col>6</xdr:col>
          <xdr:colOff>342900</xdr:colOff>
          <xdr:row>24</xdr:row>
          <xdr:rowOff>289560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24</xdr:row>
          <xdr:rowOff>22860</xdr:rowOff>
        </xdr:from>
        <xdr:to>
          <xdr:col>8</xdr:col>
          <xdr:colOff>327660</xdr:colOff>
          <xdr:row>24</xdr:row>
          <xdr:rowOff>289560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22860</xdr:rowOff>
        </xdr:from>
        <xdr:to>
          <xdr:col>9</xdr:col>
          <xdr:colOff>342900</xdr:colOff>
          <xdr:row>24</xdr:row>
          <xdr:rowOff>289560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24</xdr:row>
          <xdr:rowOff>22860</xdr:rowOff>
        </xdr:from>
        <xdr:to>
          <xdr:col>11</xdr:col>
          <xdr:colOff>327660</xdr:colOff>
          <xdr:row>24</xdr:row>
          <xdr:rowOff>289560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24</xdr:row>
          <xdr:rowOff>22860</xdr:rowOff>
        </xdr:from>
        <xdr:to>
          <xdr:col>12</xdr:col>
          <xdr:colOff>342900</xdr:colOff>
          <xdr:row>24</xdr:row>
          <xdr:rowOff>289560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24</xdr:row>
          <xdr:rowOff>22860</xdr:rowOff>
        </xdr:from>
        <xdr:to>
          <xdr:col>14</xdr:col>
          <xdr:colOff>327660</xdr:colOff>
          <xdr:row>24</xdr:row>
          <xdr:rowOff>289560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22860</xdr:rowOff>
        </xdr:from>
        <xdr:to>
          <xdr:col>15</xdr:col>
          <xdr:colOff>342900</xdr:colOff>
          <xdr:row>24</xdr:row>
          <xdr:rowOff>289560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24</xdr:row>
          <xdr:rowOff>22860</xdr:rowOff>
        </xdr:from>
        <xdr:to>
          <xdr:col>17</xdr:col>
          <xdr:colOff>327660</xdr:colOff>
          <xdr:row>24</xdr:row>
          <xdr:rowOff>289560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24</xdr:row>
          <xdr:rowOff>22860</xdr:rowOff>
        </xdr:from>
        <xdr:to>
          <xdr:col>18</xdr:col>
          <xdr:colOff>342900</xdr:colOff>
          <xdr:row>24</xdr:row>
          <xdr:rowOff>289560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24</xdr:row>
          <xdr:rowOff>22860</xdr:rowOff>
        </xdr:from>
        <xdr:to>
          <xdr:col>20</xdr:col>
          <xdr:colOff>327660</xdr:colOff>
          <xdr:row>24</xdr:row>
          <xdr:rowOff>289560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7</xdr:row>
          <xdr:rowOff>22860</xdr:rowOff>
        </xdr:from>
        <xdr:to>
          <xdr:col>3</xdr:col>
          <xdr:colOff>342900</xdr:colOff>
          <xdr:row>7</xdr:row>
          <xdr:rowOff>289560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8</xdr:row>
          <xdr:rowOff>22860</xdr:rowOff>
        </xdr:from>
        <xdr:to>
          <xdr:col>3</xdr:col>
          <xdr:colOff>342900</xdr:colOff>
          <xdr:row>8</xdr:row>
          <xdr:rowOff>289560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9</xdr:row>
          <xdr:rowOff>22860</xdr:rowOff>
        </xdr:from>
        <xdr:to>
          <xdr:col>3</xdr:col>
          <xdr:colOff>342900</xdr:colOff>
          <xdr:row>9</xdr:row>
          <xdr:rowOff>289560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10</xdr:row>
          <xdr:rowOff>22860</xdr:rowOff>
        </xdr:from>
        <xdr:to>
          <xdr:col>3</xdr:col>
          <xdr:colOff>342900</xdr:colOff>
          <xdr:row>10</xdr:row>
          <xdr:rowOff>289560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11</xdr:row>
          <xdr:rowOff>22860</xdr:rowOff>
        </xdr:from>
        <xdr:to>
          <xdr:col>3</xdr:col>
          <xdr:colOff>342900</xdr:colOff>
          <xdr:row>11</xdr:row>
          <xdr:rowOff>289560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12</xdr:row>
          <xdr:rowOff>22860</xdr:rowOff>
        </xdr:from>
        <xdr:to>
          <xdr:col>3</xdr:col>
          <xdr:colOff>342900</xdr:colOff>
          <xdr:row>12</xdr:row>
          <xdr:rowOff>289560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13</xdr:row>
          <xdr:rowOff>22860</xdr:rowOff>
        </xdr:from>
        <xdr:to>
          <xdr:col>3</xdr:col>
          <xdr:colOff>342900</xdr:colOff>
          <xdr:row>13</xdr:row>
          <xdr:rowOff>289560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14</xdr:row>
          <xdr:rowOff>22860</xdr:rowOff>
        </xdr:from>
        <xdr:to>
          <xdr:col>3</xdr:col>
          <xdr:colOff>342900</xdr:colOff>
          <xdr:row>14</xdr:row>
          <xdr:rowOff>289560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15</xdr:row>
          <xdr:rowOff>22860</xdr:rowOff>
        </xdr:from>
        <xdr:to>
          <xdr:col>3</xdr:col>
          <xdr:colOff>342900</xdr:colOff>
          <xdr:row>15</xdr:row>
          <xdr:rowOff>289560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16</xdr:row>
          <xdr:rowOff>22860</xdr:rowOff>
        </xdr:from>
        <xdr:to>
          <xdr:col>3</xdr:col>
          <xdr:colOff>342900</xdr:colOff>
          <xdr:row>16</xdr:row>
          <xdr:rowOff>289560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17</xdr:row>
          <xdr:rowOff>22860</xdr:rowOff>
        </xdr:from>
        <xdr:to>
          <xdr:col>3</xdr:col>
          <xdr:colOff>342900</xdr:colOff>
          <xdr:row>17</xdr:row>
          <xdr:rowOff>289560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18</xdr:row>
          <xdr:rowOff>22860</xdr:rowOff>
        </xdr:from>
        <xdr:to>
          <xdr:col>3</xdr:col>
          <xdr:colOff>342900</xdr:colOff>
          <xdr:row>18</xdr:row>
          <xdr:rowOff>289560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7</xdr:row>
          <xdr:rowOff>22860</xdr:rowOff>
        </xdr:from>
        <xdr:to>
          <xdr:col>5</xdr:col>
          <xdr:colOff>327660</xdr:colOff>
          <xdr:row>7</xdr:row>
          <xdr:rowOff>289560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8</xdr:row>
          <xdr:rowOff>22860</xdr:rowOff>
        </xdr:from>
        <xdr:to>
          <xdr:col>5</xdr:col>
          <xdr:colOff>327660</xdr:colOff>
          <xdr:row>8</xdr:row>
          <xdr:rowOff>289560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9</xdr:row>
          <xdr:rowOff>22860</xdr:rowOff>
        </xdr:from>
        <xdr:to>
          <xdr:col>5</xdr:col>
          <xdr:colOff>327660</xdr:colOff>
          <xdr:row>9</xdr:row>
          <xdr:rowOff>289560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10</xdr:row>
          <xdr:rowOff>22860</xdr:rowOff>
        </xdr:from>
        <xdr:to>
          <xdr:col>5</xdr:col>
          <xdr:colOff>327660</xdr:colOff>
          <xdr:row>10</xdr:row>
          <xdr:rowOff>289560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11</xdr:row>
          <xdr:rowOff>22860</xdr:rowOff>
        </xdr:from>
        <xdr:to>
          <xdr:col>5</xdr:col>
          <xdr:colOff>327660</xdr:colOff>
          <xdr:row>11</xdr:row>
          <xdr:rowOff>289560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12</xdr:row>
          <xdr:rowOff>22860</xdr:rowOff>
        </xdr:from>
        <xdr:to>
          <xdr:col>5</xdr:col>
          <xdr:colOff>327660</xdr:colOff>
          <xdr:row>12</xdr:row>
          <xdr:rowOff>289560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13</xdr:row>
          <xdr:rowOff>22860</xdr:rowOff>
        </xdr:from>
        <xdr:to>
          <xdr:col>5</xdr:col>
          <xdr:colOff>327660</xdr:colOff>
          <xdr:row>13</xdr:row>
          <xdr:rowOff>289560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14</xdr:row>
          <xdr:rowOff>22860</xdr:rowOff>
        </xdr:from>
        <xdr:to>
          <xdr:col>5</xdr:col>
          <xdr:colOff>327660</xdr:colOff>
          <xdr:row>14</xdr:row>
          <xdr:rowOff>289560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15</xdr:row>
          <xdr:rowOff>22860</xdr:rowOff>
        </xdr:from>
        <xdr:to>
          <xdr:col>5</xdr:col>
          <xdr:colOff>327660</xdr:colOff>
          <xdr:row>15</xdr:row>
          <xdr:rowOff>289560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16</xdr:row>
          <xdr:rowOff>22860</xdr:rowOff>
        </xdr:from>
        <xdr:to>
          <xdr:col>5</xdr:col>
          <xdr:colOff>327660</xdr:colOff>
          <xdr:row>16</xdr:row>
          <xdr:rowOff>289560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17</xdr:row>
          <xdr:rowOff>22860</xdr:rowOff>
        </xdr:from>
        <xdr:to>
          <xdr:col>5</xdr:col>
          <xdr:colOff>327660</xdr:colOff>
          <xdr:row>17</xdr:row>
          <xdr:rowOff>289560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18</xdr:row>
          <xdr:rowOff>22860</xdr:rowOff>
        </xdr:from>
        <xdr:to>
          <xdr:col>5</xdr:col>
          <xdr:colOff>327660</xdr:colOff>
          <xdr:row>18</xdr:row>
          <xdr:rowOff>289560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7</xdr:row>
          <xdr:rowOff>22860</xdr:rowOff>
        </xdr:from>
        <xdr:to>
          <xdr:col>6</xdr:col>
          <xdr:colOff>342900</xdr:colOff>
          <xdr:row>7</xdr:row>
          <xdr:rowOff>289560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8</xdr:row>
          <xdr:rowOff>22860</xdr:rowOff>
        </xdr:from>
        <xdr:to>
          <xdr:col>6</xdr:col>
          <xdr:colOff>342900</xdr:colOff>
          <xdr:row>8</xdr:row>
          <xdr:rowOff>289560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9</xdr:row>
          <xdr:rowOff>22860</xdr:rowOff>
        </xdr:from>
        <xdr:to>
          <xdr:col>6</xdr:col>
          <xdr:colOff>342900</xdr:colOff>
          <xdr:row>9</xdr:row>
          <xdr:rowOff>289560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10</xdr:row>
          <xdr:rowOff>22860</xdr:rowOff>
        </xdr:from>
        <xdr:to>
          <xdr:col>6</xdr:col>
          <xdr:colOff>342900</xdr:colOff>
          <xdr:row>10</xdr:row>
          <xdr:rowOff>289560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11</xdr:row>
          <xdr:rowOff>22860</xdr:rowOff>
        </xdr:from>
        <xdr:to>
          <xdr:col>6</xdr:col>
          <xdr:colOff>342900</xdr:colOff>
          <xdr:row>11</xdr:row>
          <xdr:rowOff>289560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12</xdr:row>
          <xdr:rowOff>22860</xdr:rowOff>
        </xdr:from>
        <xdr:to>
          <xdr:col>6</xdr:col>
          <xdr:colOff>342900</xdr:colOff>
          <xdr:row>12</xdr:row>
          <xdr:rowOff>289560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13</xdr:row>
          <xdr:rowOff>22860</xdr:rowOff>
        </xdr:from>
        <xdr:to>
          <xdr:col>6</xdr:col>
          <xdr:colOff>342900</xdr:colOff>
          <xdr:row>13</xdr:row>
          <xdr:rowOff>289560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14</xdr:row>
          <xdr:rowOff>22860</xdr:rowOff>
        </xdr:from>
        <xdr:to>
          <xdr:col>6</xdr:col>
          <xdr:colOff>342900</xdr:colOff>
          <xdr:row>14</xdr:row>
          <xdr:rowOff>289560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15</xdr:row>
          <xdr:rowOff>22860</xdr:rowOff>
        </xdr:from>
        <xdr:to>
          <xdr:col>6</xdr:col>
          <xdr:colOff>342900</xdr:colOff>
          <xdr:row>15</xdr:row>
          <xdr:rowOff>289560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16</xdr:row>
          <xdr:rowOff>22860</xdr:rowOff>
        </xdr:from>
        <xdr:to>
          <xdr:col>6</xdr:col>
          <xdr:colOff>342900</xdr:colOff>
          <xdr:row>16</xdr:row>
          <xdr:rowOff>289560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17</xdr:row>
          <xdr:rowOff>22860</xdr:rowOff>
        </xdr:from>
        <xdr:to>
          <xdr:col>6</xdr:col>
          <xdr:colOff>342900</xdr:colOff>
          <xdr:row>17</xdr:row>
          <xdr:rowOff>289560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18</xdr:row>
          <xdr:rowOff>22860</xdr:rowOff>
        </xdr:from>
        <xdr:to>
          <xdr:col>6</xdr:col>
          <xdr:colOff>342900</xdr:colOff>
          <xdr:row>18</xdr:row>
          <xdr:rowOff>289560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7</xdr:row>
          <xdr:rowOff>22860</xdr:rowOff>
        </xdr:from>
        <xdr:to>
          <xdr:col>8</xdr:col>
          <xdr:colOff>327660</xdr:colOff>
          <xdr:row>7</xdr:row>
          <xdr:rowOff>289560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8</xdr:row>
          <xdr:rowOff>22860</xdr:rowOff>
        </xdr:from>
        <xdr:to>
          <xdr:col>8</xdr:col>
          <xdr:colOff>327660</xdr:colOff>
          <xdr:row>8</xdr:row>
          <xdr:rowOff>289560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9</xdr:row>
          <xdr:rowOff>22860</xdr:rowOff>
        </xdr:from>
        <xdr:to>
          <xdr:col>8</xdr:col>
          <xdr:colOff>327660</xdr:colOff>
          <xdr:row>9</xdr:row>
          <xdr:rowOff>289560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10</xdr:row>
          <xdr:rowOff>22860</xdr:rowOff>
        </xdr:from>
        <xdr:to>
          <xdr:col>8</xdr:col>
          <xdr:colOff>327660</xdr:colOff>
          <xdr:row>10</xdr:row>
          <xdr:rowOff>289560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11</xdr:row>
          <xdr:rowOff>22860</xdr:rowOff>
        </xdr:from>
        <xdr:to>
          <xdr:col>8</xdr:col>
          <xdr:colOff>327660</xdr:colOff>
          <xdr:row>11</xdr:row>
          <xdr:rowOff>289560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12</xdr:row>
          <xdr:rowOff>22860</xdr:rowOff>
        </xdr:from>
        <xdr:to>
          <xdr:col>8</xdr:col>
          <xdr:colOff>327660</xdr:colOff>
          <xdr:row>12</xdr:row>
          <xdr:rowOff>289560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13</xdr:row>
          <xdr:rowOff>22860</xdr:rowOff>
        </xdr:from>
        <xdr:to>
          <xdr:col>8</xdr:col>
          <xdr:colOff>327660</xdr:colOff>
          <xdr:row>13</xdr:row>
          <xdr:rowOff>289560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14</xdr:row>
          <xdr:rowOff>22860</xdr:rowOff>
        </xdr:from>
        <xdr:to>
          <xdr:col>8</xdr:col>
          <xdr:colOff>327660</xdr:colOff>
          <xdr:row>14</xdr:row>
          <xdr:rowOff>289560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15</xdr:row>
          <xdr:rowOff>22860</xdr:rowOff>
        </xdr:from>
        <xdr:to>
          <xdr:col>8</xdr:col>
          <xdr:colOff>327660</xdr:colOff>
          <xdr:row>15</xdr:row>
          <xdr:rowOff>289560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16</xdr:row>
          <xdr:rowOff>22860</xdr:rowOff>
        </xdr:from>
        <xdr:to>
          <xdr:col>8</xdr:col>
          <xdr:colOff>327660</xdr:colOff>
          <xdr:row>16</xdr:row>
          <xdr:rowOff>289560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17</xdr:row>
          <xdr:rowOff>22860</xdr:rowOff>
        </xdr:from>
        <xdr:to>
          <xdr:col>8</xdr:col>
          <xdr:colOff>327660</xdr:colOff>
          <xdr:row>17</xdr:row>
          <xdr:rowOff>289560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18</xdr:row>
          <xdr:rowOff>22860</xdr:rowOff>
        </xdr:from>
        <xdr:to>
          <xdr:col>8</xdr:col>
          <xdr:colOff>327660</xdr:colOff>
          <xdr:row>18</xdr:row>
          <xdr:rowOff>289560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7</xdr:row>
          <xdr:rowOff>22860</xdr:rowOff>
        </xdr:from>
        <xdr:to>
          <xdr:col>9</xdr:col>
          <xdr:colOff>342900</xdr:colOff>
          <xdr:row>7</xdr:row>
          <xdr:rowOff>289560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8</xdr:row>
          <xdr:rowOff>22860</xdr:rowOff>
        </xdr:from>
        <xdr:to>
          <xdr:col>9</xdr:col>
          <xdr:colOff>342900</xdr:colOff>
          <xdr:row>8</xdr:row>
          <xdr:rowOff>289560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9</xdr:row>
          <xdr:rowOff>22860</xdr:rowOff>
        </xdr:from>
        <xdr:to>
          <xdr:col>9</xdr:col>
          <xdr:colOff>342900</xdr:colOff>
          <xdr:row>9</xdr:row>
          <xdr:rowOff>289560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10</xdr:row>
          <xdr:rowOff>22860</xdr:rowOff>
        </xdr:from>
        <xdr:to>
          <xdr:col>9</xdr:col>
          <xdr:colOff>342900</xdr:colOff>
          <xdr:row>10</xdr:row>
          <xdr:rowOff>289560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11</xdr:row>
          <xdr:rowOff>22860</xdr:rowOff>
        </xdr:from>
        <xdr:to>
          <xdr:col>9</xdr:col>
          <xdr:colOff>342900</xdr:colOff>
          <xdr:row>11</xdr:row>
          <xdr:rowOff>289560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12</xdr:row>
          <xdr:rowOff>22860</xdr:rowOff>
        </xdr:from>
        <xdr:to>
          <xdr:col>9</xdr:col>
          <xdr:colOff>342900</xdr:colOff>
          <xdr:row>12</xdr:row>
          <xdr:rowOff>289560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13</xdr:row>
          <xdr:rowOff>22860</xdr:rowOff>
        </xdr:from>
        <xdr:to>
          <xdr:col>9</xdr:col>
          <xdr:colOff>342900</xdr:colOff>
          <xdr:row>13</xdr:row>
          <xdr:rowOff>289560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14</xdr:row>
          <xdr:rowOff>22860</xdr:rowOff>
        </xdr:from>
        <xdr:to>
          <xdr:col>9</xdr:col>
          <xdr:colOff>342900</xdr:colOff>
          <xdr:row>14</xdr:row>
          <xdr:rowOff>289560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15</xdr:row>
          <xdr:rowOff>22860</xdr:rowOff>
        </xdr:from>
        <xdr:to>
          <xdr:col>9</xdr:col>
          <xdr:colOff>342900</xdr:colOff>
          <xdr:row>15</xdr:row>
          <xdr:rowOff>289560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16</xdr:row>
          <xdr:rowOff>22860</xdr:rowOff>
        </xdr:from>
        <xdr:to>
          <xdr:col>9</xdr:col>
          <xdr:colOff>342900</xdr:colOff>
          <xdr:row>16</xdr:row>
          <xdr:rowOff>289560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17</xdr:row>
          <xdr:rowOff>22860</xdr:rowOff>
        </xdr:from>
        <xdr:to>
          <xdr:col>9</xdr:col>
          <xdr:colOff>342900</xdr:colOff>
          <xdr:row>17</xdr:row>
          <xdr:rowOff>289560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18</xdr:row>
          <xdr:rowOff>22860</xdr:rowOff>
        </xdr:from>
        <xdr:to>
          <xdr:col>9</xdr:col>
          <xdr:colOff>342900</xdr:colOff>
          <xdr:row>18</xdr:row>
          <xdr:rowOff>289560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7</xdr:row>
          <xdr:rowOff>22860</xdr:rowOff>
        </xdr:from>
        <xdr:to>
          <xdr:col>11</xdr:col>
          <xdr:colOff>327660</xdr:colOff>
          <xdr:row>7</xdr:row>
          <xdr:rowOff>289560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8</xdr:row>
          <xdr:rowOff>22860</xdr:rowOff>
        </xdr:from>
        <xdr:to>
          <xdr:col>11</xdr:col>
          <xdr:colOff>327660</xdr:colOff>
          <xdr:row>8</xdr:row>
          <xdr:rowOff>289560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9</xdr:row>
          <xdr:rowOff>22860</xdr:rowOff>
        </xdr:from>
        <xdr:to>
          <xdr:col>11</xdr:col>
          <xdr:colOff>327660</xdr:colOff>
          <xdr:row>9</xdr:row>
          <xdr:rowOff>289560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10</xdr:row>
          <xdr:rowOff>22860</xdr:rowOff>
        </xdr:from>
        <xdr:to>
          <xdr:col>11</xdr:col>
          <xdr:colOff>327660</xdr:colOff>
          <xdr:row>10</xdr:row>
          <xdr:rowOff>289560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11</xdr:row>
          <xdr:rowOff>22860</xdr:rowOff>
        </xdr:from>
        <xdr:to>
          <xdr:col>11</xdr:col>
          <xdr:colOff>327660</xdr:colOff>
          <xdr:row>11</xdr:row>
          <xdr:rowOff>289560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12</xdr:row>
          <xdr:rowOff>22860</xdr:rowOff>
        </xdr:from>
        <xdr:to>
          <xdr:col>11</xdr:col>
          <xdr:colOff>327660</xdr:colOff>
          <xdr:row>12</xdr:row>
          <xdr:rowOff>289560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13</xdr:row>
          <xdr:rowOff>22860</xdr:rowOff>
        </xdr:from>
        <xdr:to>
          <xdr:col>11</xdr:col>
          <xdr:colOff>327660</xdr:colOff>
          <xdr:row>13</xdr:row>
          <xdr:rowOff>289560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14</xdr:row>
          <xdr:rowOff>22860</xdr:rowOff>
        </xdr:from>
        <xdr:to>
          <xdr:col>11</xdr:col>
          <xdr:colOff>327660</xdr:colOff>
          <xdr:row>14</xdr:row>
          <xdr:rowOff>289560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15</xdr:row>
          <xdr:rowOff>22860</xdr:rowOff>
        </xdr:from>
        <xdr:to>
          <xdr:col>11</xdr:col>
          <xdr:colOff>327660</xdr:colOff>
          <xdr:row>15</xdr:row>
          <xdr:rowOff>289560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16</xdr:row>
          <xdr:rowOff>22860</xdr:rowOff>
        </xdr:from>
        <xdr:to>
          <xdr:col>11</xdr:col>
          <xdr:colOff>327660</xdr:colOff>
          <xdr:row>16</xdr:row>
          <xdr:rowOff>289560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17</xdr:row>
          <xdr:rowOff>22860</xdr:rowOff>
        </xdr:from>
        <xdr:to>
          <xdr:col>11</xdr:col>
          <xdr:colOff>327660</xdr:colOff>
          <xdr:row>18</xdr:row>
          <xdr:rowOff>15240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18</xdr:row>
          <xdr:rowOff>22860</xdr:rowOff>
        </xdr:from>
        <xdr:to>
          <xdr:col>11</xdr:col>
          <xdr:colOff>327660</xdr:colOff>
          <xdr:row>18</xdr:row>
          <xdr:rowOff>289560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7</xdr:row>
          <xdr:rowOff>22860</xdr:rowOff>
        </xdr:from>
        <xdr:to>
          <xdr:col>12</xdr:col>
          <xdr:colOff>342900</xdr:colOff>
          <xdr:row>7</xdr:row>
          <xdr:rowOff>289560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8</xdr:row>
          <xdr:rowOff>22860</xdr:rowOff>
        </xdr:from>
        <xdr:to>
          <xdr:col>12</xdr:col>
          <xdr:colOff>342900</xdr:colOff>
          <xdr:row>8</xdr:row>
          <xdr:rowOff>289560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9</xdr:row>
          <xdr:rowOff>22860</xdr:rowOff>
        </xdr:from>
        <xdr:to>
          <xdr:col>12</xdr:col>
          <xdr:colOff>342900</xdr:colOff>
          <xdr:row>9</xdr:row>
          <xdr:rowOff>289560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10</xdr:row>
          <xdr:rowOff>22860</xdr:rowOff>
        </xdr:from>
        <xdr:to>
          <xdr:col>12</xdr:col>
          <xdr:colOff>342900</xdr:colOff>
          <xdr:row>10</xdr:row>
          <xdr:rowOff>289560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11</xdr:row>
          <xdr:rowOff>22860</xdr:rowOff>
        </xdr:from>
        <xdr:to>
          <xdr:col>12</xdr:col>
          <xdr:colOff>342900</xdr:colOff>
          <xdr:row>11</xdr:row>
          <xdr:rowOff>289560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12</xdr:row>
          <xdr:rowOff>22860</xdr:rowOff>
        </xdr:from>
        <xdr:to>
          <xdr:col>12</xdr:col>
          <xdr:colOff>342900</xdr:colOff>
          <xdr:row>12</xdr:row>
          <xdr:rowOff>289560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13</xdr:row>
          <xdr:rowOff>22860</xdr:rowOff>
        </xdr:from>
        <xdr:to>
          <xdr:col>12</xdr:col>
          <xdr:colOff>342900</xdr:colOff>
          <xdr:row>13</xdr:row>
          <xdr:rowOff>289560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14</xdr:row>
          <xdr:rowOff>22860</xdr:rowOff>
        </xdr:from>
        <xdr:to>
          <xdr:col>12</xdr:col>
          <xdr:colOff>342900</xdr:colOff>
          <xdr:row>14</xdr:row>
          <xdr:rowOff>289560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15</xdr:row>
          <xdr:rowOff>22860</xdr:rowOff>
        </xdr:from>
        <xdr:to>
          <xdr:col>12</xdr:col>
          <xdr:colOff>342900</xdr:colOff>
          <xdr:row>15</xdr:row>
          <xdr:rowOff>289560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16</xdr:row>
          <xdr:rowOff>22860</xdr:rowOff>
        </xdr:from>
        <xdr:to>
          <xdr:col>12</xdr:col>
          <xdr:colOff>342900</xdr:colOff>
          <xdr:row>16</xdr:row>
          <xdr:rowOff>289560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17</xdr:row>
          <xdr:rowOff>22860</xdr:rowOff>
        </xdr:from>
        <xdr:to>
          <xdr:col>12</xdr:col>
          <xdr:colOff>342900</xdr:colOff>
          <xdr:row>17</xdr:row>
          <xdr:rowOff>289560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18</xdr:row>
          <xdr:rowOff>22860</xdr:rowOff>
        </xdr:from>
        <xdr:to>
          <xdr:col>12</xdr:col>
          <xdr:colOff>342900</xdr:colOff>
          <xdr:row>18</xdr:row>
          <xdr:rowOff>289560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7</xdr:row>
          <xdr:rowOff>22860</xdr:rowOff>
        </xdr:from>
        <xdr:to>
          <xdr:col>14</xdr:col>
          <xdr:colOff>327660</xdr:colOff>
          <xdr:row>7</xdr:row>
          <xdr:rowOff>289560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8</xdr:row>
          <xdr:rowOff>22860</xdr:rowOff>
        </xdr:from>
        <xdr:to>
          <xdr:col>14</xdr:col>
          <xdr:colOff>327660</xdr:colOff>
          <xdr:row>8</xdr:row>
          <xdr:rowOff>289560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9</xdr:row>
          <xdr:rowOff>22860</xdr:rowOff>
        </xdr:from>
        <xdr:to>
          <xdr:col>14</xdr:col>
          <xdr:colOff>327660</xdr:colOff>
          <xdr:row>9</xdr:row>
          <xdr:rowOff>289560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10</xdr:row>
          <xdr:rowOff>22860</xdr:rowOff>
        </xdr:from>
        <xdr:to>
          <xdr:col>14</xdr:col>
          <xdr:colOff>327660</xdr:colOff>
          <xdr:row>10</xdr:row>
          <xdr:rowOff>289560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11</xdr:row>
          <xdr:rowOff>22860</xdr:rowOff>
        </xdr:from>
        <xdr:to>
          <xdr:col>14</xdr:col>
          <xdr:colOff>327660</xdr:colOff>
          <xdr:row>11</xdr:row>
          <xdr:rowOff>289560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12</xdr:row>
          <xdr:rowOff>22860</xdr:rowOff>
        </xdr:from>
        <xdr:to>
          <xdr:col>14</xdr:col>
          <xdr:colOff>327660</xdr:colOff>
          <xdr:row>12</xdr:row>
          <xdr:rowOff>289560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13</xdr:row>
          <xdr:rowOff>22860</xdr:rowOff>
        </xdr:from>
        <xdr:to>
          <xdr:col>14</xdr:col>
          <xdr:colOff>327660</xdr:colOff>
          <xdr:row>13</xdr:row>
          <xdr:rowOff>289560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14</xdr:row>
          <xdr:rowOff>22860</xdr:rowOff>
        </xdr:from>
        <xdr:to>
          <xdr:col>14</xdr:col>
          <xdr:colOff>327660</xdr:colOff>
          <xdr:row>14</xdr:row>
          <xdr:rowOff>289560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15</xdr:row>
          <xdr:rowOff>22860</xdr:rowOff>
        </xdr:from>
        <xdr:to>
          <xdr:col>14</xdr:col>
          <xdr:colOff>327660</xdr:colOff>
          <xdr:row>15</xdr:row>
          <xdr:rowOff>289560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16</xdr:row>
          <xdr:rowOff>22860</xdr:rowOff>
        </xdr:from>
        <xdr:to>
          <xdr:col>14</xdr:col>
          <xdr:colOff>327660</xdr:colOff>
          <xdr:row>16</xdr:row>
          <xdr:rowOff>289560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17</xdr:row>
          <xdr:rowOff>22860</xdr:rowOff>
        </xdr:from>
        <xdr:to>
          <xdr:col>14</xdr:col>
          <xdr:colOff>327660</xdr:colOff>
          <xdr:row>17</xdr:row>
          <xdr:rowOff>289560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18</xdr:row>
          <xdr:rowOff>22860</xdr:rowOff>
        </xdr:from>
        <xdr:to>
          <xdr:col>14</xdr:col>
          <xdr:colOff>327660</xdr:colOff>
          <xdr:row>18</xdr:row>
          <xdr:rowOff>289560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7</xdr:row>
          <xdr:rowOff>22860</xdr:rowOff>
        </xdr:from>
        <xdr:to>
          <xdr:col>15</xdr:col>
          <xdr:colOff>342900</xdr:colOff>
          <xdr:row>7</xdr:row>
          <xdr:rowOff>289560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8</xdr:row>
          <xdr:rowOff>22860</xdr:rowOff>
        </xdr:from>
        <xdr:to>
          <xdr:col>15</xdr:col>
          <xdr:colOff>342900</xdr:colOff>
          <xdr:row>8</xdr:row>
          <xdr:rowOff>289560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9</xdr:row>
          <xdr:rowOff>22860</xdr:rowOff>
        </xdr:from>
        <xdr:to>
          <xdr:col>15</xdr:col>
          <xdr:colOff>342900</xdr:colOff>
          <xdr:row>9</xdr:row>
          <xdr:rowOff>289560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10</xdr:row>
          <xdr:rowOff>22860</xdr:rowOff>
        </xdr:from>
        <xdr:to>
          <xdr:col>15</xdr:col>
          <xdr:colOff>342900</xdr:colOff>
          <xdr:row>10</xdr:row>
          <xdr:rowOff>289560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11</xdr:row>
          <xdr:rowOff>22860</xdr:rowOff>
        </xdr:from>
        <xdr:to>
          <xdr:col>15</xdr:col>
          <xdr:colOff>342900</xdr:colOff>
          <xdr:row>11</xdr:row>
          <xdr:rowOff>289560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12</xdr:row>
          <xdr:rowOff>22860</xdr:rowOff>
        </xdr:from>
        <xdr:to>
          <xdr:col>15</xdr:col>
          <xdr:colOff>342900</xdr:colOff>
          <xdr:row>12</xdr:row>
          <xdr:rowOff>289560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13</xdr:row>
          <xdr:rowOff>22860</xdr:rowOff>
        </xdr:from>
        <xdr:to>
          <xdr:col>15</xdr:col>
          <xdr:colOff>342900</xdr:colOff>
          <xdr:row>13</xdr:row>
          <xdr:rowOff>289560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14</xdr:row>
          <xdr:rowOff>22860</xdr:rowOff>
        </xdr:from>
        <xdr:to>
          <xdr:col>15</xdr:col>
          <xdr:colOff>342900</xdr:colOff>
          <xdr:row>14</xdr:row>
          <xdr:rowOff>289560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15</xdr:row>
          <xdr:rowOff>22860</xdr:rowOff>
        </xdr:from>
        <xdr:to>
          <xdr:col>15</xdr:col>
          <xdr:colOff>342900</xdr:colOff>
          <xdr:row>15</xdr:row>
          <xdr:rowOff>289560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16</xdr:row>
          <xdr:rowOff>22860</xdr:rowOff>
        </xdr:from>
        <xdr:to>
          <xdr:col>15</xdr:col>
          <xdr:colOff>342900</xdr:colOff>
          <xdr:row>16</xdr:row>
          <xdr:rowOff>289560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17</xdr:row>
          <xdr:rowOff>22860</xdr:rowOff>
        </xdr:from>
        <xdr:to>
          <xdr:col>15</xdr:col>
          <xdr:colOff>342900</xdr:colOff>
          <xdr:row>17</xdr:row>
          <xdr:rowOff>289560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18</xdr:row>
          <xdr:rowOff>22860</xdr:rowOff>
        </xdr:from>
        <xdr:to>
          <xdr:col>15</xdr:col>
          <xdr:colOff>342900</xdr:colOff>
          <xdr:row>18</xdr:row>
          <xdr:rowOff>289560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7</xdr:row>
          <xdr:rowOff>22860</xdr:rowOff>
        </xdr:from>
        <xdr:to>
          <xdr:col>17</xdr:col>
          <xdr:colOff>327660</xdr:colOff>
          <xdr:row>7</xdr:row>
          <xdr:rowOff>289560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8</xdr:row>
          <xdr:rowOff>22860</xdr:rowOff>
        </xdr:from>
        <xdr:to>
          <xdr:col>17</xdr:col>
          <xdr:colOff>327660</xdr:colOff>
          <xdr:row>8</xdr:row>
          <xdr:rowOff>289560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9</xdr:row>
          <xdr:rowOff>22860</xdr:rowOff>
        </xdr:from>
        <xdr:to>
          <xdr:col>17</xdr:col>
          <xdr:colOff>327660</xdr:colOff>
          <xdr:row>9</xdr:row>
          <xdr:rowOff>289560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10</xdr:row>
          <xdr:rowOff>22860</xdr:rowOff>
        </xdr:from>
        <xdr:to>
          <xdr:col>17</xdr:col>
          <xdr:colOff>327660</xdr:colOff>
          <xdr:row>10</xdr:row>
          <xdr:rowOff>289560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11</xdr:row>
          <xdr:rowOff>22860</xdr:rowOff>
        </xdr:from>
        <xdr:to>
          <xdr:col>17</xdr:col>
          <xdr:colOff>327660</xdr:colOff>
          <xdr:row>11</xdr:row>
          <xdr:rowOff>289560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12</xdr:row>
          <xdr:rowOff>22860</xdr:rowOff>
        </xdr:from>
        <xdr:to>
          <xdr:col>17</xdr:col>
          <xdr:colOff>327660</xdr:colOff>
          <xdr:row>12</xdr:row>
          <xdr:rowOff>289560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13</xdr:row>
          <xdr:rowOff>22860</xdr:rowOff>
        </xdr:from>
        <xdr:to>
          <xdr:col>17</xdr:col>
          <xdr:colOff>327660</xdr:colOff>
          <xdr:row>13</xdr:row>
          <xdr:rowOff>289560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14</xdr:row>
          <xdr:rowOff>22860</xdr:rowOff>
        </xdr:from>
        <xdr:to>
          <xdr:col>17</xdr:col>
          <xdr:colOff>327660</xdr:colOff>
          <xdr:row>14</xdr:row>
          <xdr:rowOff>289560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15</xdr:row>
          <xdr:rowOff>22860</xdr:rowOff>
        </xdr:from>
        <xdr:to>
          <xdr:col>17</xdr:col>
          <xdr:colOff>327660</xdr:colOff>
          <xdr:row>15</xdr:row>
          <xdr:rowOff>289560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16</xdr:row>
          <xdr:rowOff>22860</xdr:rowOff>
        </xdr:from>
        <xdr:to>
          <xdr:col>17</xdr:col>
          <xdr:colOff>327660</xdr:colOff>
          <xdr:row>16</xdr:row>
          <xdr:rowOff>289560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17</xdr:row>
          <xdr:rowOff>22860</xdr:rowOff>
        </xdr:from>
        <xdr:to>
          <xdr:col>17</xdr:col>
          <xdr:colOff>327660</xdr:colOff>
          <xdr:row>17</xdr:row>
          <xdr:rowOff>289560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18</xdr:row>
          <xdr:rowOff>22860</xdr:rowOff>
        </xdr:from>
        <xdr:to>
          <xdr:col>17</xdr:col>
          <xdr:colOff>327660</xdr:colOff>
          <xdr:row>18</xdr:row>
          <xdr:rowOff>289560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7</xdr:row>
          <xdr:rowOff>22860</xdr:rowOff>
        </xdr:from>
        <xdr:to>
          <xdr:col>18</xdr:col>
          <xdr:colOff>342900</xdr:colOff>
          <xdr:row>7</xdr:row>
          <xdr:rowOff>289560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8</xdr:row>
          <xdr:rowOff>22860</xdr:rowOff>
        </xdr:from>
        <xdr:to>
          <xdr:col>18</xdr:col>
          <xdr:colOff>342900</xdr:colOff>
          <xdr:row>8</xdr:row>
          <xdr:rowOff>289560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9</xdr:row>
          <xdr:rowOff>22860</xdr:rowOff>
        </xdr:from>
        <xdr:to>
          <xdr:col>18</xdr:col>
          <xdr:colOff>342900</xdr:colOff>
          <xdr:row>9</xdr:row>
          <xdr:rowOff>289560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10</xdr:row>
          <xdr:rowOff>22860</xdr:rowOff>
        </xdr:from>
        <xdr:to>
          <xdr:col>18</xdr:col>
          <xdr:colOff>342900</xdr:colOff>
          <xdr:row>10</xdr:row>
          <xdr:rowOff>289560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11</xdr:row>
          <xdr:rowOff>22860</xdr:rowOff>
        </xdr:from>
        <xdr:to>
          <xdr:col>18</xdr:col>
          <xdr:colOff>342900</xdr:colOff>
          <xdr:row>11</xdr:row>
          <xdr:rowOff>289560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12</xdr:row>
          <xdr:rowOff>22860</xdr:rowOff>
        </xdr:from>
        <xdr:to>
          <xdr:col>18</xdr:col>
          <xdr:colOff>342900</xdr:colOff>
          <xdr:row>12</xdr:row>
          <xdr:rowOff>289560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13</xdr:row>
          <xdr:rowOff>22860</xdr:rowOff>
        </xdr:from>
        <xdr:to>
          <xdr:col>18</xdr:col>
          <xdr:colOff>342900</xdr:colOff>
          <xdr:row>13</xdr:row>
          <xdr:rowOff>289560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14</xdr:row>
          <xdr:rowOff>22860</xdr:rowOff>
        </xdr:from>
        <xdr:to>
          <xdr:col>18</xdr:col>
          <xdr:colOff>342900</xdr:colOff>
          <xdr:row>14</xdr:row>
          <xdr:rowOff>289560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15</xdr:row>
          <xdr:rowOff>22860</xdr:rowOff>
        </xdr:from>
        <xdr:to>
          <xdr:col>18</xdr:col>
          <xdr:colOff>342900</xdr:colOff>
          <xdr:row>15</xdr:row>
          <xdr:rowOff>289560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16</xdr:row>
          <xdr:rowOff>22860</xdr:rowOff>
        </xdr:from>
        <xdr:to>
          <xdr:col>18</xdr:col>
          <xdr:colOff>342900</xdr:colOff>
          <xdr:row>16</xdr:row>
          <xdr:rowOff>289560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17</xdr:row>
          <xdr:rowOff>22860</xdr:rowOff>
        </xdr:from>
        <xdr:to>
          <xdr:col>18</xdr:col>
          <xdr:colOff>342900</xdr:colOff>
          <xdr:row>17</xdr:row>
          <xdr:rowOff>289560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18</xdr:row>
          <xdr:rowOff>22860</xdr:rowOff>
        </xdr:from>
        <xdr:to>
          <xdr:col>18</xdr:col>
          <xdr:colOff>342900</xdr:colOff>
          <xdr:row>18</xdr:row>
          <xdr:rowOff>289560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7</xdr:row>
          <xdr:rowOff>22860</xdr:rowOff>
        </xdr:from>
        <xdr:to>
          <xdr:col>20</xdr:col>
          <xdr:colOff>327660</xdr:colOff>
          <xdr:row>7</xdr:row>
          <xdr:rowOff>289560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8</xdr:row>
          <xdr:rowOff>22860</xdr:rowOff>
        </xdr:from>
        <xdr:to>
          <xdr:col>20</xdr:col>
          <xdr:colOff>327660</xdr:colOff>
          <xdr:row>8</xdr:row>
          <xdr:rowOff>289560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9</xdr:row>
          <xdr:rowOff>22860</xdr:rowOff>
        </xdr:from>
        <xdr:to>
          <xdr:col>20</xdr:col>
          <xdr:colOff>327660</xdr:colOff>
          <xdr:row>9</xdr:row>
          <xdr:rowOff>289560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10</xdr:row>
          <xdr:rowOff>22860</xdr:rowOff>
        </xdr:from>
        <xdr:to>
          <xdr:col>20</xdr:col>
          <xdr:colOff>327660</xdr:colOff>
          <xdr:row>10</xdr:row>
          <xdr:rowOff>289560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11</xdr:row>
          <xdr:rowOff>22860</xdr:rowOff>
        </xdr:from>
        <xdr:to>
          <xdr:col>20</xdr:col>
          <xdr:colOff>327660</xdr:colOff>
          <xdr:row>11</xdr:row>
          <xdr:rowOff>289560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12</xdr:row>
          <xdr:rowOff>22860</xdr:rowOff>
        </xdr:from>
        <xdr:to>
          <xdr:col>20</xdr:col>
          <xdr:colOff>327660</xdr:colOff>
          <xdr:row>12</xdr:row>
          <xdr:rowOff>289560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13</xdr:row>
          <xdr:rowOff>22860</xdr:rowOff>
        </xdr:from>
        <xdr:to>
          <xdr:col>20</xdr:col>
          <xdr:colOff>327660</xdr:colOff>
          <xdr:row>13</xdr:row>
          <xdr:rowOff>289560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14</xdr:row>
          <xdr:rowOff>22860</xdr:rowOff>
        </xdr:from>
        <xdr:to>
          <xdr:col>20</xdr:col>
          <xdr:colOff>327660</xdr:colOff>
          <xdr:row>14</xdr:row>
          <xdr:rowOff>289560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15</xdr:row>
          <xdr:rowOff>22860</xdr:rowOff>
        </xdr:from>
        <xdr:to>
          <xdr:col>20</xdr:col>
          <xdr:colOff>327660</xdr:colOff>
          <xdr:row>15</xdr:row>
          <xdr:rowOff>289560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16</xdr:row>
          <xdr:rowOff>22860</xdr:rowOff>
        </xdr:from>
        <xdr:to>
          <xdr:col>20</xdr:col>
          <xdr:colOff>327660</xdr:colOff>
          <xdr:row>16</xdr:row>
          <xdr:rowOff>289560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17</xdr:row>
          <xdr:rowOff>22860</xdr:rowOff>
        </xdr:from>
        <xdr:to>
          <xdr:col>20</xdr:col>
          <xdr:colOff>327660</xdr:colOff>
          <xdr:row>17</xdr:row>
          <xdr:rowOff>289560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20</xdr:col>
          <xdr:colOff>327660</xdr:colOff>
          <xdr:row>18</xdr:row>
          <xdr:rowOff>289560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22</xdr:row>
          <xdr:rowOff>22860</xdr:rowOff>
        </xdr:from>
        <xdr:to>
          <xdr:col>3</xdr:col>
          <xdr:colOff>342900</xdr:colOff>
          <xdr:row>22</xdr:row>
          <xdr:rowOff>289560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22</xdr:row>
          <xdr:rowOff>22860</xdr:rowOff>
        </xdr:from>
        <xdr:to>
          <xdr:col>5</xdr:col>
          <xdr:colOff>327660</xdr:colOff>
          <xdr:row>22</xdr:row>
          <xdr:rowOff>289560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22</xdr:row>
          <xdr:rowOff>22860</xdr:rowOff>
        </xdr:from>
        <xdr:to>
          <xdr:col>6</xdr:col>
          <xdr:colOff>342900</xdr:colOff>
          <xdr:row>22</xdr:row>
          <xdr:rowOff>289560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22</xdr:row>
          <xdr:rowOff>22860</xdr:rowOff>
        </xdr:from>
        <xdr:to>
          <xdr:col>8</xdr:col>
          <xdr:colOff>327660</xdr:colOff>
          <xdr:row>22</xdr:row>
          <xdr:rowOff>289560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22</xdr:row>
          <xdr:rowOff>22860</xdr:rowOff>
        </xdr:from>
        <xdr:to>
          <xdr:col>9</xdr:col>
          <xdr:colOff>342900</xdr:colOff>
          <xdr:row>22</xdr:row>
          <xdr:rowOff>289560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22</xdr:row>
          <xdr:rowOff>22860</xdr:rowOff>
        </xdr:from>
        <xdr:to>
          <xdr:col>11</xdr:col>
          <xdr:colOff>327660</xdr:colOff>
          <xdr:row>22</xdr:row>
          <xdr:rowOff>289560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22</xdr:row>
          <xdr:rowOff>22860</xdr:rowOff>
        </xdr:from>
        <xdr:to>
          <xdr:col>12</xdr:col>
          <xdr:colOff>342900</xdr:colOff>
          <xdr:row>22</xdr:row>
          <xdr:rowOff>289560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22</xdr:row>
          <xdr:rowOff>22860</xdr:rowOff>
        </xdr:from>
        <xdr:to>
          <xdr:col>14</xdr:col>
          <xdr:colOff>327660</xdr:colOff>
          <xdr:row>22</xdr:row>
          <xdr:rowOff>289560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22</xdr:row>
          <xdr:rowOff>22860</xdr:rowOff>
        </xdr:from>
        <xdr:to>
          <xdr:col>15</xdr:col>
          <xdr:colOff>342900</xdr:colOff>
          <xdr:row>22</xdr:row>
          <xdr:rowOff>289560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22</xdr:row>
          <xdr:rowOff>22860</xdr:rowOff>
        </xdr:from>
        <xdr:to>
          <xdr:col>17</xdr:col>
          <xdr:colOff>327660</xdr:colOff>
          <xdr:row>22</xdr:row>
          <xdr:rowOff>289560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22</xdr:row>
          <xdr:rowOff>22860</xdr:rowOff>
        </xdr:from>
        <xdr:to>
          <xdr:col>18</xdr:col>
          <xdr:colOff>342900</xdr:colOff>
          <xdr:row>22</xdr:row>
          <xdr:rowOff>289560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22</xdr:row>
          <xdr:rowOff>22860</xdr:rowOff>
        </xdr:from>
        <xdr:to>
          <xdr:col>20</xdr:col>
          <xdr:colOff>327660</xdr:colOff>
          <xdr:row>22</xdr:row>
          <xdr:rowOff>289560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23</xdr:row>
          <xdr:rowOff>22860</xdr:rowOff>
        </xdr:from>
        <xdr:to>
          <xdr:col>3</xdr:col>
          <xdr:colOff>342900</xdr:colOff>
          <xdr:row>23</xdr:row>
          <xdr:rowOff>289560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23</xdr:row>
          <xdr:rowOff>22860</xdr:rowOff>
        </xdr:from>
        <xdr:to>
          <xdr:col>5</xdr:col>
          <xdr:colOff>327660</xdr:colOff>
          <xdr:row>23</xdr:row>
          <xdr:rowOff>289560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23</xdr:row>
          <xdr:rowOff>22860</xdr:rowOff>
        </xdr:from>
        <xdr:to>
          <xdr:col>6</xdr:col>
          <xdr:colOff>342900</xdr:colOff>
          <xdr:row>23</xdr:row>
          <xdr:rowOff>289560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23</xdr:row>
          <xdr:rowOff>22860</xdr:rowOff>
        </xdr:from>
        <xdr:to>
          <xdr:col>8</xdr:col>
          <xdr:colOff>327660</xdr:colOff>
          <xdr:row>23</xdr:row>
          <xdr:rowOff>289560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23</xdr:row>
          <xdr:rowOff>22860</xdr:rowOff>
        </xdr:from>
        <xdr:to>
          <xdr:col>9</xdr:col>
          <xdr:colOff>342900</xdr:colOff>
          <xdr:row>23</xdr:row>
          <xdr:rowOff>289560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23</xdr:row>
          <xdr:rowOff>22860</xdr:rowOff>
        </xdr:from>
        <xdr:to>
          <xdr:col>11</xdr:col>
          <xdr:colOff>327660</xdr:colOff>
          <xdr:row>23</xdr:row>
          <xdr:rowOff>289560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23</xdr:row>
          <xdr:rowOff>22860</xdr:rowOff>
        </xdr:from>
        <xdr:to>
          <xdr:col>12</xdr:col>
          <xdr:colOff>342900</xdr:colOff>
          <xdr:row>23</xdr:row>
          <xdr:rowOff>289560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23</xdr:row>
          <xdr:rowOff>22860</xdr:rowOff>
        </xdr:from>
        <xdr:to>
          <xdr:col>14</xdr:col>
          <xdr:colOff>327660</xdr:colOff>
          <xdr:row>23</xdr:row>
          <xdr:rowOff>289560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23</xdr:row>
          <xdr:rowOff>22860</xdr:rowOff>
        </xdr:from>
        <xdr:to>
          <xdr:col>15</xdr:col>
          <xdr:colOff>342900</xdr:colOff>
          <xdr:row>23</xdr:row>
          <xdr:rowOff>289560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23</xdr:row>
          <xdr:rowOff>22860</xdr:rowOff>
        </xdr:from>
        <xdr:to>
          <xdr:col>17</xdr:col>
          <xdr:colOff>327660</xdr:colOff>
          <xdr:row>23</xdr:row>
          <xdr:rowOff>289560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23</xdr:row>
          <xdr:rowOff>22860</xdr:rowOff>
        </xdr:from>
        <xdr:to>
          <xdr:col>18</xdr:col>
          <xdr:colOff>342900</xdr:colOff>
          <xdr:row>23</xdr:row>
          <xdr:rowOff>289560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23</xdr:row>
          <xdr:rowOff>22860</xdr:rowOff>
        </xdr:from>
        <xdr:to>
          <xdr:col>20</xdr:col>
          <xdr:colOff>327660</xdr:colOff>
          <xdr:row>23</xdr:row>
          <xdr:rowOff>289560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24</xdr:row>
          <xdr:rowOff>22860</xdr:rowOff>
        </xdr:from>
        <xdr:to>
          <xdr:col>3</xdr:col>
          <xdr:colOff>342900</xdr:colOff>
          <xdr:row>24</xdr:row>
          <xdr:rowOff>289560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24</xdr:row>
          <xdr:rowOff>22860</xdr:rowOff>
        </xdr:from>
        <xdr:to>
          <xdr:col>5</xdr:col>
          <xdr:colOff>327660</xdr:colOff>
          <xdr:row>24</xdr:row>
          <xdr:rowOff>289560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24</xdr:row>
          <xdr:rowOff>22860</xdr:rowOff>
        </xdr:from>
        <xdr:to>
          <xdr:col>6</xdr:col>
          <xdr:colOff>342900</xdr:colOff>
          <xdr:row>24</xdr:row>
          <xdr:rowOff>289560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24</xdr:row>
          <xdr:rowOff>22860</xdr:rowOff>
        </xdr:from>
        <xdr:to>
          <xdr:col>8</xdr:col>
          <xdr:colOff>327660</xdr:colOff>
          <xdr:row>24</xdr:row>
          <xdr:rowOff>289560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24</xdr:row>
          <xdr:rowOff>22860</xdr:rowOff>
        </xdr:from>
        <xdr:to>
          <xdr:col>9</xdr:col>
          <xdr:colOff>342900</xdr:colOff>
          <xdr:row>24</xdr:row>
          <xdr:rowOff>289560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24</xdr:row>
          <xdr:rowOff>22860</xdr:rowOff>
        </xdr:from>
        <xdr:to>
          <xdr:col>11</xdr:col>
          <xdr:colOff>327660</xdr:colOff>
          <xdr:row>24</xdr:row>
          <xdr:rowOff>289560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24</xdr:row>
          <xdr:rowOff>22860</xdr:rowOff>
        </xdr:from>
        <xdr:to>
          <xdr:col>12</xdr:col>
          <xdr:colOff>342900</xdr:colOff>
          <xdr:row>24</xdr:row>
          <xdr:rowOff>289560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24</xdr:row>
          <xdr:rowOff>22860</xdr:rowOff>
        </xdr:from>
        <xdr:to>
          <xdr:col>14</xdr:col>
          <xdr:colOff>327660</xdr:colOff>
          <xdr:row>24</xdr:row>
          <xdr:rowOff>289560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22860</xdr:rowOff>
        </xdr:from>
        <xdr:to>
          <xdr:col>15</xdr:col>
          <xdr:colOff>342900</xdr:colOff>
          <xdr:row>24</xdr:row>
          <xdr:rowOff>289560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24</xdr:row>
          <xdr:rowOff>22860</xdr:rowOff>
        </xdr:from>
        <xdr:to>
          <xdr:col>17</xdr:col>
          <xdr:colOff>327660</xdr:colOff>
          <xdr:row>24</xdr:row>
          <xdr:rowOff>289560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24</xdr:row>
          <xdr:rowOff>22860</xdr:rowOff>
        </xdr:from>
        <xdr:to>
          <xdr:col>18</xdr:col>
          <xdr:colOff>342900</xdr:colOff>
          <xdr:row>24</xdr:row>
          <xdr:rowOff>289560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24</xdr:row>
          <xdr:rowOff>22860</xdr:rowOff>
        </xdr:from>
        <xdr:to>
          <xdr:col>20</xdr:col>
          <xdr:colOff>327660</xdr:colOff>
          <xdr:row>24</xdr:row>
          <xdr:rowOff>289560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25</xdr:row>
          <xdr:rowOff>22860</xdr:rowOff>
        </xdr:from>
        <xdr:to>
          <xdr:col>3</xdr:col>
          <xdr:colOff>342900</xdr:colOff>
          <xdr:row>25</xdr:row>
          <xdr:rowOff>289560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26</xdr:row>
          <xdr:rowOff>22860</xdr:rowOff>
        </xdr:from>
        <xdr:to>
          <xdr:col>3</xdr:col>
          <xdr:colOff>342900</xdr:colOff>
          <xdr:row>26</xdr:row>
          <xdr:rowOff>289560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27</xdr:row>
          <xdr:rowOff>22860</xdr:rowOff>
        </xdr:from>
        <xdr:to>
          <xdr:col>3</xdr:col>
          <xdr:colOff>342900</xdr:colOff>
          <xdr:row>27</xdr:row>
          <xdr:rowOff>289560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28</xdr:row>
          <xdr:rowOff>22860</xdr:rowOff>
        </xdr:from>
        <xdr:to>
          <xdr:col>3</xdr:col>
          <xdr:colOff>342900</xdr:colOff>
          <xdr:row>28</xdr:row>
          <xdr:rowOff>289560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29</xdr:row>
          <xdr:rowOff>22860</xdr:rowOff>
        </xdr:from>
        <xdr:to>
          <xdr:col>3</xdr:col>
          <xdr:colOff>342900</xdr:colOff>
          <xdr:row>29</xdr:row>
          <xdr:rowOff>289560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30</xdr:row>
          <xdr:rowOff>22860</xdr:rowOff>
        </xdr:from>
        <xdr:to>
          <xdr:col>3</xdr:col>
          <xdr:colOff>342900</xdr:colOff>
          <xdr:row>30</xdr:row>
          <xdr:rowOff>289560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31</xdr:row>
          <xdr:rowOff>22860</xdr:rowOff>
        </xdr:from>
        <xdr:to>
          <xdr:col>3</xdr:col>
          <xdr:colOff>342900</xdr:colOff>
          <xdr:row>31</xdr:row>
          <xdr:rowOff>289560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32</xdr:row>
          <xdr:rowOff>22860</xdr:rowOff>
        </xdr:from>
        <xdr:to>
          <xdr:col>3</xdr:col>
          <xdr:colOff>342900</xdr:colOff>
          <xdr:row>32</xdr:row>
          <xdr:rowOff>289560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33</xdr:row>
          <xdr:rowOff>22860</xdr:rowOff>
        </xdr:from>
        <xdr:to>
          <xdr:col>3</xdr:col>
          <xdr:colOff>342900</xdr:colOff>
          <xdr:row>33</xdr:row>
          <xdr:rowOff>289560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34</xdr:row>
          <xdr:rowOff>22860</xdr:rowOff>
        </xdr:from>
        <xdr:to>
          <xdr:col>3</xdr:col>
          <xdr:colOff>342900</xdr:colOff>
          <xdr:row>34</xdr:row>
          <xdr:rowOff>289560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35</xdr:row>
          <xdr:rowOff>22860</xdr:rowOff>
        </xdr:from>
        <xdr:to>
          <xdr:col>3</xdr:col>
          <xdr:colOff>342900</xdr:colOff>
          <xdr:row>35</xdr:row>
          <xdr:rowOff>289560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36</xdr:row>
          <xdr:rowOff>22860</xdr:rowOff>
        </xdr:from>
        <xdr:to>
          <xdr:col>3</xdr:col>
          <xdr:colOff>342900</xdr:colOff>
          <xdr:row>36</xdr:row>
          <xdr:rowOff>289560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22860</xdr:rowOff>
        </xdr:from>
        <xdr:to>
          <xdr:col>5</xdr:col>
          <xdr:colOff>327660</xdr:colOff>
          <xdr:row>25</xdr:row>
          <xdr:rowOff>289560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26</xdr:row>
          <xdr:rowOff>22860</xdr:rowOff>
        </xdr:from>
        <xdr:to>
          <xdr:col>5</xdr:col>
          <xdr:colOff>327660</xdr:colOff>
          <xdr:row>26</xdr:row>
          <xdr:rowOff>289560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27</xdr:row>
          <xdr:rowOff>22860</xdr:rowOff>
        </xdr:from>
        <xdr:to>
          <xdr:col>5</xdr:col>
          <xdr:colOff>327660</xdr:colOff>
          <xdr:row>27</xdr:row>
          <xdr:rowOff>289560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28</xdr:row>
          <xdr:rowOff>22860</xdr:rowOff>
        </xdr:from>
        <xdr:to>
          <xdr:col>5</xdr:col>
          <xdr:colOff>327660</xdr:colOff>
          <xdr:row>28</xdr:row>
          <xdr:rowOff>289560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29</xdr:row>
          <xdr:rowOff>22860</xdr:rowOff>
        </xdr:from>
        <xdr:to>
          <xdr:col>5</xdr:col>
          <xdr:colOff>327660</xdr:colOff>
          <xdr:row>29</xdr:row>
          <xdr:rowOff>289560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30</xdr:row>
          <xdr:rowOff>22860</xdr:rowOff>
        </xdr:from>
        <xdr:to>
          <xdr:col>5</xdr:col>
          <xdr:colOff>327660</xdr:colOff>
          <xdr:row>30</xdr:row>
          <xdr:rowOff>289560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31</xdr:row>
          <xdr:rowOff>22860</xdr:rowOff>
        </xdr:from>
        <xdr:to>
          <xdr:col>5</xdr:col>
          <xdr:colOff>327660</xdr:colOff>
          <xdr:row>31</xdr:row>
          <xdr:rowOff>289560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32</xdr:row>
          <xdr:rowOff>22860</xdr:rowOff>
        </xdr:from>
        <xdr:to>
          <xdr:col>5</xdr:col>
          <xdr:colOff>327660</xdr:colOff>
          <xdr:row>32</xdr:row>
          <xdr:rowOff>289560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33</xdr:row>
          <xdr:rowOff>22860</xdr:rowOff>
        </xdr:from>
        <xdr:to>
          <xdr:col>5</xdr:col>
          <xdr:colOff>327660</xdr:colOff>
          <xdr:row>33</xdr:row>
          <xdr:rowOff>289560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34</xdr:row>
          <xdr:rowOff>22860</xdr:rowOff>
        </xdr:from>
        <xdr:to>
          <xdr:col>5</xdr:col>
          <xdr:colOff>327660</xdr:colOff>
          <xdr:row>34</xdr:row>
          <xdr:rowOff>289560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35</xdr:row>
          <xdr:rowOff>22860</xdr:rowOff>
        </xdr:from>
        <xdr:to>
          <xdr:col>5</xdr:col>
          <xdr:colOff>327660</xdr:colOff>
          <xdr:row>35</xdr:row>
          <xdr:rowOff>289560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36</xdr:row>
          <xdr:rowOff>22860</xdr:rowOff>
        </xdr:from>
        <xdr:to>
          <xdr:col>5</xdr:col>
          <xdr:colOff>327660</xdr:colOff>
          <xdr:row>36</xdr:row>
          <xdr:rowOff>289560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25</xdr:row>
          <xdr:rowOff>22860</xdr:rowOff>
        </xdr:from>
        <xdr:to>
          <xdr:col>6</xdr:col>
          <xdr:colOff>342900</xdr:colOff>
          <xdr:row>25</xdr:row>
          <xdr:rowOff>289560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26</xdr:row>
          <xdr:rowOff>22860</xdr:rowOff>
        </xdr:from>
        <xdr:to>
          <xdr:col>6</xdr:col>
          <xdr:colOff>342900</xdr:colOff>
          <xdr:row>26</xdr:row>
          <xdr:rowOff>289560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27</xdr:row>
          <xdr:rowOff>22860</xdr:rowOff>
        </xdr:from>
        <xdr:to>
          <xdr:col>6</xdr:col>
          <xdr:colOff>342900</xdr:colOff>
          <xdr:row>27</xdr:row>
          <xdr:rowOff>289560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28</xdr:row>
          <xdr:rowOff>22860</xdr:rowOff>
        </xdr:from>
        <xdr:to>
          <xdr:col>6</xdr:col>
          <xdr:colOff>342900</xdr:colOff>
          <xdr:row>28</xdr:row>
          <xdr:rowOff>289560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29</xdr:row>
          <xdr:rowOff>22860</xdr:rowOff>
        </xdr:from>
        <xdr:to>
          <xdr:col>6</xdr:col>
          <xdr:colOff>342900</xdr:colOff>
          <xdr:row>29</xdr:row>
          <xdr:rowOff>289560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30</xdr:row>
          <xdr:rowOff>22860</xdr:rowOff>
        </xdr:from>
        <xdr:to>
          <xdr:col>6</xdr:col>
          <xdr:colOff>342900</xdr:colOff>
          <xdr:row>30</xdr:row>
          <xdr:rowOff>289560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31</xdr:row>
          <xdr:rowOff>22860</xdr:rowOff>
        </xdr:from>
        <xdr:to>
          <xdr:col>6</xdr:col>
          <xdr:colOff>342900</xdr:colOff>
          <xdr:row>31</xdr:row>
          <xdr:rowOff>289560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32</xdr:row>
          <xdr:rowOff>22860</xdr:rowOff>
        </xdr:from>
        <xdr:to>
          <xdr:col>6</xdr:col>
          <xdr:colOff>342900</xdr:colOff>
          <xdr:row>32</xdr:row>
          <xdr:rowOff>289560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33</xdr:row>
          <xdr:rowOff>22860</xdr:rowOff>
        </xdr:from>
        <xdr:to>
          <xdr:col>6</xdr:col>
          <xdr:colOff>342900</xdr:colOff>
          <xdr:row>33</xdr:row>
          <xdr:rowOff>289560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34</xdr:row>
          <xdr:rowOff>22860</xdr:rowOff>
        </xdr:from>
        <xdr:to>
          <xdr:col>6</xdr:col>
          <xdr:colOff>342900</xdr:colOff>
          <xdr:row>34</xdr:row>
          <xdr:rowOff>289560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35</xdr:row>
          <xdr:rowOff>22860</xdr:rowOff>
        </xdr:from>
        <xdr:to>
          <xdr:col>6</xdr:col>
          <xdr:colOff>342900</xdr:colOff>
          <xdr:row>35</xdr:row>
          <xdr:rowOff>289560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36</xdr:row>
          <xdr:rowOff>22860</xdr:rowOff>
        </xdr:from>
        <xdr:to>
          <xdr:col>6</xdr:col>
          <xdr:colOff>342900</xdr:colOff>
          <xdr:row>36</xdr:row>
          <xdr:rowOff>289560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25</xdr:row>
          <xdr:rowOff>22860</xdr:rowOff>
        </xdr:from>
        <xdr:to>
          <xdr:col>8</xdr:col>
          <xdr:colOff>327660</xdr:colOff>
          <xdr:row>25</xdr:row>
          <xdr:rowOff>289560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26</xdr:row>
          <xdr:rowOff>22860</xdr:rowOff>
        </xdr:from>
        <xdr:to>
          <xdr:col>8</xdr:col>
          <xdr:colOff>327660</xdr:colOff>
          <xdr:row>26</xdr:row>
          <xdr:rowOff>289560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27</xdr:row>
          <xdr:rowOff>22860</xdr:rowOff>
        </xdr:from>
        <xdr:to>
          <xdr:col>8</xdr:col>
          <xdr:colOff>327660</xdr:colOff>
          <xdr:row>27</xdr:row>
          <xdr:rowOff>289560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28</xdr:row>
          <xdr:rowOff>22860</xdr:rowOff>
        </xdr:from>
        <xdr:to>
          <xdr:col>8</xdr:col>
          <xdr:colOff>327660</xdr:colOff>
          <xdr:row>28</xdr:row>
          <xdr:rowOff>289560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29</xdr:row>
          <xdr:rowOff>22860</xdr:rowOff>
        </xdr:from>
        <xdr:to>
          <xdr:col>8</xdr:col>
          <xdr:colOff>327660</xdr:colOff>
          <xdr:row>29</xdr:row>
          <xdr:rowOff>289560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30</xdr:row>
          <xdr:rowOff>22860</xdr:rowOff>
        </xdr:from>
        <xdr:to>
          <xdr:col>8</xdr:col>
          <xdr:colOff>327660</xdr:colOff>
          <xdr:row>30</xdr:row>
          <xdr:rowOff>289560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31</xdr:row>
          <xdr:rowOff>22860</xdr:rowOff>
        </xdr:from>
        <xdr:to>
          <xdr:col>8</xdr:col>
          <xdr:colOff>327660</xdr:colOff>
          <xdr:row>31</xdr:row>
          <xdr:rowOff>289560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32</xdr:row>
          <xdr:rowOff>22860</xdr:rowOff>
        </xdr:from>
        <xdr:to>
          <xdr:col>8</xdr:col>
          <xdr:colOff>327660</xdr:colOff>
          <xdr:row>32</xdr:row>
          <xdr:rowOff>289560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33</xdr:row>
          <xdr:rowOff>22860</xdr:rowOff>
        </xdr:from>
        <xdr:to>
          <xdr:col>8</xdr:col>
          <xdr:colOff>327660</xdr:colOff>
          <xdr:row>33</xdr:row>
          <xdr:rowOff>289560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34</xdr:row>
          <xdr:rowOff>22860</xdr:rowOff>
        </xdr:from>
        <xdr:to>
          <xdr:col>8</xdr:col>
          <xdr:colOff>327660</xdr:colOff>
          <xdr:row>34</xdr:row>
          <xdr:rowOff>289560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35</xdr:row>
          <xdr:rowOff>22860</xdr:rowOff>
        </xdr:from>
        <xdr:to>
          <xdr:col>8</xdr:col>
          <xdr:colOff>327660</xdr:colOff>
          <xdr:row>35</xdr:row>
          <xdr:rowOff>289560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36</xdr:row>
          <xdr:rowOff>22860</xdr:rowOff>
        </xdr:from>
        <xdr:to>
          <xdr:col>8</xdr:col>
          <xdr:colOff>327660</xdr:colOff>
          <xdr:row>36</xdr:row>
          <xdr:rowOff>289560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25</xdr:row>
          <xdr:rowOff>22860</xdr:rowOff>
        </xdr:from>
        <xdr:to>
          <xdr:col>9</xdr:col>
          <xdr:colOff>342900</xdr:colOff>
          <xdr:row>25</xdr:row>
          <xdr:rowOff>289560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26</xdr:row>
          <xdr:rowOff>22860</xdr:rowOff>
        </xdr:from>
        <xdr:to>
          <xdr:col>9</xdr:col>
          <xdr:colOff>342900</xdr:colOff>
          <xdr:row>26</xdr:row>
          <xdr:rowOff>289560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27</xdr:row>
          <xdr:rowOff>22860</xdr:rowOff>
        </xdr:from>
        <xdr:to>
          <xdr:col>9</xdr:col>
          <xdr:colOff>342900</xdr:colOff>
          <xdr:row>27</xdr:row>
          <xdr:rowOff>289560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28</xdr:row>
          <xdr:rowOff>22860</xdr:rowOff>
        </xdr:from>
        <xdr:to>
          <xdr:col>9</xdr:col>
          <xdr:colOff>342900</xdr:colOff>
          <xdr:row>28</xdr:row>
          <xdr:rowOff>289560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29</xdr:row>
          <xdr:rowOff>22860</xdr:rowOff>
        </xdr:from>
        <xdr:to>
          <xdr:col>9</xdr:col>
          <xdr:colOff>342900</xdr:colOff>
          <xdr:row>29</xdr:row>
          <xdr:rowOff>289560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30</xdr:row>
          <xdr:rowOff>22860</xdr:rowOff>
        </xdr:from>
        <xdr:to>
          <xdr:col>9</xdr:col>
          <xdr:colOff>342900</xdr:colOff>
          <xdr:row>30</xdr:row>
          <xdr:rowOff>289560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31</xdr:row>
          <xdr:rowOff>22860</xdr:rowOff>
        </xdr:from>
        <xdr:to>
          <xdr:col>9</xdr:col>
          <xdr:colOff>342900</xdr:colOff>
          <xdr:row>31</xdr:row>
          <xdr:rowOff>289560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32</xdr:row>
          <xdr:rowOff>22860</xdr:rowOff>
        </xdr:from>
        <xdr:to>
          <xdr:col>9</xdr:col>
          <xdr:colOff>342900</xdr:colOff>
          <xdr:row>32</xdr:row>
          <xdr:rowOff>289560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33</xdr:row>
          <xdr:rowOff>22860</xdr:rowOff>
        </xdr:from>
        <xdr:to>
          <xdr:col>9</xdr:col>
          <xdr:colOff>342900</xdr:colOff>
          <xdr:row>33</xdr:row>
          <xdr:rowOff>289560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34</xdr:row>
          <xdr:rowOff>22860</xdr:rowOff>
        </xdr:from>
        <xdr:to>
          <xdr:col>9</xdr:col>
          <xdr:colOff>342900</xdr:colOff>
          <xdr:row>34</xdr:row>
          <xdr:rowOff>289560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35</xdr:row>
          <xdr:rowOff>22860</xdr:rowOff>
        </xdr:from>
        <xdr:to>
          <xdr:col>9</xdr:col>
          <xdr:colOff>342900</xdr:colOff>
          <xdr:row>35</xdr:row>
          <xdr:rowOff>289560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36</xdr:row>
          <xdr:rowOff>22860</xdr:rowOff>
        </xdr:from>
        <xdr:to>
          <xdr:col>9</xdr:col>
          <xdr:colOff>342900</xdr:colOff>
          <xdr:row>36</xdr:row>
          <xdr:rowOff>289560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25</xdr:row>
          <xdr:rowOff>22860</xdr:rowOff>
        </xdr:from>
        <xdr:to>
          <xdr:col>11</xdr:col>
          <xdr:colOff>327660</xdr:colOff>
          <xdr:row>25</xdr:row>
          <xdr:rowOff>289560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26</xdr:row>
          <xdr:rowOff>22860</xdr:rowOff>
        </xdr:from>
        <xdr:to>
          <xdr:col>11</xdr:col>
          <xdr:colOff>327660</xdr:colOff>
          <xdr:row>26</xdr:row>
          <xdr:rowOff>289560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27</xdr:row>
          <xdr:rowOff>22860</xdr:rowOff>
        </xdr:from>
        <xdr:to>
          <xdr:col>11</xdr:col>
          <xdr:colOff>327660</xdr:colOff>
          <xdr:row>27</xdr:row>
          <xdr:rowOff>289560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28</xdr:row>
          <xdr:rowOff>22860</xdr:rowOff>
        </xdr:from>
        <xdr:to>
          <xdr:col>11</xdr:col>
          <xdr:colOff>327660</xdr:colOff>
          <xdr:row>28</xdr:row>
          <xdr:rowOff>289560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29</xdr:row>
          <xdr:rowOff>22860</xdr:rowOff>
        </xdr:from>
        <xdr:to>
          <xdr:col>11</xdr:col>
          <xdr:colOff>327660</xdr:colOff>
          <xdr:row>29</xdr:row>
          <xdr:rowOff>289560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30</xdr:row>
          <xdr:rowOff>22860</xdr:rowOff>
        </xdr:from>
        <xdr:to>
          <xdr:col>11</xdr:col>
          <xdr:colOff>327660</xdr:colOff>
          <xdr:row>30</xdr:row>
          <xdr:rowOff>289560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31</xdr:row>
          <xdr:rowOff>22860</xdr:rowOff>
        </xdr:from>
        <xdr:to>
          <xdr:col>11</xdr:col>
          <xdr:colOff>327660</xdr:colOff>
          <xdr:row>31</xdr:row>
          <xdr:rowOff>289560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32</xdr:row>
          <xdr:rowOff>22860</xdr:rowOff>
        </xdr:from>
        <xdr:to>
          <xdr:col>11</xdr:col>
          <xdr:colOff>327660</xdr:colOff>
          <xdr:row>32</xdr:row>
          <xdr:rowOff>289560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33</xdr:row>
          <xdr:rowOff>22860</xdr:rowOff>
        </xdr:from>
        <xdr:to>
          <xdr:col>11</xdr:col>
          <xdr:colOff>327660</xdr:colOff>
          <xdr:row>33</xdr:row>
          <xdr:rowOff>289560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34</xdr:row>
          <xdr:rowOff>22860</xdr:rowOff>
        </xdr:from>
        <xdr:to>
          <xdr:col>11</xdr:col>
          <xdr:colOff>327660</xdr:colOff>
          <xdr:row>34</xdr:row>
          <xdr:rowOff>289560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35</xdr:row>
          <xdr:rowOff>22860</xdr:rowOff>
        </xdr:from>
        <xdr:to>
          <xdr:col>11</xdr:col>
          <xdr:colOff>327660</xdr:colOff>
          <xdr:row>35</xdr:row>
          <xdr:rowOff>289560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36</xdr:row>
          <xdr:rowOff>22860</xdr:rowOff>
        </xdr:from>
        <xdr:to>
          <xdr:col>11</xdr:col>
          <xdr:colOff>327660</xdr:colOff>
          <xdr:row>36</xdr:row>
          <xdr:rowOff>289560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25</xdr:row>
          <xdr:rowOff>22860</xdr:rowOff>
        </xdr:from>
        <xdr:to>
          <xdr:col>12</xdr:col>
          <xdr:colOff>342900</xdr:colOff>
          <xdr:row>25</xdr:row>
          <xdr:rowOff>289560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26</xdr:row>
          <xdr:rowOff>22860</xdr:rowOff>
        </xdr:from>
        <xdr:to>
          <xdr:col>12</xdr:col>
          <xdr:colOff>342900</xdr:colOff>
          <xdr:row>26</xdr:row>
          <xdr:rowOff>289560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27</xdr:row>
          <xdr:rowOff>22860</xdr:rowOff>
        </xdr:from>
        <xdr:to>
          <xdr:col>12</xdr:col>
          <xdr:colOff>342900</xdr:colOff>
          <xdr:row>27</xdr:row>
          <xdr:rowOff>289560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28</xdr:row>
          <xdr:rowOff>22860</xdr:rowOff>
        </xdr:from>
        <xdr:to>
          <xdr:col>12</xdr:col>
          <xdr:colOff>342900</xdr:colOff>
          <xdr:row>28</xdr:row>
          <xdr:rowOff>289560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29</xdr:row>
          <xdr:rowOff>22860</xdr:rowOff>
        </xdr:from>
        <xdr:to>
          <xdr:col>12</xdr:col>
          <xdr:colOff>342900</xdr:colOff>
          <xdr:row>29</xdr:row>
          <xdr:rowOff>289560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30</xdr:row>
          <xdr:rowOff>22860</xdr:rowOff>
        </xdr:from>
        <xdr:to>
          <xdr:col>12</xdr:col>
          <xdr:colOff>342900</xdr:colOff>
          <xdr:row>30</xdr:row>
          <xdr:rowOff>289560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31</xdr:row>
          <xdr:rowOff>22860</xdr:rowOff>
        </xdr:from>
        <xdr:to>
          <xdr:col>12</xdr:col>
          <xdr:colOff>342900</xdr:colOff>
          <xdr:row>31</xdr:row>
          <xdr:rowOff>289560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32</xdr:row>
          <xdr:rowOff>22860</xdr:rowOff>
        </xdr:from>
        <xdr:to>
          <xdr:col>12</xdr:col>
          <xdr:colOff>342900</xdr:colOff>
          <xdr:row>32</xdr:row>
          <xdr:rowOff>289560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33</xdr:row>
          <xdr:rowOff>22860</xdr:rowOff>
        </xdr:from>
        <xdr:to>
          <xdr:col>12</xdr:col>
          <xdr:colOff>342900</xdr:colOff>
          <xdr:row>33</xdr:row>
          <xdr:rowOff>289560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34</xdr:row>
          <xdr:rowOff>22860</xdr:rowOff>
        </xdr:from>
        <xdr:to>
          <xdr:col>12</xdr:col>
          <xdr:colOff>342900</xdr:colOff>
          <xdr:row>34</xdr:row>
          <xdr:rowOff>289560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35</xdr:row>
          <xdr:rowOff>22860</xdr:rowOff>
        </xdr:from>
        <xdr:to>
          <xdr:col>12</xdr:col>
          <xdr:colOff>342900</xdr:colOff>
          <xdr:row>35</xdr:row>
          <xdr:rowOff>289560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36</xdr:row>
          <xdr:rowOff>22860</xdr:rowOff>
        </xdr:from>
        <xdr:to>
          <xdr:col>12</xdr:col>
          <xdr:colOff>342900</xdr:colOff>
          <xdr:row>36</xdr:row>
          <xdr:rowOff>289560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25</xdr:row>
          <xdr:rowOff>22860</xdr:rowOff>
        </xdr:from>
        <xdr:to>
          <xdr:col>14</xdr:col>
          <xdr:colOff>327660</xdr:colOff>
          <xdr:row>25</xdr:row>
          <xdr:rowOff>289560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26</xdr:row>
          <xdr:rowOff>22860</xdr:rowOff>
        </xdr:from>
        <xdr:to>
          <xdr:col>14</xdr:col>
          <xdr:colOff>327660</xdr:colOff>
          <xdr:row>26</xdr:row>
          <xdr:rowOff>289560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27</xdr:row>
          <xdr:rowOff>22860</xdr:rowOff>
        </xdr:from>
        <xdr:to>
          <xdr:col>14</xdr:col>
          <xdr:colOff>327660</xdr:colOff>
          <xdr:row>27</xdr:row>
          <xdr:rowOff>289560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28</xdr:row>
          <xdr:rowOff>22860</xdr:rowOff>
        </xdr:from>
        <xdr:to>
          <xdr:col>14</xdr:col>
          <xdr:colOff>327660</xdr:colOff>
          <xdr:row>28</xdr:row>
          <xdr:rowOff>289560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29</xdr:row>
          <xdr:rowOff>22860</xdr:rowOff>
        </xdr:from>
        <xdr:to>
          <xdr:col>14</xdr:col>
          <xdr:colOff>327660</xdr:colOff>
          <xdr:row>29</xdr:row>
          <xdr:rowOff>289560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30</xdr:row>
          <xdr:rowOff>22860</xdr:rowOff>
        </xdr:from>
        <xdr:to>
          <xdr:col>14</xdr:col>
          <xdr:colOff>327660</xdr:colOff>
          <xdr:row>30</xdr:row>
          <xdr:rowOff>289560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31</xdr:row>
          <xdr:rowOff>22860</xdr:rowOff>
        </xdr:from>
        <xdr:to>
          <xdr:col>14</xdr:col>
          <xdr:colOff>327660</xdr:colOff>
          <xdr:row>31</xdr:row>
          <xdr:rowOff>289560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32</xdr:row>
          <xdr:rowOff>22860</xdr:rowOff>
        </xdr:from>
        <xdr:to>
          <xdr:col>14</xdr:col>
          <xdr:colOff>327660</xdr:colOff>
          <xdr:row>32</xdr:row>
          <xdr:rowOff>289560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33</xdr:row>
          <xdr:rowOff>22860</xdr:rowOff>
        </xdr:from>
        <xdr:to>
          <xdr:col>14</xdr:col>
          <xdr:colOff>327660</xdr:colOff>
          <xdr:row>33</xdr:row>
          <xdr:rowOff>289560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34</xdr:row>
          <xdr:rowOff>22860</xdr:rowOff>
        </xdr:from>
        <xdr:to>
          <xdr:col>14</xdr:col>
          <xdr:colOff>327660</xdr:colOff>
          <xdr:row>34</xdr:row>
          <xdr:rowOff>289560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35</xdr:row>
          <xdr:rowOff>22860</xdr:rowOff>
        </xdr:from>
        <xdr:to>
          <xdr:col>14</xdr:col>
          <xdr:colOff>327660</xdr:colOff>
          <xdr:row>35</xdr:row>
          <xdr:rowOff>289560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36</xdr:row>
          <xdr:rowOff>22860</xdr:rowOff>
        </xdr:from>
        <xdr:to>
          <xdr:col>14</xdr:col>
          <xdr:colOff>327660</xdr:colOff>
          <xdr:row>36</xdr:row>
          <xdr:rowOff>289560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25</xdr:row>
          <xdr:rowOff>22860</xdr:rowOff>
        </xdr:from>
        <xdr:to>
          <xdr:col>15</xdr:col>
          <xdr:colOff>342900</xdr:colOff>
          <xdr:row>25</xdr:row>
          <xdr:rowOff>289560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26</xdr:row>
          <xdr:rowOff>22860</xdr:rowOff>
        </xdr:from>
        <xdr:to>
          <xdr:col>15</xdr:col>
          <xdr:colOff>342900</xdr:colOff>
          <xdr:row>26</xdr:row>
          <xdr:rowOff>289560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27</xdr:row>
          <xdr:rowOff>22860</xdr:rowOff>
        </xdr:from>
        <xdr:to>
          <xdr:col>15</xdr:col>
          <xdr:colOff>342900</xdr:colOff>
          <xdr:row>27</xdr:row>
          <xdr:rowOff>289560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28</xdr:row>
          <xdr:rowOff>22860</xdr:rowOff>
        </xdr:from>
        <xdr:to>
          <xdr:col>15</xdr:col>
          <xdr:colOff>342900</xdr:colOff>
          <xdr:row>28</xdr:row>
          <xdr:rowOff>289560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29</xdr:row>
          <xdr:rowOff>22860</xdr:rowOff>
        </xdr:from>
        <xdr:to>
          <xdr:col>15</xdr:col>
          <xdr:colOff>342900</xdr:colOff>
          <xdr:row>29</xdr:row>
          <xdr:rowOff>289560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30</xdr:row>
          <xdr:rowOff>22860</xdr:rowOff>
        </xdr:from>
        <xdr:to>
          <xdr:col>15</xdr:col>
          <xdr:colOff>342900</xdr:colOff>
          <xdr:row>30</xdr:row>
          <xdr:rowOff>289560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31</xdr:row>
          <xdr:rowOff>22860</xdr:rowOff>
        </xdr:from>
        <xdr:to>
          <xdr:col>15</xdr:col>
          <xdr:colOff>342900</xdr:colOff>
          <xdr:row>31</xdr:row>
          <xdr:rowOff>289560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32</xdr:row>
          <xdr:rowOff>22860</xdr:rowOff>
        </xdr:from>
        <xdr:to>
          <xdr:col>15</xdr:col>
          <xdr:colOff>342900</xdr:colOff>
          <xdr:row>32</xdr:row>
          <xdr:rowOff>289560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33</xdr:row>
          <xdr:rowOff>22860</xdr:rowOff>
        </xdr:from>
        <xdr:to>
          <xdr:col>15</xdr:col>
          <xdr:colOff>342900</xdr:colOff>
          <xdr:row>33</xdr:row>
          <xdr:rowOff>289560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34</xdr:row>
          <xdr:rowOff>22860</xdr:rowOff>
        </xdr:from>
        <xdr:to>
          <xdr:col>15</xdr:col>
          <xdr:colOff>342900</xdr:colOff>
          <xdr:row>34</xdr:row>
          <xdr:rowOff>289560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35</xdr:row>
          <xdr:rowOff>22860</xdr:rowOff>
        </xdr:from>
        <xdr:to>
          <xdr:col>15</xdr:col>
          <xdr:colOff>342900</xdr:colOff>
          <xdr:row>35</xdr:row>
          <xdr:rowOff>289560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36</xdr:row>
          <xdr:rowOff>22860</xdr:rowOff>
        </xdr:from>
        <xdr:to>
          <xdr:col>15</xdr:col>
          <xdr:colOff>342900</xdr:colOff>
          <xdr:row>36</xdr:row>
          <xdr:rowOff>289560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25</xdr:row>
          <xdr:rowOff>22860</xdr:rowOff>
        </xdr:from>
        <xdr:to>
          <xdr:col>17</xdr:col>
          <xdr:colOff>327660</xdr:colOff>
          <xdr:row>25</xdr:row>
          <xdr:rowOff>289560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26</xdr:row>
          <xdr:rowOff>22860</xdr:rowOff>
        </xdr:from>
        <xdr:to>
          <xdr:col>17</xdr:col>
          <xdr:colOff>327660</xdr:colOff>
          <xdr:row>26</xdr:row>
          <xdr:rowOff>289560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27</xdr:row>
          <xdr:rowOff>22860</xdr:rowOff>
        </xdr:from>
        <xdr:to>
          <xdr:col>17</xdr:col>
          <xdr:colOff>327660</xdr:colOff>
          <xdr:row>27</xdr:row>
          <xdr:rowOff>289560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28</xdr:row>
          <xdr:rowOff>22860</xdr:rowOff>
        </xdr:from>
        <xdr:to>
          <xdr:col>17</xdr:col>
          <xdr:colOff>327660</xdr:colOff>
          <xdr:row>28</xdr:row>
          <xdr:rowOff>289560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29</xdr:row>
          <xdr:rowOff>22860</xdr:rowOff>
        </xdr:from>
        <xdr:to>
          <xdr:col>17</xdr:col>
          <xdr:colOff>327660</xdr:colOff>
          <xdr:row>29</xdr:row>
          <xdr:rowOff>289560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30</xdr:row>
          <xdr:rowOff>22860</xdr:rowOff>
        </xdr:from>
        <xdr:to>
          <xdr:col>17</xdr:col>
          <xdr:colOff>327660</xdr:colOff>
          <xdr:row>30</xdr:row>
          <xdr:rowOff>289560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31</xdr:row>
          <xdr:rowOff>22860</xdr:rowOff>
        </xdr:from>
        <xdr:to>
          <xdr:col>17</xdr:col>
          <xdr:colOff>327660</xdr:colOff>
          <xdr:row>31</xdr:row>
          <xdr:rowOff>289560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32</xdr:row>
          <xdr:rowOff>22860</xdr:rowOff>
        </xdr:from>
        <xdr:to>
          <xdr:col>17</xdr:col>
          <xdr:colOff>327660</xdr:colOff>
          <xdr:row>32</xdr:row>
          <xdr:rowOff>289560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33</xdr:row>
          <xdr:rowOff>22860</xdr:rowOff>
        </xdr:from>
        <xdr:to>
          <xdr:col>17</xdr:col>
          <xdr:colOff>327660</xdr:colOff>
          <xdr:row>33</xdr:row>
          <xdr:rowOff>289560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34</xdr:row>
          <xdr:rowOff>22860</xdr:rowOff>
        </xdr:from>
        <xdr:to>
          <xdr:col>17</xdr:col>
          <xdr:colOff>327660</xdr:colOff>
          <xdr:row>34</xdr:row>
          <xdr:rowOff>289560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35</xdr:row>
          <xdr:rowOff>22860</xdr:rowOff>
        </xdr:from>
        <xdr:to>
          <xdr:col>17</xdr:col>
          <xdr:colOff>327660</xdr:colOff>
          <xdr:row>35</xdr:row>
          <xdr:rowOff>289560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</xdr:colOff>
          <xdr:row>36</xdr:row>
          <xdr:rowOff>22860</xdr:rowOff>
        </xdr:from>
        <xdr:to>
          <xdr:col>17</xdr:col>
          <xdr:colOff>327660</xdr:colOff>
          <xdr:row>36</xdr:row>
          <xdr:rowOff>289560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25</xdr:row>
          <xdr:rowOff>22860</xdr:rowOff>
        </xdr:from>
        <xdr:to>
          <xdr:col>18</xdr:col>
          <xdr:colOff>342900</xdr:colOff>
          <xdr:row>25</xdr:row>
          <xdr:rowOff>289560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26</xdr:row>
          <xdr:rowOff>22860</xdr:rowOff>
        </xdr:from>
        <xdr:to>
          <xdr:col>18</xdr:col>
          <xdr:colOff>342900</xdr:colOff>
          <xdr:row>26</xdr:row>
          <xdr:rowOff>289560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27</xdr:row>
          <xdr:rowOff>22860</xdr:rowOff>
        </xdr:from>
        <xdr:to>
          <xdr:col>18</xdr:col>
          <xdr:colOff>342900</xdr:colOff>
          <xdr:row>27</xdr:row>
          <xdr:rowOff>289560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28</xdr:row>
          <xdr:rowOff>22860</xdr:rowOff>
        </xdr:from>
        <xdr:to>
          <xdr:col>18</xdr:col>
          <xdr:colOff>342900</xdr:colOff>
          <xdr:row>28</xdr:row>
          <xdr:rowOff>289560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29</xdr:row>
          <xdr:rowOff>22860</xdr:rowOff>
        </xdr:from>
        <xdr:to>
          <xdr:col>18</xdr:col>
          <xdr:colOff>342900</xdr:colOff>
          <xdr:row>29</xdr:row>
          <xdr:rowOff>289560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30</xdr:row>
          <xdr:rowOff>22860</xdr:rowOff>
        </xdr:from>
        <xdr:to>
          <xdr:col>18</xdr:col>
          <xdr:colOff>342900</xdr:colOff>
          <xdr:row>30</xdr:row>
          <xdr:rowOff>289560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31</xdr:row>
          <xdr:rowOff>22860</xdr:rowOff>
        </xdr:from>
        <xdr:to>
          <xdr:col>18</xdr:col>
          <xdr:colOff>342900</xdr:colOff>
          <xdr:row>31</xdr:row>
          <xdr:rowOff>289560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32</xdr:row>
          <xdr:rowOff>22860</xdr:rowOff>
        </xdr:from>
        <xdr:to>
          <xdr:col>18</xdr:col>
          <xdr:colOff>342900</xdr:colOff>
          <xdr:row>32</xdr:row>
          <xdr:rowOff>289560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33</xdr:row>
          <xdr:rowOff>22860</xdr:rowOff>
        </xdr:from>
        <xdr:to>
          <xdr:col>18</xdr:col>
          <xdr:colOff>342900</xdr:colOff>
          <xdr:row>33</xdr:row>
          <xdr:rowOff>289560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34</xdr:row>
          <xdr:rowOff>22860</xdr:rowOff>
        </xdr:from>
        <xdr:to>
          <xdr:col>18</xdr:col>
          <xdr:colOff>342900</xdr:colOff>
          <xdr:row>34</xdr:row>
          <xdr:rowOff>289560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35</xdr:row>
          <xdr:rowOff>22860</xdr:rowOff>
        </xdr:from>
        <xdr:to>
          <xdr:col>18</xdr:col>
          <xdr:colOff>342900</xdr:colOff>
          <xdr:row>35</xdr:row>
          <xdr:rowOff>289560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36</xdr:row>
          <xdr:rowOff>22860</xdr:rowOff>
        </xdr:from>
        <xdr:to>
          <xdr:col>18</xdr:col>
          <xdr:colOff>342900</xdr:colOff>
          <xdr:row>36</xdr:row>
          <xdr:rowOff>289560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25</xdr:row>
          <xdr:rowOff>22860</xdr:rowOff>
        </xdr:from>
        <xdr:to>
          <xdr:col>20</xdr:col>
          <xdr:colOff>327660</xdr:colOff>
          <xdr:row>25</xdr:row>
          <xdr:rowOff>289560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26</xdr:row>
          <xdr:rowOff>22860</xdr:rowOff>
        </xdr:from>
        <xdr:to>
          <xdr:col>20</xdr:col>
          <xdr:colOff>327660</xdr:colOff>
          <xdr:row>26</xdr:row>
          <xdr:rowOff>289560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27</xdr:row>
          <xdr:rowOff>22860</xdr:rowOff>
        </xdr:from>
        <xdr:to>
          <xdr:col>20</xdr:col>
          <xdr:colOff>327660</xdr:colOff>
          <xdr:row>27</xdr:row>
          <xdr:rowOff>289560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28</xdr:row>
          <xdr:rowOff>22860</xdr:rowOff>
        </xdr:from>
        <xdr:to>
          <xdr:col>20</xdr:col>
          <xdr:colOff>327660</xdr:colOff>
          <xdr:row>28</xdr:row>
          <xdr:rowOff>289560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29</xdr:row>
          <xdr:rowOff>22860</xdr:rowOff>
        </xdr:from>
        <xdr:to>
          <xdr:col>20</xdr:col>
          <xdr:colOff>327660</xdr:colOff>
          <xdr:row>29</xdr:row>
          <xdr:rowOff>289560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30</xdr:row>
          <xdr:rowOff>22860</xdr:rowOff>
        </xdr:from>
        <xdr:to>
          <xdr:col>20</xdr:col>
          <xdr:colOff>327660</xdr:colOff>
          <xdr:row>30</xdr:row>
          <xdr:rowOff>289560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31</xdr:row>
          <xdr:rowOff>22860</xdr:rowOff>
        </xdr:from>
        <xdr:to>
          <xdr:col>20</xdr:col>
          <xdr:colOff>327660</xdr:colOff>
          <xdr:row>31</xdr:row>
          <xdr:rowOff>289560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32</xdr:row>
          <xdr:rowOff>22860</xdr:rowOff>
        </xdr:from>
        <xdr:to>
          <xdr:col>20</xdr:col>
          <xdr:colOff>327660</xdr:colOff>
          <xdr:row>32</xdr:row>
          <xdr:rowOff>289560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33</xdr:row>
          <xdr:rowOff>22860</xdr:rowOff>
        </xdr:from>
        <xdr:to>
          <xdr:col>20</xdr:col>
          <xdr:colOff>327660</xdr:colOff>
          <xdr:row>33</xdr:row>
          <xdr:rowOff>289560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34</xdr:row>
          <xdr:rowOff>22860</xdr:rowOff>
        </xdr:from>
        <xdr:to>
          <xdr:col>20</xdr:col>
          <xdr:colOff>327660</xdr:colOff>
          <xdr:row>34</xdr:row>
          <xdr:rowOff>289560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35</xdr:row>
          <xdr:rowOff>22860</xdr:rowOff>
        </xdr:from>
        <xdr:to>
          <xdr:col>20</xdr:col>
          <xdr:colOff>327660</xdr:colOff>
          <xdr:row>35</xdr:row>
          <xdr:rowOff>289560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36</xdr:row>
          <xdr:rowOff>22860</xdr:rowOff>
        </xdr:from>
        <xdr:to>
          <xdr:col>20</xdr:col>
          <xdr:colOff>327660</xdr:colOff>
          <xdr:row>36</xdr:row>
          <xdr:rowOff>289560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2" workbookViewId="0">
      <selection activeCell="I33" sqref="I33"/>
    </sheetView>
  </sheetViews>
  <sheetFormatPr defaultColWidth="11.19921875" defaultRowHeight="15.6" x14ac:dyDescent="0.3"/>
  <cols>
    <col min="1" max="1" width="3.19921875" customWidth="1"/>
    <col min="3" max="3" width="2.796875" customWidth="1"/>
    <col min="5" max="5" width="3.5" customWidth="1"/>
    <col min="8" max="8" width="5.796875" bestFit="1" customWidth="1"/>
  </cols>
  <sheetData>
    <row r="1" spans="2:12" x14ac:dyDescent="0.3">
      <c r="B1" s="2" t="s">
        <v>273</v>
      </c>
      <c r="F1" t="s">
        <v>9</v>
      </c>
      <c r="G1" t="str">
        <f>'Stats G2'!B3</f>
        <v>Clarke</v>
      </c>
    </row>
    <row r="2" spans="2:12" x14ac:dyDescent="0.3">
      <c r="B2" t="str">
        <f>G1</f>
        <v>Clarke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255</v>
      </c>
      <c r="J2" t="s">
        <v>10</v>
      </c>
      <c r="K2" t="s">
        <v>11</v>
      </c>
      <c r="L2" t="s">
        <v>12</v>
      </c>
    </row>
    <row r="3" spans="2:12" x14ac:dyDescent="0.3">
      <c r="B3">
        <f>I18</f>
        <v>78</v>
      </c>
      <c r="C3" s="3" t="s">
        <v>15</v>
      </c>
      <c r="D3" s="4">
        <f>I37</f>
        <v>116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G2'!H5*2+'Stats G2'!N5*3+'Stats G2'!T5</f>
        <v>9</v>
      </c>
      <c r="J3" t="str">
        <f>SUM('Stats G2'!N5+'Stats G2'!H5)&amp;"-"&amp;SUM('Stats G2'!E5+'Stats G2'!K5)</f>
        <v>3-8</v>
      </c>
      <c r="K3" t="str">
        <f>SUM('Stats G2'!N5)&amp;"-"&amp;SUM('Stats G2'!K5)</f>
        <v>1-3</v>
      </c>
      <c r="L3" t="str">
        <f>SUM('Stats G2'!T5)&amp;"-"&amp;SUM('Stats G2'!Q5)</f>
        <v>2-2</v>
      </c>
    </row>
    <row r="4" spans="2:12" x14ac:dyDescent="0.3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G2'!H6*2+'Stats G2'!N6*3+'Stats G2'!T6</f>
        <v>6</v>
      </c>
      <c r="J4" t="str">
        <f>SUM('Stats G2'!N6+'Stats G2'!H6)&amp;"-"&amp;SUM('Stats G2'!E6+'Stats G2'!K6)</f>
        <v>3-6</v>
      </c>
      <c r="K4" t="str">
        <f>SUM('Stats G2'!N6)&amp;"-"&amp;SUM('Stats G2'!K6)</f>
        <v>0-0</v>
      </c>
      <c r="L4" t="str">
        <f>SUM('Stats G2'!T6)&amp;"-"&amp;SUM('Stats G2'!Q6)</f>
        <v>0-2</v>
      </c>
    </row>
    <row r="5" spans="2:12" x14ac:dyDescent="0.3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G2'!H7*2+'Stats G2'!N7*3+'Stats G2'!T7</f>
        <v>14</v>
      </c>
      <c r="J5" t="str">
        <f>SUM('Stats G2'!N7+'Stats G2'!H7)&amp;"-"&amp;SUM('Stats G2'!E7+'Stats G2'!K7)</f>
        <v>5-13</v>
      </c>
      <c r="K5" t="str">
        <f>SUM('Stats G2'!N7)&amp;"-"&amp;SUM('Stats G2'!K7)</f>
        <v>2-5</v>
      </c>
      <c r="L5" t="str">
        <f>SUM('Stats G2'!T7)&amp;"-"&amp;SUM('Stats G2'!Q7)</f>
        <v>2-2</v>
      </c>
    </row>
    <row r="6" spans="2:12" x14ac:dyDescent="0.3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3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G2'!H9*2+'Stats G2'!N9*3+'Stats G2'!T9</f>
        <v>6</v>
      </c>
      <c r="J7" t="str">
        <f>SUM('Stats G2'!N9+'Stats G2'!H9)&amp;"-"&amp;SUM('Stats G2'!E9+'Stats G2'!K9)</f>
        <v>3-7</v>
      </c>
      <c r="K7" t="str">
        <f>SUM('Stats G2'!N9)&amp;"-"&amp;SUM('Stats G2'!K9)</f>
        <v>0-1</v>
      </c>
      <c r="L7" t="str">
        <f>SUM('Stats G2'!T9)&amp;"-"&amp;SUM('Stats G2'!Q9)</f>
        <v>0-0</v>
      </c>
    </row>
    <row r="8" spans="2:12" x14ac:dyDescent="0.3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G2'!H10*2+'Stats G2'!N10*3+'Stats G2'!T10</f>
        <v>15</v>
      </c>
      <c r="J8" t="str">
        <f>SUM('Stats G2'!N10+'Stats G2'!H10)&amp;"-"&amp;SUM('Stats G2'!E10+'Stats G2'!K10)</f>
        <v>5-14</v>
      </c>
      <c r="K8" t="str">
        <f>SUM('Stats G2'!N10)&amp;"-"&amp;SUM('Stats G2'!K10)</f>
        <v>2-7</v>
      </c>
      <c r="L8" t="str">
        <f>SUM('Stats G2'!T10)&amp;"-"&amp;SUM('Stats G2'!Q10)</f>
        <v>3-3</v>
      </c>
    </row>
    <row r="9" spans="2:12" x14ac:dyDescent="0.3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G2'!H11*2+'Stats G2'!N11*3+'Stats G2'!T11</f>
        <v>0</v>
      </c>
      <c r="J9" t="str">
        <f>SUM('Stats G2'!N11+'Stats G2'!H11)&amp;"-"&amp;SUM('Stats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3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G2'!H12*2+'Stats G2'!N12*3+'Stats G2'!T12</f>
        <v>13</v>
      </c>
      <c r="J10" t="str">
        <f>SUM('Stats G2'!N12+'Stats G2'!H12)&amp;"-"&amp;SUM('Stats G2'!E12+'Stats G2'!K12)</f>
        <v>4-18</v>
      </c>
      <c r="K10" t="str">
        <f>SUM('Stats G2'!N12)&amp;"-"&amp;SUM('Stats G2'!K12)</f>
        <v>1-8</v>
      </c>
      <c r="L10" t="str">
        <f>SUM('Stats G2'!T12)&amp;"-"&amp;SUM('Stats G2'!Q12)</f>
        <v>4-4</v>
      </c>
    </row>
    <row r="11" spans="2:12" x14ac:dyDescent="0.3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G2'!H13*2+'Stats G2'!N13*3+'Stats G2'!T13</f>
        <v>0</v>
      </c>
      <c r="J11" t="str">
        <f>SUM('Stats G2'!N13+'Stats G2'!H13)&amp;"-"&amp;SUM('Stats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3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G2'!H14*2+'Stats G2'!N14*3+'Stats G2'!T14</f>
        <v>3</v>
      </c>
      <c r="J12" t="str">
        <f>SUM('Stats G2'!N14+'Stats G2'!H14)&amp;"-"&amp;SUM('Stats G2'!E14+'Stats G2'!K14)</f>
        <v>1-4</v>
      </c>
      <c r="K12" t="str">
        <f>SUM('Stats G2'!N14)&amp;"-"&amp;SUM('Stats G2'!K14)</f>
        <v>1-3</v>
      </c>
      <c r="L12" t="str">
        <f>SUM('Stats G2'!T14)&amp;"-"&amp;SUM('Stats G2'!Q14)</f>
        <v>0-0</v>
      </c>
    </row>
    <row r="13" spans="2:12" x14ac:dyDescent="0.3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3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3">
      <c r="F15" t="str">
        <f>'Stats G2'!A17</f>
        <v>?</v>
      </c>
      <c r="G15" t="str">
        <f>'Stats G2'!B17</f>
        <v>?</v>
      </c>
      <c r="H15">
        <f>'Stats G2'!C17</f>
        <v>30</v>
      </c>
      <c r="I15">
        <f>'Stats G2'!H17*2+'Stats G2'!N17*3+'Stats G2'!T17</f>
        <v>12</v>
      </c>
      <c r="J15" t="str">
        <f>SUM('Stats G2'!N17+'Stats G2'!H17)&amp;"-"&amp;SUM('Stats G2'!E17+'Stats G2'!K17)</f>
        <v>5-8</v>
      </c>
      <c r="K15" t="str">
        <f>SUM('Stats G2'!N17)&amp;"-"&amp;SUM('Stats G2'!K17)</f>
        <v>2-3</v>
      </c>
      <c r="L15" t="str">
        <f>SUM('Stats G2'!T17)&amp;"-"&amp;SUM('Stats G2'!Q17)</f>
        <v>0-0</v>
      </c>
    </row>
    <row r="16" spans="2:12" x14ac:dyDescent="0.3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3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3">
      <c r="H18" s="2" t="s">
        <v>14</v>
      </c>
      <c r="I18">
        <f>SUM(I3:I17)</f>
        <v>78</v>
      </c>
      <c r="J18" t="str">
        <f>SUM('Stats G2'!N20+'Stats G2'!H20)&amp;"-"&amp;SUM('Stats G2'!E20+'Stats G2'!K20)</f>
        <v>29-78</v>
      </c>
      <c r="K18" t="str">
        <f>SUM('Stats G2'!N20)&amp;"-"&amp;SUM('Stats G2'!K20)</f>
        <v>9-30</v>
      </c>
      <c r="L18" t="str">
        <f>SUM('Stats G2'!T20)&amp;"-"&amp;SUM('Stats G2'!Q20)</f>
        <v>11-13</v>
      </c>
    </row>
    <row r="20" spans="6:12" x14ac:dyDescent="0.3">
      <c r="F20" t="s">
        <v>13</v>
      </c>
      <c r="G20" t="str">
        <f>'Stats G2'!B21</f>
        <v>Roberts</v>
      </c>
    </row>
    <row r="21" spans="6:12" x14ac:dyDescent="0.3">
      <c r="F21" t="s">
        <v>1</v>
      </c>
      <c r="G21" t="s">
        <v>2</v>
      </c>
      <c r="H21" t="s">
        <v>0</v>
      </c>
      <c r="I21" t="s">
        <v>255</v>
      </c>
      <c r="J21" t="s">
        <v>10</v>
      </c>
      <c r="K21" t="s">
        <v>11</v>
      </c>
      <c r="L21" t="s">
        <v>12</v>
      </c>
    </row>
    <row r="22" spans="6:12" x14ac:dyDescent="0.3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8</v>
      </c>
      <c r="J22" t="str">
        <f>SUM('Stats G2'!N23+'Stats G2'!H23)&amp;"-"&amp;SUM('Stats G2'!E23+'Stats G2'!K23)</f>
        <v>4-17</v>
      </c>
      <c r="K22" t="str">
        <f>SUM('Stats G2'!N23)&amp;"-"&amp;SUM('Stats G2'!K23)</f>
        <v>0-8</v>
      </c>
      <c r="L22" t="str">
        <f>SUM('Stats G2'!T23)&amp;"-"&amp;SUM('Stats G2'!Q23)</f>
        <v>0-0</v>
      </c>
    </row>
    <row r="23" spans="6:12" x14ac:dyDescent="0.3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G2'!H24*2+'Stats G2'!N24*3+'Stats G2'!T24</f>
        <v>4</v>
      </c>
      <c r="J23" t="str">
        <f>SUM('Stats G2'!N24+'Stats G2'!H24)&amp;"-"&amp;SUM('Stats G2'!E24+'Stats G2'!K24)</f>
        <v>2-6</v>
      </c>
      <c r="K23" t="str">
        <f>SUM('Stats G2'!N24)&amp;"-"&amp;SUM('Stats G2'!K24)</f>
        <v>0-1</v>
      </c>
      <c r="L23" t="str">
        <f>SUM('Stats G2'!T24)&amp;"-"&amp;SUM('Stats G2'!Q24)</f>
        <v>0-1</v>
      </c>
    </row>
    <row r="24" spans="6:12" x14ac:dyDescent="0.3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G2'!H25*2+'Stats G2'!N25*3+'Stats G2'!T25</f>
        <v>19</v>
      </c>
      <c r="J24" t="str">
        <f>SUM('Stats G2'!N25+'Stats G2'!H25)&amp;"-"&amp;SUM('Stats G2'!E25+'Stats G2'!K25)</f>
        <v>8-15</v>
      </c>
      <c r="K24" t="str">
        <f>SUM('Stats G2'!N25)&amp;"-"&amp;SUM('Stats G2'!K25)</f>
        <v>1-5</v>
      </c>
      <c r="L24" t="str">
        <f>SUM('Stats G2'!T25)&amp;"-"&amp;SUM('Stats G2'!Q25)</f>
        <v>2-3</v>
      </c>
    </row>
    <row r="25" spans="6:12" x14ac:dyDescent="0.3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12</v>
      </c>
      <c r="J25" t="str">
        <f>SUM('Stats G2'!N26+'Stats G2'!H26)&amp;"-"&amp;SUM('Stats G2'!E26+'Stats G2'!K26)</f>
        <v>4-7</v>
      </c>
      <c r="K25" t="str">
        <f>SUM('Stats G2'!N26)&amp;"-"&amp;SUM('Stats G2'!K26)</f>
        <v>4-6</v>
      </c>
      <c r="L25" t="str">
        <f>SUM('Stats G2'!T26)&amp;"-"&amp;SUM('Stats G2'!Q26)</f>
        <v>0-0</v>
      </c>
    </row>
    <row r="26" spans="6:12" x14ac:dyDescent="0.3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G2'!H27*2+'Stats G2'!N27*3+'Stats G2'!T27</f>
        <v>5</v>
      </c>
      <c r="J26" t="str">
        <f>SUM('Stats G2'!N27+'Stats G2'!H27)&amp;"-"&amp;SUM('Stats G2'!E27+'Stats G2'!K27)</f>
        <v>2-6</v>
      </c>
      <c r="K26" t="str">
        <f>SUM('Stats G2'!N27)&amp;"-"&amp;SUM('Stats G2'!K27)</f>
        <v>0-0</v>
      </c>
      <c r="L26" t="str">
        <f>SUM('Stats G2'!T27)&amp;"-"&amp;SUM('Stats G2'!Q27)</f>
        <v>1-3</v>
      </c>
    </row>
    <row r="27" spans="6:12" x14ac:dyDescent="0.3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3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G2'!H29*2+'Stats G2'!N29*3+'Stats G2'!T29</f>
        <v>41</v>
      </c>
      <c r="J28" t="str">
        <f>SUM('Stats G2'!N29+'Stats G2'!H29)&amp;"-"&amp;SUM('Stats G2'!E29+'Stats G2'!K29)</f>
        <v>18-26</v>
      </c>
      <c r="K28" t="str">
        <f>SUM('Stats G2'!N29)&amp;"-"&amp;SUM('Stats G2'!K29)</f>
        <v>2-4</v>
      </c>
      <c r="L28" t="str">
        <f>SUM('Stats G2'!T29)&amp;"-"&amp;SUM('Stats G2'!Q29)</f>
        <v>3-7</v>
      </c>
    </row>
    <row r="29" spans="6:12" x14ac:dyDescent="0.3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3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3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3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G2'!H33*2+'Stats G2'!N33*3+'Stats G2'!T33</f>
        <v>19</v>
      </c>
      <c r="J32" t="str">
        <f>SUM('Stats G2'!N33+'Stats G2'!H33)&amp;"-"&amp;SUM('Stats G2'!E33+'Stats G2'!K33)</f>
        <v>8-14</v>
      </c>
      <c r="K32" t="str">
        <f>SUM('Stats G2'!N33)&amp;"-"&amp;SUM('Stats G2'!K33)</f>
        <v>2-4</v>
      </c>
      <c r="L32" t="str">
        <f>SUM('Stats G2'!T33)&amp;"-"&amp;SUM('Stats G2'!Q33)</f>
        <v>1-1</v>
      </c>
    </row>
    <row r="33" spans="6:12" x14ac:dyDescent="0.3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G2'!H34*2+'Stats G2'!N34*3+'Stats G2'!T34</f>
        <v>8</v>
      </c>
      <c r="J33" t="str">
        <f>SUM('Stats G2'!N34+'Stats G2'!H34)&amp;"-"&amp;SUM('Stats G2'!E34+'Stats G2'!K34)</f>
        <v>3-8</v>
      </c>
      <c r="K33" t="str">
        <f>SUM('Stats G2'!N34)&amp;"-"&amp;SUM('Stats G2'!K34)</f>
        <v>0-1</v>
      </c>
      <c r="L33" t="str">
        <f>SUM('Stats G2'!T34)&amp;"-"&amp;SUM('Stats G2'!Q34)</f>
        <v>2-2</v>
      </c>
    </row>
    <row r="34" spans="6:12" x14ac:dyDescent="0.3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3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3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3">
      <c r="H37" s="2" t="s">
        <v>14</v>
      </c>
      <c r="I37">
        <f>SUM(I22:I36)</f>
        <v>116</v>
      </c>
      <c r="J37" t="str">
        <f>SUM('Stats G2'!N38+'Stats G2'!H38)&amp;"-"&amp;SUM('Stats G2'!E38+'Stats G2'!K38)</f>
        <v>49-99</v>
      </c>
      <c r="K37" t="str">
        <f>SUM('Stats G2'!N38)&amp;"-"&amp;SUM('Stats G2'!K38)</f>
        <v>9-29</v>
      </c>
      <c r="L37" t="str">
        <f>SUM('Stats G2'!T38)&amp;"-"&amp;SUM('Stats G2'!Q38)</f>
        <v>9-17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70" zoomScaleNormal="70" workbookViewId="0">
      <selection activeCell="L14" sqref="L14"/>
    </sheetView>
  </sheetViews>
  <sheetFormatPr defaultColWidth="11.19921875" defaultRowHeight="15.6" x14ac:dyDescent="0.3"/>
  <cols>
    <col min="2" max="2" width="17.5" customWidth="1"/>
    <col min="3" max="3" width="4.5" customWidth="1"/>
    <col min="4" max="4" width="5.296875" customWidth="1"/>
    <col min="5" max="5" width="5.796875" customWidth="1"/>
    <col min="6" max="7" width="5.296875" customWidth="1"/>
    <col min="8" max="8" width="5.796875" customWidth="1"/>
    <col min="9" max="10" width="5.296875" customWidth="1"/>
    <col min="11" max="11" width="5.796875" customWidth="1"/>
    <col min="12" max="13" width="5.296875" customWidth="1"/>
    <col min="14" max="14" width="5.796875" customWidth="1"/>
    <col min="15" max="16" width="5.296875" customWidth="1"/>
    <col min="17" max="17" width="5.796875" customWidth="1"/>
    <col min="18" max="19" width="5.296875" customWidth="1"/>
    <col min="20" max="20" width="5.796875" customWidth="1"/>
    <col min="21" max="21" width="5.296875" customWidth="1"/>
  </cols>
  <sheetData>
    <row r="1" spans="1:21" hidden="1" x14ac:dyDescent="0.3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3"/>
    <row r="3" spans="1:21" x14ac:dyDescent="0.3">
      <c r="A3" s="2" t="s">
        <v>16</v>
      </c>
      <c r="B3" s="1" t="s">
        <v>22</v>
      </c>
    </row>
    <row r="4" spans="1:21" x14ac:dyDescent="0.3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3">
      <c r="A5" s="5" t="str">
        <f>_xlfn.IFNA(VLOOKUP($B$3&amp;ROWS($A$5:A5),Rosters!$B$2:$C$163,2,0),"?")</f>
        <v>Marquis</v>
      </c>
      <c r="B5" s="5" t="str">
        <f>_xlfn.IFNA(VLOOKUP($B$3&amp;ROWS($B$5:B5),Rosters!$B$2:$D$163,3,0),"?")</f>
        <v>OShea</v>
      </c>
      <c r="C5" s="5">
        <f>_xlfn.IFNA(VLOOKUP($B$3&amp;ROWS($C$5:C5),Rosters!$B$2:$E$163,4,0),"")</f>
        <v>0</v>
      </c>
      <c r="D5" s="5"/>
      <c r="E5" s="5">
        <v>5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1</v>
      </c>
      <c r="O5" s="5"/>
      <c r="P5" s="5"/>
      <c r="Q5" s="5">
        <v>2</v>
      </c>
      <c r="R5" s="5"/>
      <c r="S5" s="5"/>
      <c r="T5" s="5">
        <v>2</v>
      </c>
      <c r="U5" s="5"/>
    </row>
    <row r="6" spans="1:21" s="6" customFormat="1" x14ac:dyDescent="0.3">
      <c r="A6" s="6" t="str">
        <f>_xlfn.IFNA(VLOOKUP($B$3&amp;ROWS($A$5:A6),Rosters!$B$2:$C$163,2,0),"?")</f>
        <v>Jaren</v>
      </c>
      <c r="B6" s="6" t="str">
        <f>_xlfn.IFNA(VLOOKUP($B$3&amp;ROWS($B$5:B6),Rosters!$B$2:$D$163,3,0),"?")</f>
        <v>McKnight</v>
      </c>
      <c r="C6" s="6">
        <f>_xlfn.IFNA(VLOOKUP($B$3&amp;ROWS($C$5:C6),Rosters!$B$2:$E$163,4,0),"")</f>
        <v>1</v>
      </c>
      <c r="E6" s="6">
        <v>6</v>
      </c>
      <c r="H6" s="6">
        <v>3</v>
      </c>
      <c r="K6" s="6">
        <v>0</v>
      </c>
      <c r="N6" s="6">
        <v>0</v>
      </c>
      <c r="Q6" s="6">
        <v>2</v>
      </c>
      <c r="T6" s="6">
        <v>0</v>
      </c>
    </row>
    <row r="7" spans="1:21" s="6" customFormat="1" x14ac:dyDescent="0.3">
      <c r="A7" s="5" t="str">
        <f>_xlfn.IFNA(VLOOKUP($B$3&amp;ROWS($A$5:A7),Rosters!$B$2:$C$163,2,0),"?")</f>
        <v>Elijah</v>
      </c>
      <c r="B7" s="5" t="str">
        <f>_xlfn.IFNA(VLOOKUP($B$3&amp;ROWS($B$5:B7),Rosters!$B$2:$D$163,3,0),"?")</f>
        <v>Davy</v>
      </c>
      <c r="C7" s="5">
        <f>_xlfn.IFNA(VLOOKUP($B$3&amp;ROWS($C$5:C7),Rosters!$B$2:$E$163,4,0),"")</f>
        <v>4</v>
      </c>
      <c r="D7" s="5"/>
      <c r="E7" s="5">
        <v>8</v>
      </c>
      <c r="F7" s="5"/>
      <c r="G7" s="5"/>
      <c r="H7" s="5">
        <v>3</v>
      </c>
      <c r="I7" s="5"/>
      <c r="J7" s="5"/>
      <c r="K7" s="5">
        <v>5</v>
      </c>
      <c r="L7" s="5"/>
      <c r="M7" s="5"/>
      <c r="N7" s="5">
        <v>2</v>
      </c>
      <c r="O7" s="5"/>
      <c r="P7" s="5"/>
      <c r="Q7" s="5">
        <v>2</v>
      </c>
      <c r="R7" s="5"/>
      <c r="S7" s="5"/>
      <c r="T7" s="5">
        <v>2</v>
      </c>
      <c r="U7" s="5"/>
    </row>
    <row r="8" spans="1:21" s="6" customFormat="1" x14ac:dyDescent="0.3">
      <c r="A8" s="6" t="str">
        <f>_xlfn.IFNA(VLOOKUP($B$3&amp;ROWS($A$5:A8),Rosters!$B$2:$C$163,2,0),"?")</f>
        <v>Jaxon</v>
      </c>
      <c r="B8" s="6" t="str">
        <f>_xlfn.IFNA(VLOOKUP($B$3&amp;ROWS($B$5:B8),Rosters!$B$2:$D$163,3,0),"?")</f>
        <v>Brenchley</v>
      </c>
      <c r="C8" s="6">
        <f>_xlfn.IFNA(VLOOKUP($B$3&amp;ROWS($C$5:C8),Rosters!$B$2:$E$163,4,0),"")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3">
      <c r="A9" s="5" t="str">
        <f>_xlfn.IFNA(VLOOKUP($B$3&amp;ROWS($A$5:A9),Rosters!$B$2:$C$163,2,0),"?")</f>
        <v>Jay</v>
      </c>
      <c r="B9" s="5" t="str">
        <f>_xlfn.IFNA(VLOOKUP($B$3&amp;ROWS($B$5:B9),Rosters!$B$2:$D$163,3,0),"?")</f>
        <v>Payne</v>
      </c>
      <c r="C9" s="5">
        <f>_xlfn.IFNA(VLOOKUP($B$3&amp;ROWS($C$5:C9),Rosters!$B$2:$E$163,4,0),"")</f>
        <v>10</v>
      </c>
      <c r="D9" s="5"/>
      <c r="E9" s="5">
        <v>6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3">
      <c r="A10" s="6" t="str">
        <f>_xlfn.IFNA(VLOOKUP($B$3&amp;ROWS($A$5:A10),Rosters!$B$2:$C$163,2,0),"?")</f>
        <v>Jaden</v>
      </c>
      <c r="B10" s="6" t="str">
        <f>_xlfn.IFNA(VLOOKUP($B$3&amp;ROWS($B$5:B10),Rosters!$B$2:$D$163,3,0),"?")</f>
        <v>Vaughn</v>
      </c>
      <c r="C10" s="6">
        <f>_xlfn.IFNA(VLOOKUP($B$3&amp;ROWS($C$5:C10),Rosters!$B$2:$E$163,4,0),"")</f>
        <v>11</v>
      </c>
      <c r="E10" s="6">
        <v>7</v>
      </c>
      <c r="H10" s="6">
        <v>3</v>
      </c>
      <c r="K10" s="6">
        <v>7</v>
      </c>
      <c r="N10" s="6">
        <v>2</v>
      </c>
      <c r="Q10" s="6">
        <v>3</v>
      </c>
      <c r="T10" s="6">
        <v>3</v>
      </c>
    </row>
    <row r="11" spans="1:21" s="6" customFormat="1" x14ac:dyDescent="0.3">
      <c r="A11" s="5" t="str">
        <f>_xlfn.IFNA(VLOOKUP($B$3&amp;ROWS($A$5:A11),Rosters!$B$2:$C$163,2,0),"?")</f>
        <v>Dason</v>
      </c>
      <c r="B11" s="5" t="str">
        <f>_xlfn.IFNA(VLOOKUP($B$3&amp;ROWS($B$5:B11),Rosters!$B$2:$D$163,3,0),"?")</f>
        <v>Youngblood</v>
      </c>
      <c r="C11" s="5">
        <f>_xlfn.IFNA(VLOOKUP($B$3&amp;ROWS($C$5:C11),Rosters!$B$2:$E$163,4,0),"")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3">
      <c r="A12" s="6" t="str">
        <f>_xlfn.IFNA(VLOOKUP($B$3&amp;ROWS($A$5:A12),Rosters!$B$2:$C$163,2,0),"?")</f>
        <v>Hunter</v>
      </c>
      <c r="B12" s="6" t="str">
        <f>_xlfn.IFNA(VLOOKUP($B$3&amp;ROWS($B$5:B12),Rosters!$B$2:$D$163,3,0),"?")</f>
        <v>Clarke</v>
      </c>
      <c r="C12" s="6">
        <f>_xlfn.IFNA(VLOOKUP($B$3&amp;ROWS($C$5:C12),Rosters!$B$2:$E$163,4,0),"")</f>
        <v>15</v>
      </c>
      <c r="E12" s="6">
        <v>10</v>
      </c>
      <c r="H12" s="6">
        <v>3</v>
      </c>
      <c r="K12" s="6">
        <v>8</v>
      </c>
      <c r="N12" s="6">
        <v>1</v>
      </c>
      <c r="Q12" s="6">
        <v>4</v>
      </c>
      <c r="T12" s="6">
        <v>4</v>
      </c>
    </row>
    <row r="13" spans="1:21" s="6" customFormat="1" x14ac:dyDescent="0.3">
      <c r="A13" s="5" t="str">
        <f>_xlfn.IFNA(VLOOKUP($B$3&amp;ROWS($A$5:A13),Rosters!$B$2:$C$163,2,0),"?")</f>
        <v>Trevin</v>
      </c>
      <c r="B13" s="5" t="str">
        <f>_xlfn.IFNA(VLOOKUP($B$3&amp;ROWS($B$5:B13),Rosters!$B$2:$D$163,3,0),"?")</f>
        <v>Knell</v>
      </c>
      <c r="C13" s="5">
        <f>_xlfn.IFNA(VLOOKUP($B$3&amp;ROWS($C$5:C13),Rosters!$B$2:$E$163,4,0),"")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3">
      <c r="A14" s="6" t="str">
        <f>_xlfn.IFNA(VLOOKUP($B$3&amp;ROWS($A$5:A14),Rosters!$B$2:$C$163,2,0),"?")</f>
        <v>Hank</v>
      </c>
      <c r="B14" s="6" t="str">
        <f>_xlfn.IFNA(VLOOKUP($B$3&amp;ROWS($B$5:B14),Rosters!$B$2:$D$163,3,0),"?")</f>
        <v>Bushell</v>
      </c>
      <c r="C14" s="6">
        <f>_xlfn.IFNA(VLOOKUP($B$3&amp;ROWS($C$5:C14),Rosters!$B$2:$E$163,4,0),"")</f>
        <v>23</v>
      </c>
      <c r="E14" s="6">
        <v>1</v>
      </c>
      <c r="H14" s="6">
        <v>0</v>
      </c>
      <c r="K14" s="6">
        <v>3</v>
      </c>
      <c r="N14" s="6">
        <v>1</v>
      </c>
      <c r="Q14" s="6">
        <v>0</v>
      </c>
      <c r="T14" s="6">
        <v>0</v>
      </c>
    </row>
    <row r="15" spans="1:21" s="6" customFormat="1" x14ac:dyDescent="0.3">
      <c r="A15" s="5" t="str">
        <f>_xlfn.IFNA(VLOOKUP($B$3&amp;ROWS($A$5:A15),Rosters!$B$2:$C$163,2,0),"?")</f>
        <v>Keon</v>
      </c>
      <c r="B15" s="5" t="str">
        <f>_xlfn.IFNA(VLOOKUP($B$3&amp;ROWS($B$5:B15),Rosters!$B$2:$D$163,3,0),"?")</f>
        <v>Burgout</v>
      </c>
      <c r="C15" s="5">
        <f>_xlfn.IFNA(VLOOKUP($B$3&amp;ROWS($C$5:C15),Rosters!$B$2:$E$163,4,0),"")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3">
      <c r="A16" s="6" t="str">
        <f>_xlfn.IFNA(VLOOKUP($B$3&amp;ROWS($A$5:A16),Rosters!$B$2:$C$163,2,0),"?")</f>
        <v>Kaleb</v>
      </c>
      <c r="B16" s="6" t="str">
        <f>_xlfn.IFNA(VLOOKUP($B$3&amp;ROWS($B$5:B16),Rosters!$B$2:$D$163,3,0),"?")</f>
        <v>Wilborn</v>
      </c>
      <c r="C16" s="6">
        <f>_xlfn.IFNA(VLOOKUP($B$3&amp;ROWS($C$5:C16),Rosters!$B$2:$E$163,4,0),"")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3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>
        <v>30</v>
      </c>
      <c r="D17" s="5"/>
      <c r="E17" s="5">
        <v>5</v>
      </c>
      <c r="F17" s="5"/>
      <c r="G17" s="5"/>
      <c r="H17" s="5">
        <v>3</v>
      </c>
      <c r="I17" s="5"/>
      <c r="J17" s="5"/>
      <c r="K17" s="5">
        <v>3</v>
      </c>
      <c r="L17" s="5"/>
      <c r="M17" s="5"/>
      <c r="N17" s="5">
        <v>2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3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3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3">
      <c r="E20">
        <f>SUM(E5:E19)</f>
        <v>48</v>
      </c>
      <c r="H20">
        <f>SUM(H5:H19)</f>
        <v>20</v>
      </c>
      <c r="K20">
        <f>SUM(K5:K19)</f>
        <v>30</v>
      </c>
      <c r="N20">
        <f>SUM(N5:N19)</f>
        <v>9</v>
      </c>
      <c r="Q20">
        <f>SUM(Q5:Q19)</f>
        <v>13</v>
      </c>
      <c r="T20">
        <f>SUM(T5:T19)</f>
        <v>11</v>
      </c>
    </row>
    <row r="21" spans="1:21" x14ac:dyDescent="0.3">
      <c r="A21" s="2" t="s">
        <v>17</v>
      </c>
      <c r="B21" s="1" t="s">
        <v>30</v>
      </c>
    </row>
    <row r="22" spans="1:21" x14ac:dyDescent="0.3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3">
      <c r="A23" s="5" t="str">
        <f>_xlfn.IFNA(VLOOKUP($B$21&amp;ROWS($A$23:A23),Rosters!$B$2:$C$163,2,0),"?")</f>
        <v>Tone</v>
      </c>
      <c r="B23" s="5" t="str">
        <f>_xlfn.IFNA(VLOOKUP($B$21&amp;ROWS($B$23:B23),Rosters!$B$2:$D$163,3,0),"?")</f>
        <v>Anderson</v>
      </c>
      <c r="C23" s="5">
        <f>_xlfn.IFNA(VLOOKUP($B$21&amp;ROWS($C$23:C23),Rosters!$B$2:$E$163,4,0),"")</f>
        <v>0</v>
      </c>
      <c r="D23" s="5"/>
      <c r="E23" s="5">
        <v>9</v>
      </c>
      <c r="F23" s="5"/>
      <c r="G23" s="5"/>
      <c r="H23" s="5">
        <v>4</v>
      </c>
      <c r="I23" s="5"/>
      <c r="J23" s="5"/>
      <c r="K23" s="5">
        <v>8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3">
      <c r="A24" s="6" t="str">
        <f>_xlfn.IFNA(VLOOKUP($B$21&amp;ROWS($A$23:A24),Rosters!$B$2:$C$163,2,0),"?")</f>
        <v>Charles</v>
      </c>
      <c r="B24" s="6" t="str">
        <f>_xlfn.IFNA(VLOOKUP($B$21&amp;ROWS($B$23:B24),Rosters!$B$2:$D$163,3,0),"?")</f>
        <v>Nunn</v>
      </c>
      <c r="C24" s="6">
        <f>_xlfn.IFNA(VLOOKUP($B$21&amp;ROWS($C$23:C24),Rosters!$B$2:$E$163,4,0),"")</f>
        <v>1</v>
      </c>
      <c r="E24" s="6">
        <v>5</v>
      </c>
      <c r="H24" s="6">
        <v>2</v>
      </c>
      <c r="K24" s="6">
        <v>1</v>
      </c>
      <c r="N24" s="6">
        <v>0</v>
      </c>
      <c r="Q24" s="6">
        <v>1</v>
      </c>
      <c r="T24" s="6">
        <v>0</v>
      </c>
    </row>
    <row r="25" spans="1:21" s="6" customFormat="1" x14ac:dyDescent="0.3">
      <c r="A25" s="5" t="str">
        <f>_xlfn.IFNA(VLOOKUP($B$21&amp;ROWS($A$23:A25),Rosters!$B$2:$C$163,2,0),"?")</f>
        <v>Brandon</v>
      </c>
      <c r="B25" s="5" t="str">
        <f>_xlfn.IFNA(VLOOKUP($B$21&amp;ROWS($B$23:B25),Rosters!$B$2:$D$163,3,0),"?")</f>
        <v>Sly</v>
      </c>
      <c r="C25" s="5">
        <f>_xlfn.IFNA(VLOOKUP($B$21&amp;ROWS($C$23:C25),Rosters!$B$2:$E$163,4,0),"")</f>
        <v>2</v>
      </c>
      <c r="D25" s="5"/>
      <c r="E25" s="5">
        <v>10</v>
      </c>
      <c r="F25" s="5"/>
      <c r="G25" s="5"/>
      <c r="H25" s="5">
        <v>7</v>
      </c>
      <c r="I25" s="5"/>
      <c r="J25" s="5"/>
      <c r="K25" s="5">
        <v>5</v>
      </c>
      <c r="L25" s="5"/>
      <c r="M25" s="5"/>
      <c r="N25" s="5">
        <v>1</v>
      </c>
      <c r="O25" s="5"/>
      <c r="P25" s="5"/>
      <c r="Q25" s="5">
        <v>3</v>
      </c>
      <c r="R25" s="5"/>
      <c r="S25" s="5"/>
      <c r="T25" s="5">
        <v>2</v>
      </c>
      <c r="U25" s="5"/>
    </row>
    <row r="26" spans="1:21" s="6" customFormat="1" x14ac:dyDescent="0.3">
      <c r="A26" s="6" t="str">
        <f>_xlfn.IFNA(VLOOKUP($B$21&amp;ROWS($A$23:A26),Rosters!$B$2:$C$163,2,0),"?")</f>
        <v>Duce</v>
      </c>
      <c r="B26" s="6" t="str">
        <f>_xlfn.IFNA(VLOOKUP($B$21&amp;ROWS($B$23:B26),Rosters!$B$2:$D$163,3,0),"?")</f>
        <v>Zaid</v>
      </c>
      <c r="C26" s="6">
        <f>_xlfn.IFNA(VLOOKUP($B$21&amp;ROWS($C$23:C26),Rosters!$B$2:$E$163,4,0),"")</f>
        <v>5</v>
      </c>
      <c r="E26" s="6">
        <v>1</v>
      </c>
      <c r="H26" s="6">
        <v>0</v>
      </c>
      <c r="K26" s="6">
        <v>6</v>
      </c>
      <c r="N26" s="6">
        <v>4</v>
      </c>
      <c r="Q26" s="6">
        <v>0</v>
      </c>
      <c r="T26" s="6">
        <v>0</v>
      </c>
    </row>
    <row r="27" spans="1:21" s="6" customFormat="1" x14ac:dyDescent="0.3">
      <c r="A27" s="5" t="str">
        <f>_xlfn.IFNA(VLOOKUP($B$21&amp;ROWS($A$23:A27),Rosters!$B$2:$C$163,2,0),"?")</f>
        <v>Jaleel</v>
      </c>
      <c r="B27" s="5" t="str">
        <f>_xlfn.IFNA(VLOOKUP($B$21&amp;ROWS($B$23:B27),Rosters!$B$2:$D$163,3,0),"?")</f>
        <v>Roberts</v>
      </c>
      <c r="C27" s="5">
        <f>_xlfn.IFNA(VLOOKUP($B$21&amp;ROWS($C$23:C27),Rosters!$B$2:$E$163,4,0),"")</f>
        <v>9</v>
      </c>
      <c r="D27" s="5"/>
      <c r="E27" s="5">
        <v>6</v>
      </c>
      <c r="F27" s="5"/>
      <c r="G27" s="5"/>
      <c r="H27" s="5">
        <v>2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3</v>
      </c>
      <c r="R27" s="5"/>
      <c r="S27" s="5"/>
      <c r="T27" s="5">
        <v>1</v>
      </c>
      <c r="U27" s="5"/>
    </row>
    <row r="28" spans="1:21" s="6" customFormat="1" x14ac:dyDescent="0.3">
      <c r="A28" s="6" t="str">
        <f>_xlfn.IFNA(VLOOKUP($B$21&amp;ROWS($A$23:A28),Rosters!$B$2:$C$163,2,0),"?")</f>
        <v>Rayjon</v>
      </c>
      <c r="B28" s="6" t="str">
        <f>_xlfn.IFNA(VLOOKUP($B$21&amp;ROWS($B$23:B28),Rosters!$B$2:$D$163,3,0),"?")</f>
        <v>Tucker</v>
      </c>
      <c r="C28" s="6">
        <f>_xlfn.IFNA(VLOOKUP($B$21&amp;ROWS($C$23:C28),Rosters!$B$2:$E$163,4,0),"")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3">
      <c r="A29" s="5" t="str">
        <f>_xlfn.IFNA(VLOOKUP($B$21&amp;ROWS($A$23:A29),Rosters!$B$2:$C$163,2,0),"?")</f>
        <v>Kentrell</v>
      </c>
      <c r="B29" s="5" t="str">
        <f>_xlfn.IFNA(VLOOKUP($B$21&amp;ROWS($B$23:B29),Rosters!$B$2:$D$163,3,0),"?")</f>
        <v>Barkley</v>
      </c>
      <c r="C29" s="5">
        <f>_xlfn.IFNA(VLOOKUP($B$21&amp;ROWS($C$23:C29),Rosters!$B$2:$E$163,4,0),"")</f>
        <v>12</v>
      </c>
      <c r="D29" s="5"/>
      <c r="E29" s="5">
        <v>22</v>
      </c>
      <c r="F29" s="5"/>
      <c r="G29" s="5"/>
      <c r="H29" s="5">
        <v>16</v>
      </c>
      <c r="I29" s="5"/>
      <c r="J29" s="5"/>
      <c r="K29" s="5">
        <v>4</v>
      </c>
      <c r="L29" s="5"/>
      <c r="M29" s="5"/>
      <c r="N29" s="5">
        <v>2</v>
      </c>
      <c r="O29" s="5"/>
      <c r="P29" s="5"/>
      <c r="Q29" s="5">
        <v>7</v>
      </c>
      <c r="R29" s="5"/>
      <c r="S29" s="5"/>
      <c r="T29" s="5">
        <v>3</v>
      </c>
      <c r="U29" s="5"/>
    </row>
    <row r="30" spans="1:21" s="6" customFormat="1" x14ac:dyDescent="0.3">
      <c r="A30" s="6" t="str">
        <f>_xlfn.IFNA(VLOOKUP($B$21&amp;ROWS($A$23:A30),Rosters!$B$2:$C$163,2,0),"?")</f>
        <v>Dontay</v>
      </c>
      <c r="B30" s="6" t="str">
        <f>_xlfn.IFNA(VLOOKUP($B$21&amp;ROWS($B$23:B30),Rosters!$B$2:$D$163,3,0),"?")</f>
        <v>Bassett</v>
      </c>
      <c r="C30" s="6">
        <f>_xlfn.IFNA(VLOOKUP($B$21&amp;ROWS($C$23:C30),Rosters!$B$2:$E$163,4,0),"")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3">
      <c r="A31" s="5" t="str">
        <f>_xlfn.IFNA(VLOOKUP($B$21&amp;ROWS($A$23:A31),Rosters!$B$2:$C$163,2,0),"?")</f>
        <v>Kyndahl</v>
      </c>
      <c r="B31" s="5" t="str">
        <f>_xlfn.IFNA(VLOOKUP($B$21&amp;ROWS($B$23:B31),Rosters!$B$2:$D$163,3,0),"?")</f>
        <v>Hill</v>
      </c>
      <c r="C31" s="5">
        <f>_xlfn.IFNA(VLOOKUP($B$21&amp;ROWS($C$23:C31),Rosters!$B$2:$E$163,4,0),"")</f>
        <v>15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3">
      <c r="A32" s="6" t="str">
        <f>_xlfn.IFNA(VLOOKUP($B$21&amp;ROWS($A$23:A32),Rosters!$B$2:$C$163,2,0),"?")</f>
        <v>Jordan</v>
      </c>
      <c r="B32" s="6" t="str">
        <f>_xlfn.IFNA(VLOOKUP($B$21&amp;ROWS($B$23:B32),Rosters!$B$2:$D$163,3,0),"?")</f>
        <v>Loveridge</v>
      </c>
      <c r="C32" s="6">
        <f>_xlfn.IFNA(VLOOKUP($B$21&amp;ROWS($C$23:C32),Rosters!$B$2:$E$163,4,0),"")</f>
        <v>21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3">
      <c r="A33" s="5" t="str">
        <f>_xlfn.IFNA(VLOOKUP($B$21&amp;ROWS($A$23:A33),Rosters!$B$2:$C$163,2,0),"?")</f>
        <v>Thomas</v>
      </c>
      <c r="B33" s="5" t="str">
        <f>_xlfn.IFNA(VLOOKUP($B$21&amp;ROWS($B$23:B33),Rosters!$B$2:$D$163,3,0),"?")</f>
        <v>Bullock</v>
      </c>
      <c r="C33" s="5">
        <f>_xlfn.IFNA(VLOOKUP($B$21&amp;ROWS($C$23:C33),Rosters!$B$2:$E$163,4,0),"")</f>
        <v>22</v>
      </c>
      <c r="D33" s="5"/>
      <c r="E33" s="5">
        <v>10</v>
      </c>
      <c r="F33" s="5"/>
      <c r="G33" s="5"/>
      <c r="H33" s="5">
        <v>6</v>
      </c>
      <c r="I33" s="5"/>
      <c r="J33" s="5"/>
      <c r="K33" s="5">
        <v>4</v>
      </c>
      <c r="L33" s="5"/>
      <c r="M33" s="5"/>
      <c r="N33" s="5">
        <v>2</v>
      </c>
      <c r="O33" s="5"/>
      <c r="P33" s="5"/>
      <c r="Q33" s="5">
        <v>1</v>
      </c>
      <c r="R33" s="5"/>
      <c r="S33" s="5"/>
      <c r="T33" s="5">
        <v>1</v>
      </c>
      <c r="U33" s="5"/>
    </row>
    <row r="34" spans="1:21" s="6" customFormat="1" x14ac:dyDescent="0.3">
      <c r="A34" s="6" t="str">
        <f>_xlfn.IFNA(VLOOKUP($B$21&amp;ROWS($A$23:A34),Rosters!$B$2:$C$163,2,0),"?")</f>
        <v>Brendan</v>
      </c>
      <c r="B34" s="6" t="str">
        <f>_xlfn.IFNA(VLOOKUP($B$21&amp;ROWS($B$23:B34),Rosters!$B$2:$D$163,3,0),"?")</f>
        <v>Morris</v>
      </c>
      <c r="C34" s="6">
        <f>_xlfn.IFNA(VLOOKUP($B$21&amp;ROWS($C$23:C34),Rosters!$B$2:$E$163,4,0),"")</f>
        <v>23</v>
      </c>
      <c r="D34"/>
      <c r="E34" s="6">
        <v>7</v>
      </c>
      <c r="F34"/>
      <c r="G34"/>
      <c r="H34" s="6">
        <v>3</v>
      </c>
      <c r="I34"/>
      <c r="J34"/>
      <c r="K34" s="6">
        <v>1</v>
      </c>
      <c r="L34"/>
      <c r="M34"/>
      <c r="N34" s="6">
        <v>0</v>
      </c>
      <c r="O34"/>
      <c r="P34"/>
      <c r="Q34" s="6">
        <v>2</v>
      </c>
      <c r="R34"/>
      <c r="S34"/>
      <c r="T34" s="6">
        <v>2</v>
      </c>
      <c r="U34"/>
    </row>
    <row r="35" spans="1:21" s="6" customFormat="1" x14ac:dyDescent="0.3">
      <c r="A35" s="5" t="str">
        <f>_xlfn.IFNA(VLOOKUP($B$21&amp;ROWS($A$23:A35),Rosters!$B$2:$C$163,2,0),"?")</f>
        <v>Demarcus</v>
      </c>
      <c r="B35" s="5" t="str">
        <f>_xlfn.IFNA(VLOOKUP($B$21&amp;ROWS($B$23:B35),Rosters!$B$2:$D$163,3,0),"?")</f>
        <v>Harrison</v>
      </c>
      <c r="C35" s="5">
        <f>_xlfn.IFNA(VLOOKUP($B$21&amp;ROWS($C$23:C35),Rosters!$B$2:$E$163,4,0),"")</f>
        <v>31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3">
      <c r="A36" s="6" t="str">
        <f>_xlfn.IFNA(VLOOKUP($B$21&amp;ROWS($A$23:A36),Rosters!$B$2:$C$163,2,0),"?")</f>
        <v>?</v>
      </c>
      <c r="B36" s="6" t="str">
        <f>_xlfn.IFNA(VLOOKUP($B$21&amp;ROWS($B$23:B36),Rosters!$B$2:$D$163,3,0),"?")</f>
        <v>?</v>
      </c>
      <c r="C36" s="6" t="str">
        <f>_xlfn.IFNA(VLOOKUP($B$21&amp;ROWS($C$23:C36),Rosters!$B$2:$E$163,4,0),"")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3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3">
      <c r="E38">
        <f>SUM(E23:E37)</f>
        <v>70</v>
      </c>
      <c r="H38">
        <f>SUM(H23:H37)</f>
        <v>40</v>
      </c>
      <c r="K38">
        <f>SUM(K23:K37)</f>
        <v>29</v>
      </c>
      <c r="N38">
        <f>SUM(N23:N37)</f>
        <v>9</v>
      </c>
      <c r="Q38">
        <f>SUM(Q23:Q37)</f>
        <v>17</v>
      </c>
      <c r="T38">
        <f>SUM(T23:T37)</f>
        <v>9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60960</xdr:colOff>
                    <xdr:row>4</xdr:row>
                    <xdr:rowOff>22860</xdr:rowOff>
                  </from>
                  <to>
                    <xdr:col>3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5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60960</xdr:colOff>
                    <xdr:row>4</xdr:row>
                    <xdr:rowOff>22860</xdr:rowOff>
                  </from>
                  <to>
                    <xdr:col>6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53340</xdr:colOff>
                    <xdr:row>4</xdr:row>
                    <xdr:rowOff>22860</xdr:rowOff>
                  </from>
                  <to>
                    <xdr:col>8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60960</xdr:colOff>
                    <xdr:row>4</xdr:row>
                    <xdr:rowOff>22860</xdr:rowOff>
                  </from>
                  <to>
                    <xdr:col>9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53340</xdr:colOff>
                    <xdr:row>4</xdr:row>
                    <xdr:rowOff>22860</xdr:rowOff>
                  </from>
                  <to>
                    <xdr:col>11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60960</xdr:colOff>
                    <xdr:row>4</xdr:row>
                    <xdr:rowOff>22860</xdr:rowOff>
                  </from>
                  <to>
                    <xdr:col>12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53340</xdr:colOff>
                    <xdr:row>4</xdr:row>
                    <xdr:rowOff>22860</xdr:rowOff>
                  </from>
                  <to>
                    <xdr:col>14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60960</xdr:colOff>
                    <xdr:row>4</xdr:row>
                    <xdr:rowOff>22860</xdr:rowOff>
                  </from>
                  <to>
                    <xdr:col>15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53340</xdr:colOff>
                    <xdr:row>4</xdr:row>
                    <xdr:rowOff>22860</xdr:rowOff>
                  </from>
                  <to>
                    <xdr:col>17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60960</xdr:colOff>
                    <xdr:row>4</xdr:row>
                    <xdr:rowOff>22860</xdr:rowOff>
                  </from>
                  <to>
                    <xdr:col>18</xdr:col>
                    <xdr:colOff>342900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53340</xdr:colOff>
                    <xdr:row>4</xdr:row>
                    <xdr:rowOff>22860</xdr:rowOff>
                  </from>
                  <to>
                    <xdr:col>20</xdr:col>
                    <xdr:colOff>327660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5</xdr:row>
                    <xdr:rowOff>22860</xdr:rowOff>
                  </from>
                  <to>
                    <xdr:col>3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5</xdr:row>
                    <xdr:rowOff>22860</xdr:rowOff>
                  </from>
                  <to>
                    <xdr:col>5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5</xdr:row>
                    <xdr:rowOff>22860</xdr:rowOff>
                  </from>
                  <to>
                    <xdr:col>6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5</xdr:row>
                    <xdr:rowOff>22860</xdr:rowOff>
                  </from>
                  <to>
                    <xdr:col>8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9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5</xdr:row>
                    <xdr:rowOff>22860</xdr:rowOff>
                  </from>
                  <to>
                    <xdr:col>11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5</xdr:row>
                    <xdr:rowOff>22860</xdr:rowOff>
                  </from>
                  <to>
                    <xdr:col>12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5</xdr:row>
                    <xdr:rowOff>22860</xdr:rowOff>
                  </from>
                  <to>
                    <xdr:col>14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5</xdr:row>
                    <xdr:rowOff>22860</xdr:rowOff>
                  </from>
                  <to>
                    <xdr:col>15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5</xdr:row>
                    <xdr:rowOff>22860</xdr:rowOff>
                  </from>
                  <to>
                    <xdr:col>17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5</xdr:row>
                    <xdr:rowOff>22860</xdr:rowOff>
                  </from>
                  <to>
                    <xdr:col>18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5</xdr:row>
                    <xdr:rowOff>22860</xdr:rowOff>
                  </from>
                  <to>
                    <xdr:col>20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60960</xdr:colOff>
                    <xdr:row>5</xdr:row>
                    <xdr:rowOff>22860</xdr:rowOff>
                  </from>
                  <to>
                    <xdr:col>3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53340</xdr:colOff>
                    <xdr:row>5</xdr:row>
                    <xdr:rowOff>22860</xdr:rowOff>
                  </from>
                  <to>
                    <xdr:col>5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60960</xdr:colOff>
                    <xdr:row>5</xdr:row>
                    <xdr:rowOff>22860</xdr:rowOff>
                  </from>
                  <to>
                    <xdr:col>6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53340</xdr:colOff>
                    <xdr:row>5</xdr:row>
                    <xdr:rowOff>22860</xdr:rowOff>
                  </from>
                  <to>
                    <xdr:col>8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60960</xdr:colOff>
                    <xdr:row>5</xdr:row>
                    <xdr:rowOff>22860</xdr:rowOff>
                  </from>
                  <to>
                    <xdr:col>9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53340</xdr:colOff>
                    <xdr:row>5</xdr:row>
                    <xdr:rowOff>22860</xdr:rowOff>
                  </from>
                  <to>
                    <xdr:col>11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60960</xdr:colOff>
                    <xdr:row>5</xdr:row>
                    <xdr:rowOff>22860</xdr:rowOff>
                  </from>
                  <to>
                    <xdr:col>12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53340</xdr:colOff>
                    <xdr:row>5</xdr:row>
                    <xdr:rowOff>22860</xdr:rowOff>
                  </from>
                  <to>
                    <xdr:col>14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60960</xdr:colOff>
                    <xdr:row>5</xdr:row>
                    <xdr:rowOff>22860</xdr:rowOff>
                  </from>
                  <to>
                    <xdr:col>15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53340</xdr:colOff>
                    <xdr:row>5</xdr:row>
                    <xdr:rowOff>22860</xdr:rowOff>
                  </from>
                  <to>
                    <xdr:col>17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60960</xdr:colOff>
                    <xdr:row>5</xdr:row>
                    <xdr:rowOff>22860</xdr:rowOff>
                  </from>
                  <to>
                    <xdr:col>18</xdr:col>
                    <xdr:colOff>342900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53340</xdr:colOff>
                    <xdr:row>5</xdr:row>
                    <xdr:rowOff>22860</xdr:rowOff>
                  </from>
                  <to>
                    <xdr:col>20</xdr:col>
                    <xdr:colOff>327660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60960</xdr:colOff>
                    <xdr:row>6</xdr:row>
                    <xdr:rowOff>22860</xdr:rowOff>
                  </from>
                  <to>
                    <xdr:col>3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53340</xdr:colOff>
                    <xdr:row>6</xdr:row>
                    <xdr:rowOff>22860</xdr:rowOff>
                  </from>
                  <to>
                    <xdr:col>5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60960</xdr:colOff>
                    <xdr:row>6</xdr:row>
                    <xdr:rowOff>22860</xdr:rowOff>
                  </from>
                  <to>
                    <xdr:col>6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53340</xdr:colOff>
                    <xdr:row>6</xdr:row>
                    <xdr:rowOff>22860</xdr:rowOff>
                  </from>
                  <to>
                    <xdr:col>8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60960</xdr:colOff>
                    <xdr:row>6</xdr:row>
                    <xdr:rowOff>22860</xdr:rowOff>
                  </from>
                  <to>
                    <xdr:col>9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53340</xdr:colOff>
                    <xdr:row>6</xdr:row>
                    <xdr:rowOff>22860</xdr:rowOff>
                  </from>
                  <to>
                    <xdr:col>11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60960</xdr:colOff>
                    <xdr:row>6</xdr:row>
                    <xdr:rowOff>22860</xdr:rowOff>
                  </from>
                  <to>
                    <xdr:col>12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53340</xdr:colOff>
                    <xdr:row>6</xdr:row>
                    <xdr:rowOff>22860</xdr:rowOff>
                  </from>
                  <to>
                    <xdr:col>14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60960</xdr:colOff>
                    <xdr:row>6</xdr:row>
                    <xdr:rowOff>22860</xdr:rowOff>
                  </from>
                  <to>
                    <xdr:col>15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53340</xdr:colOff>
                    <xdr:row>6</xdr:row>
                    <xdr:rowOff>22860</xdr:rowOff>
                  </from>
                  <to>
                    <xdr:col>17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60960</xdr:colOff>
                    <xdr:row>6</xdr:row>
                    <xdr:rowOff>22860</xdr:rowOff>
                  </from>
                  <to>
                    <xdr:col>18</xdr:col>
                    <xdr:colOff>342900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53340</xdr:colOff>
                    <xdr:row>6</xdr:row>
                    <xdr:rowOff>22860</xdr:rowOff>
                  </from>
                  <to>
                    <xdr:col>20</xdr:col>
                    <xdr:colOff>327660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22</xdr:row>
                    <xdr:rowOff>22860</xdr:rowOff>
                  </from>
                  <to>
                    <xdr:col>3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22</xdr:row>
                    <xdr:rowOff>22860</xdr:rowOff>
                  </from>
                  <to>
                    <xdr:col>5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22</xdr:row>
                    <xdr:rowOff>22860</xdr:rowOff>
                  </from>
                  <to>
                    <xdr:col>6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22</xdr:row>
                    <xdr:rowOff>22860</xdr:rowOff>
                  </from>
                  <to>
                    <xdr:col>8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22</xdr:row>
                    <xdr:rowOff>22860</xdr:rowOff>
                  </from>
                  <to>
                    <xdr:col>9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22</xdr:row>
                    <xdr:rowOff>22860</xdr:rowOff>
                  </from>
                  <to>
                    <xdr:col>11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22</xdr:row>
                    <xdr:rowOff>22860</xdr:rowOff>
                  </from>
                  <to>
                    <xdr:col>12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22</xdr:row>
                    <xdr:rowOff>22860</xdr:rowOff>
                  </from>
                  <to>
                    <xdr:col>14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22</xdr:row>
                    <xdr:rowOff>22860</xdr:rowOff>
                  </from>
                  <to>
                    <xdr:col>15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22</xdr:row>
                    <xdr:rowOff>22860</xdr:rowOff>
                  </from>
                  <to>
                    <xdr:col>17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22</xdr:row>
                    <xdr:rowOff>22860</xdr:rowOff>
                  </from>
                  <to>
                    <xdr:col>18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22</xdr:row>
                    <xdr:rowOff>22860</xdr:rowOff>
                  </from>
                  <to>
                    <xdr:col>20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24</xdr:row>
                    <xdr:rowOff>22860</xdr:rowOff>
                  </from>
                  <to>
                    <xdr:col>3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24</xdr:row>
                    <xdr:rowOff>22860</xdr:rowOff>
                  </from>
                  <to>
                    <xdr:col>5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24</xdr:row>
                    <xdr:rowOff>22860</xdr:rowOff>
                  </from>
                  <to>
                    <xdr:col>6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24</xdr:row>
                    <xdr:rowOff>22860</xdr:rowOff>
                  </from>
                  <to>
                    <xdr:col>8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24</xdr:row>
                    <xdr:rowOff>22860</xdr:rowOff>
                  </from>
                  <to>
                    <xdr:col>9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24</xdr:row>
                    <xdr:rowOff>22860</xdr:rowOff>
                  </from>
                  <to>
                    <xdr:col>11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24</xdr:row>
                    <xdr:rowOff>22860</xdr:rowOff>
                  </from>
                  <to>
                    <xdr:col>12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24</xdr:row>
                    <xdr:rowOff>22860</xdr:rowOff>
                  </from>
                  <to>
                    <xdr:col>14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24</xdr:row>
                    <xdr:rowOff>22860</xdr:rowOff>
                  </from>
                  <to>
                    <xdr:col>15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24</xdr:row>
                    <xdr:rowOff>22860</xdr:rowOff>
                  </from>
                  <to>
                    <xdr:col>17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24</xdr:row>
                    <xdr:rowOff>22860</xdr:rowOff>
                  </from>
                  <to>
                    <xdr:col>18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24</xdr:row>
                    <xdr:rowOff>22860</xdr:rowOff>
                  </from>
                  <to>
                    <xdr:col>20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60960</xdr:colOff>
                    <xdr:row>7</xdr:row>
                    <xdr:rowOff>22860</xdr:rowOff>
                  </from>
                  <to>
                    <xdr:col>3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60960</xdr:colOff>
                    <xdr:row>8</xdr:row>
                    <xdr:rowOff>22860</xdr:rowOff>
                  </from>
                  <to>
                    <xdr:col>3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60960</xdr:colOff>
                    <xdr:row>9</xdr:row>
                    <xdr:rowOff>22860</xdr:rowOff>
                  </from>
                  <to>
                    <xdr:col>3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60960</xdr:colOff>
                    <xdr:row>10</xdr:row>
                    <xdr:rowOff>22860</xdr:rowOff>
                  </from>
                  <to>
                    <xdr:col>3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60960</xdr:colOff>
                    <xdr:row>11</xdr:row>
                    <xdr:rowOff>22860</xdr:rowOff>
                  </from>
                  <to>
                    <xdr:col>3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60960</xdr:colOff>
                    <xdr:row>12</xdr:row>
                    <xdr:rowOff>22860</xdr:rowOff>
                  </from>
                  <to>
                    <xdr:col>3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60960</xdr:colOff>
                    <xdr:row>13</xdr:row>
                    <xdr:rowOff>22860</xdr:rowOff>
                  </from>
                  <to>
                    <xdr:col>3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60960</xdr:colOff>
                    <xdr:row>14</xdr:row>
                    <xdr:rowOff>22860</xdr:rowOff>
                  </from>
                  <to>
                    <xdr:col>3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60960</xdr:colOff>
                    <xdr:row>15</xdr:row>
                    <xdr:rowOff>22860</xdr:rowOff>
                  </from>
                  <to>
                    <xdr:col>3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60960</xdr:colOff>
                    <xdr:row>16</xdr:row>
                    <xdr:rowOff>22860</xdr:rowOff>
                  </from>
                  <to>
                    <xdr:col>3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60960</xdr:colOff>
                    <xdr:row>17</xdr:row>
                    <xdr:rowOff>22860</xdr:rowOff>
                  </from>
                  <to>
                    <xdr:col>3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60960</xdr:colOff>
                    <xdr:row>18</xdr:row>
                    <xdr:rowOff>22860</xdr:rowOff>
                  </from>
                  <to>
                    <xdr:col>3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5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53340</xdr:colOff>
                    <xdr:row>8</xdr:row>
                    <xdr:rowOff>22860</xdr:rowOff>
                  </from>
                  <to>
                    <xdr:col>5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53340</xdr:colOff>
                    <xdr:row>9</xdr:row>
                    <xdr:rowOff>22860</xdr:rowOff>
                  </from>
                  <to>
                    <xdr:col>5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5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53340</xdr:colOff>
                    <xdr:row>11</xdr:row>
                    <xdr:rowOff>22860</xdr:rowOff>
                  </from>
                  <to>
                    <xdr:col>5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53340</xdr:colOff>
                    <xdr:row>12</xdr:row>
                    <xdr:rowOff>22860</xdr:rowOff>
                  </from>
                  <to>
                    <xdr:col>5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5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53340</xdr:colOff>
                    <xdr:row>14</xdr:row>
                    <xdr:rowOff>22860</xdr:rowOff>
                  </from>
                  <to>
                    <xdr:col>5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53340</xdr:colOff>
                    <xdr:row>15</xdr:row>
                    <xdr:rowOff>22860</xdr:rowOff>
                  </from>
                  <to>
                    <xdr:col>5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5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53340</xdr:colOff>
                    <xdr:row>17</xdr:row>
                    <xdr:rowOff>22860</xdr:rowOff>
                  </from>
                  <to>
                    <xdr:col>5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53340</xdr:colOff>
                    <xdr:row>18</xdr:row>
                    <xdr:rowOff>22860</xdr:rowOff>
                  </from>
                  <to>
                    <xdr:col>5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60960</xdr:colOff>
                    <xdr:row>7</xdr:row>
                    <xdr:rowOff>22860</xdr:rowOff>
                  </from>
                  <to>
                    <xdr:col>6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60960</xdr:colOff>
                    <xdr:row>8</xdr:row>
                    <xdr:rowOff>22860</xdr:rowOff>
                  </from>
                  <to>
                    <xdr:col>6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60960</xdr:colOff>
                    <xdr:row>9</xdr:row>
                    <xdr:rowOff>22860</xdr:rowOff>
                  </from>
                  <to>
                    <xdr:col>6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60960</xdr:colOff>
                    <xdr:row>10</xdr:row>
                    <xdr:rowOff>22860</xdr:rowOff>
                  </from>
                  <to>
                    <xdr:col>6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60960</xdr:colOff>
                    <xdr:row>11</xdr:row>
                    <xdr:rowOff>22860</xdr:rowOff>
                  </from>
                  <to>
                    <xdr:col>6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60960</xdr:colOff>
                    <xdr:row>12</xdr:row>
                    <xdr:rowOff>22860</xdr:rowOff>
                  </from>
                  <to>
                    <xdr:col>6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60960</xdr:colOff>
                    <xdr:row>13</xdr:row>
                    <xdr:rowOff>22860</xdr:rowOff>
                  </from>
                  <to>
                    <xdr:col>6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60960</xdr:colOff>
                    <xdr:row>14</xdr:row>
                    <xdr:rowOff>22860</xdr:rowOff>
                  </from>
                  <to>
                    <xdr:col>6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60960</xdr:colOff>
                    <xdr:row>15</xdr:row>
                    <xdr:rowOff>22860</xdr:rowOff>
                  </from>
                  <to>
                    <xdr:col>6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60960</xdr:colOff>
                    <xdr:row>16</xdr:row>
                    <xdr:rowOff>22860</xdr:rowOff>
                  </from>
                  <to>
                    <xdr:col>6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60960</xdr:colOff>
                    <xdr:row>17</xdr:row>
                    <xdr:rowOff>22860</xdr:rowOff>
                  </from>
                  <to>
                    <xdr:col>6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60960</xdr:colOff>
                    <xdr:row>18</xdr:row>
                    <xdr:rowOff>22860</xdr:rowOff>
                  </from>
                  <to>
                    <xdr:col>6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53340</xdr:colOff>
                    <xdr:row>7</xdr:row>
                    <xdr:rowOff>22860</xdr:rowOff>
                  </from>
                  <to>
                    <xdr:col>8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53340</xdr:colOff>
                    <xdr:row>8</xdr:row>
                    <xdr:rowOff>22860</xdr:rowOff>
                  </from>
                  <to>
                    <xdr:col>8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53340</xdr:colOff>
                    <xdr:row>9</xdr:row>
                    <xdr:rowOff>22860</xdr:rowOff>
                  </from>
                  <to>
                    <xdr:col>8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53340</xdr:colOff>
                    <xdr:row>10</xdr:row>
                    <xdr:rowOff>22860</xdr:rowOff>
                  </from>
                  <to>
                    <xdr:col>8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53340</xdr:colOff>
                    <xdr:row>11</xdr:row>
                    <xdr:rowOff>22860</xdr:rowOff>
                  </from>
                  <to>
                    <xdr:col>8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53340</xdr:colOff>
                    <xdr:row>12</xdr:row>
                    <xdr:rowOff>22860</xdr:rowOff>
                  </from>
                  <to>
                    <xdr:col>8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53340</xdr:colOff>
                    <xdr:row>13</xdr:row>
                    <xdr:rowOff>22860</xdr:rowOff>
                  </from>
                  <to>
                    <xdr:col>8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53340</xdr:colOff>
                    <xdr:row>14</xdr:row>
                    <xdr:rowOff>22860</xdr:rowOff>
                  </from>
                  <to>
                    <xdr:col>8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53340</xdr:colOff>
                    <xdr:row>15</xdr:row>
                    <xdr:rowOff>22860</xdr:rowOff>
                  </from>
                  <to>
                    <xdr:col>8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53340</xdr:colOff>
                    <xdr:row>16</xdr:row>
                    <xdr:rowOff>22860</xdr:rowOff>
                  </from>
                  <to>
                    <xdr:col>8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53340</xdr:colOff>
                    <xdr:row>17</xdr:row>
                    <xdr:rowOff>22860</xdr:rowOff>
                  </from>
                  <to>
                    <xdr:col>8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53340</xdr:colOff>
                    <xdr:row>18</xdr:row>
                    <xdr:rowOff>22860</xdr:rowOff>
                  </from>
                  <to>
                    <xdr:col>8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60960</xdr:colOff>
                    <xdr:row>7</xdr:row>
                    <xdr:rowOff>22860</xdr:rowOff>
                  </from>
                  <to>
                    <xdr:col>9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60960</xdr:colOff>
                    <xdr:row>8</xdr:row>
                    <xdr:rowOff>22860</xdr:rowOff>
                  </from>
                  <to>
                    <xdr:col>9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60960</xdr:colOff>
                    <xdr:row>9</xdr:row>
                    <xdr:rowOff>22860</xdr:rowOff>
                  </from>
                  <to>
                    <xdr:col>9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60960</xdr:colOff>
                    <xdr:row>10</xdr:row>
                    <xdr:rowOff>22860</xdr:rowOff>
                  </from>
                  <to>
                    <xdr:col>9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60960</xdr:colOff>
                    <xdr:row>11</xdr:row>
                    <xdr:rowOff>22860</xdr:rowOff>
                  </from>
                  <to>
                    <xdr:col>9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60960</xdr:colOff>
                    <xdr:row>12</xdr:row>
                    <xdr:rowOff>22860</xdr:rowOff>
                  </from>
                  <to>
                    <xdr:col>9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60960</xdr:colOff>
                    <xdr:row>13</xdr:row>
                    <xdr:rowOff>22860</xdr:rowOff>
                  </from>
                  <to>
                    <xdr:col>9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60960</xdr:colOff>
                    <xdr:row>14</xdr:row>
                    <xdr:rowOff>22860</xdr:rowOff>
                  </from>
                  <to>
                    <xdr:col>9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60960</xdr:colOff>
                    <xdr:row>15</xdr:row>
                    <xdr:rowOff>22860</xdr:rowOff>
                  </from>
                  <to>
                    <xdr:col>9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60960</xdr:colOff>
                    <xdr:row>16</xdr:row>
                    <xdr:rowOff>22860</xdr:rowOff>
                  </from>
                  <to>
                    <xdr:col>9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60960</xdr:colOff>
                    <xdr:row>17</xdr:row>
                    <xdr:rowOff>22860</xdr:rowOff>
                  </from>
                  <to>
                    <xdr:col>9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60960</xdr:colOff>
                    <xdr:row>18</xdr:row>
                    <xdr:rowOff>22860</xdr:rowOff>
                  </from>
                  <to>
                    <xdr:col>9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53340</xdr:colOff>
                    <xdr:row>7</xdr:row>
                    <xdr:rowOff>22860</xdr:rowOff>
                  </from>
                  <to>
                    <xdr:col>11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53340</xdr:colOff>
                    <xdr:row>8</xdr:row>
                    <xdr:rowOff>22860</xdr:rowOff>
                  </from>
                  <to>
                    <xdr:col>11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53340</xdr:colOff>
                    <xdr:row>9</xdr:row>
                    <xdr:rowOff>22860</xdr:rowOff>
                  </from>
                  <to>
                    <xdr:col>11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53340</xdr:colOff>
                    <xdr:row>10</xdr:row>
                    <xdr:rowOff>22860</xdr:rowOff>
                  </from>
                  <to>
                    <xdr:col>11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53340</xdr:colOff>
                    <xdr:row>11</xdr:row>
                    <xdr:rowOff>22860</xdr:rowOff>
                  </from>
                  <to>
                    <xdr:col>11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53340</xdr:colOff>
                    <xdr:row>12</xdr:row>
                    <xdr:rowOff>22860</xdr:rowOff>
                  </from>
                  <to>
                    <xdr:col>11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53340</xdr:colOff>
                    <xdr:row>13</xdr:row>
                    <xdr:rowOff>22860</xdr:rowOff>
                  </from>
                  <to>
                    <xdr:col>11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53340</xdr:colOff>
                    <xdr:row>14</xdr:row>
                    <xdr:rowOff>22860</xdr:rowOff>
                  </from>
                  <to>
                    <xdr:col>11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53340</xdr:colOff>
                    <xdr:row>15</xdr:row>
                    <xdr:rowOff>22860</xdr:rowOff>
                  </from>
                  <to>
                    <xdr:col>11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53340</xdr:colOff>
                    <xdr:row>16</xdr:row>
                    <xdr:rowOff>22860</xdr:rowOff>
                  </from>
                  <to>
                    <xdr:col>11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53340</xdr:colOff>
                    <xdr:row>17</xdr:row>
                    <xdr:rowOff>22860</xdr:rowOff>
                  </from>
                  <to>
                    <xdr:col>11</xdr:col>
                    <xdr:colOff>327660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53340</xdr:colOff>
                    <xdr:row>18</xdr:row>
                    <xdr:rowOff>22860</xdr:rowOff>
                  </from>
                  <to>
                    <xdr:col>11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60960</xdr:colOff>
                    <xdr:row>7</xdr:row>
                    <xdr:rowOff>22860</xdr:rowOff>
                  </from>
                  <to>
                    <xdr:col>12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60960</xdr:colOff>
                    <xdr:row>8</xdr:row>
                    <xdr:rowOff>22860</xdr:rowOff>
                  </from>
                  <to>
                    <xdr:col>12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60960</xdr:colOff>
                    <xdr:row>9</xdr:row>
                    <xdr:rowOff>22860</xdr:rowOff>
                  </from>
                  <to>
                    <xdr:col>12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60960</xdr:colOff>
                    <xdr:row>10</xdr:row>
                    <xdr:rowOff>22860</xdr:rowOff>
                  </from>
                  <to>
                    <xdr:col>12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60960</xdr:colOff>
                    <xdr:row>11</xdr:row>
                    <xdr:rowOff>22860</xdr:rowOff>
                  </from>
                  <to>
                    <xdr:col>12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60960</xdr:colOff>
                    <xdr:row>12</xdr:row>
                    <xdr:rowOff>22860</xdr:rowOff>
                  </from>
                  <to>
                    <xdr:col>12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60960</xdr:colOff>
                    <xdr:row>13</xdr:row>
                    <xdr:rowOff>22860</xdr:rowOff>
                  </from>
                  <to>
                    <xdr:col>12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60960</xdr:colOff>
                    <xdr:row>14</xdr:row>
                    <xdr:rowOff>22860</xdr:rowOff>
                  </from>
                  <to>
                    <xdr:col>12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60960</xdr:colOff>
                    <xdr:row>15</xdr:row>
                    <xdr:rowOff>22860</xdr:rowOff>
                  </from>
                  <to>
                    <xdr:col>12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60960</xdr:colOff>
                    <xdr:row>16</xdr:row>
                    <xdr:rowOff>22860</xdr:rowOff>
                  </from>
                  <to>
                    <xdr:col>12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60960</xdr:colOff>
                    <xdr:row>17</xdr:row>
                    <xdr:rowOff>22860</xdr:rowOff>
                  </from>
                  <to>
                    <xdr:col>12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60960</xdr:colOff>
                    <xdr:row>18</xdr:row>
                    <xdr:rowOff>22860</xdr:rowOff>
                  </from>
                  <to>
                    <xdr:col>12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53340</xdr:colOff>
                    <xdr:row>7</xdr:row>
                    <xdr:rowOff>22860</xdr:rowOff>
                  </from>
                  <to>
                    <xdr:col>14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53340</xdr:colOff>
                    <xdr:row>8</xdr:row>
                    <xdr:rowOff>22860</xdr:rowOff>
                  </from>
                  <to>
                    <xdr:col>14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53340</xdr:colOff>
                    <xdr:row>9</xdr:row>
                    <xdr:rowOff>22860</xdr:rowOff>
                  </from>
                  <to>
                    <xdr:col>14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53340</xdr:colOff>
                    <xdr:row>10</xdr:row>
                    <xdr:rowOff>22860</xdr:rowOff>
                  </from>
                  <to>
                    <xdr:col>14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53340</xdr:colOff>
                    <xdr:row>11</xdr:row>
                    <xdr:rowOff>22860</xdr:rowOff>
                  </from>
                  <to>
                    <xdr:col>14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53340</xdr:colOff>
                    <xdr:row>12</xdr:row>
                    <xdr:rowOff>22860</xdr:rowOff>
                  </from>
                  <to>
                    <xdr:col>14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53340</xdr:colOff>
                    <xdr:row>13</xdr:row>
                    <xdr:rowOff>22860</xdr:rowOff>
                  </from>
                  <to>
                    <xdr:col>14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53340</xdr:colOff>
                    <xdr:row>14</xdr:row>
                    <xdr:rowOff>22860</xdr:rowOff>
                  </from>
                  <to>
                    <xdr:col>14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53340</xdr:colOff>
                    <xdr:row>15</xdr:row>
                    <xdr:rowOff>22860</xdr:rowOff>
                  </from>
                  <to>
                    <xdr:col>14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53340</xdr:colOff>
                    <xdr:row>16</xdr:row>
                    <xdr:rowOff>22860</xdr:rowOff>
                  </from>
                  <to>
                    <xdr:col>14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53340</xdr:colOff>
                    <xdr:row>17</xdr:row>
                    <xdr:rowOff>22860</xdr:rowOff>
                  </from>
                  <to>
                    <xdr:col>14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53340</xdr:colOff>
                    <xdr:row>18</xdr:row>
                    <xdr:rowOff>22860</xdr:rowOff>
                  </from>
                  <to>
                    <xdr:col>14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60960</xdr:colOff>
                    <xdr:row>7</xdr:row>
                    <xdr:rowOff>22860</xdr:rowOff>
                  </from>
                  <to>
                    <xdr:col>15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60960</xdr:colOff>
                    <xdr:row>8</xdr:row>
                    <xdr:rowOff>22860</xdr:rowOff>
                  </from>
                  <to>
                    <xdr:col>15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60960</xdr:colOff>
                    <xdr:row>9</xdr:row>
                    <xdr:rowOff>22860</xdr:rowOff>
                  </from>
                  <to>
                    <xdr:col>15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60960</xdr:colOff>
                    <xdr:row>10</xdr:row>
                    <xdr:rowOff>22860</xdr:rowOff>
                  </from>
                  <to>
                    <xdr:col>15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60960</xdr:colOff>
                    <xdr:row>11</xdr:row>
                    <xdr:rowOff>22860</xdr:rowOff>
                  </from>
                  <to>
                    <xdr:col>15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60960</xdr:colOff>
                    <xdr:row>12</xdr:row>
                    <xdr:rowOff>22860</xdr:rowOff>
                  </from>
                  <to>
                    <xdr:col>15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60960</xdr:colOff>
                    <xdr:row>13</xdr:row>
                    <xdr:rowOff>22860</xdr:rowOff>
                  </from>
                  <to>
                    <xdr:col>15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60960</xdr:colOff>
                    <xdr:row>14</xdr:row>
                    <xdr:rowOff>22860</xdr:rowOff>
                  </from>
                  <to>
                    <xdr:col>15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60960</xdr:colOff>
                    <xdr:row>15</xdr:row>
                    <xdr:rowOff>22860</xdr:rowOff>
                  </from>
                  <to>
                    <xdr:col>15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60960</xdr:colOff>
                    <xdr:row>16</xdr:row>
                    <xdr:rowOff>22860</xdr:rowOff>
                  </from>
                  <to>
                    <xdr:col>15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60960</xdr:colOff>
                    <xdr:row>17</xdr:row>
                    <xdr:rowOff>22860</xdr:rowOff>
                  </from>
                  <to>
                    <xdr:col>15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60960</xdr:colOff>
                    <xdr:row>18</xdr:row>
                    <xdr:rowOff>22860</xdr:rowOff>
                  </from>
                  <to>
                    <xdr:col>15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53340</xdr:colOff>
                    <xdr:row>7</xdr:row>
                    <xdr:rowOff>22860</xdr:rowOff>
                  </from>
                  <to>
                    <xdr:col>17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53340</xdr:colOff>
                    <xdr:row>8</xdr:row>
                    <xdr:rowOff>22860</xdr:rowOff>
                  </from>
                  <to>
                    <xdr:col>17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53340</xdr:colOff>
                    <xdr:row>9</xdr:row>
                    <xdr:rowOff>22860</xdr:rowOff>
                  </from>
                  <to>
                    <xdr:col>17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53340</xdr:colOff>
                    <xdr:row>10</xdr:row>
                    <xdr:rowOff>22860</xdr:rowOff>
                  </from>
                  <to>
                    <xdr:col>17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53340</xdr:colOff>
                    <xdr:row>11</xdr:row>
                    <xdr:rowOff>22860</xdr:rowOff>
                  </from>
                  <to>
                    <xdr:col>17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53340</xdr:colOff>
                    <xdr:row>12</xdr:row>
                    <xdr:rowOff>22860</xdr:rowOff>
                  </from>
                  <to>
                    <xdr:col>17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53340</xdr:colOff>
                    <xdr:row>13</xdr:row>
                    <xdr:rowOff>22860</xdr:rowOff>
                  </from>
                  <to>
                    <xdr:col>17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53340</xdr:colOff>
                    <xdr:row>14</xdr:row>
                    <xdr:rowOff>22860</xdr:rowOff>
                  </from>
                  <to>
                    <xdr:col>17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53340</xdr:colOff>
                    <xdr:row>15</xdr:row>
                    <xdr:rowOff>22860</xdr:rowOff>
                  </from>
                  <to>
                    <xdr:col>17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53340</xdr:colOff>
                    <xdr:row>16</xdr:row>
                    <xdr:rowOff>22860</xdr:rowOff>
                  </from>
                  <to>
                    <xdr:col>17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53340</xdr:colOff>
                    <xdr:row>17</xdr:row>
                    <xdr:rowOff>22860</xdr:rowOff>
                  </from>
                  <to>
                    <xdr:col>17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53340</xdr:colOff>
                    <xdr:row>18</xdr:row>
                    <xdr:rowOff>22860</xdr:rowOff>
                  </from>
                  <to>
                    <xdr:col>17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60960</xdr:colOff>
                    <xdr:row>7</xdr:row>
                    <xdr:rowOff>22860</xdr:rowOff>
                  </from>
                  <to>
                    <xdr:col>18</xdr:col>
                    <xdr:colOff>342900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60960</xdr:colOff>
                    <xdr:row>8</xdr:row>
                    <xdr:rowOff>22860</xdr:rowOff>
                  </from>
                  <to>
                    <xdr:col>18</xdr:col>
                    <xdr:colOff>342900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60960</xdr:colOff>
                    <xdr:row>9</xdr:row>
                    <xdr:rowOff>22860</xdr:rowOff>
                  </from>
                  <to>
                    <xdr:col>18</xdr:col>
                    <xdr:colOff>342900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60960</xdr:colOff>
                    <xdr:row>10</xdr:row>
                    <xdr:rowOff>22860</xdr:rowOff>
                  </from>
                  <to>
                    <xdr:col>18</xdr:col>
                    <xdr:colOff>342900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60960</xdr:colOff>
                    <xdr:row>11</xdr:row>
                    <xdr:rowOff>22860</xdr:rowOff>
                  </from>
                  <to>
                    <xdr:col>18</xdr:col>
                    <xdr:colOff>342900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60960</xdr:colOff>
                    <xdr:row>12</xdr:row>
                    <xdr:rowOff>22860</xdr:rowOff>
                  </from>
                  <to>
                    <xdr:col>18</xdr:col>
                    <xdr:colOff>342900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60960</xdr:colOff>
                    <xdr:row>13</xdr:row>
                    <xdr:rowOff>22860</xdr:rowOff>
                  </from>
                  <to>
                    <xdr:col>18</xdr:col>
                    <xdr:colOff>342900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60960</xdr:colOff>
                    <xdr:row>14</xdr:row>
                    <xdr:rowOff>22860</xdr:rowOff>
                  </from>
                  <to>
                    <xdr:col>18</xdr:col>
                    <xdr:colOff>342900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60960</xdr:colOff>
                    <xdr:row>15</xdr:row>
                    <xdr:rowOff>22860</xdr:rowOff>
                  </from>
                  <to>
                    <xdr:col>18</xdr:col>
                    <xdr:colOff>342900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60960</xdr:colOff>
                    <xdr:row>16</xdr:row>
                    <xdr:rowOff>22860</xdr:rowOff>
                  </from>
                  <to>
                    <xdr:col>18</xdr:col>
                    <xdr:colOff>342900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60960</xdr:colOff>
                    <xdr:row>17</xdr:row>
                    <xdr:rowOff>22860</xdr:rowOff>
                  </from>
                  <to>
                    <xdr:col>18</xdr:col>
                    <xdr:colOff>342900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60960</xdr:colOff>
                    <xdr:row>18</xdr:row>
                    <xdr:rowOff>22860</xdr:rowOff>
                  </from>
                  <to>
                    <xdr:col>18</xdr:col>
                    <xdr:colOff>342900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53340</xdr:colOff>
                    <xdr:row>7</xdr:row>
                    <xdr:rowOff>22860</xdr:rowOff>
                  </from>
                  <to>
                    <xdr:col>20</xdr:col>
                    <xdr:colOff>327660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53340</xdr:colOff>
                    <xdr:row>8</xdr:row>
                    <xdr:rowOff>22860</xdr:rowOff>
                  </from>
                  <to>
                    <xdr:col>20</xdr:col>
                    <xdr:colOff>327660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53340</xdr:colOff>
                    <xdr:row>9</xdr:row>
                    <xdr:rowOff>22860</xdr:rowOff>
                  </from>
                  <to>
                    <xdr:col>20</xdr:col>
                    <xdr:colOff>327660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53340</xdr:colOff>
                    <xdr:row>10</xdr:row>
                    <xdr:rowOff>22860</xdr:rowOff>
                  </from>
                  <to>
                    <xdr:col>20</xdr:col>
                    <xdr:colOff>327660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53340</xdr:colOff>
                    <xdr:row>11</xdr:row>
                    <xdr:rowOff>22860</xdr:rowOff>
                  </from>
                  <to>
                    <xdr:col>20</xdr:col>
                    <xdr:colOff>327660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53340</xdr:colOff>
                    <xdr:row>12</xdr:row>
                    <xdr:rowOff>22860</xdr:rowOff>
                  </from>
                  <to>
                    <xdr:col>20</xdr:col>
                    <xdr:colOff>327660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53340</xdr:colOff>
                    <xdr:row>13</xdr:row>
                    <xdr:rowOff>22860</xdr:rowOff>
                  </from>
                  <to>
                    <xdr:col>20</xdr:col>
                    <xdr:colOff>327660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53340</xdr:colOff>
                    <xdr:row>14</xdr:row>
                    <xdr:rowOff>22860</xdr:rowOff>
                  </from>
                  <to>
                    <xdr:col>20</xdr:col>
                    <xdr:colOff>327660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53340</xdr:colOff>
                    <xdr:row>15</xdr:row>
                    <xdr:rowOff>22860</xdr:rowOff>
                  </from>
                  <to>
                    <xdr:col>20</xdr:col>
                    <xdr:colOff>327660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53340</xdr:colOff>
                    <xdr:row>16</xdr:row>
                    <xdr:rowOff>22860</xdr:rowOff>
                  </from>
                  <to>
                    <xdr:col>20</xdr:col>
                    <xdr:colOff>327660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53340</xdr:colOff>
                    <xdr:row>17</xdr:row>
                    <xdr:rowOff>22860</xdr:rowOff>
                  </from>
                  <to>
                    <xdr:col>20</xdr:col>
                    <xdr:colOff>327660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20</xdr:col>
                    <xdr:colOff>327660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60960</xdr:colOff>
                    <xdr:row>22</xdr:row>
                    <xdr:rowOff>22860</xdr:rowOff>
                  </from>
                  <to>
                    <xdr:col>3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53340</xdr:colOff>
                    <xdr:row>22</xdr:row>
                    <xdr:rowOff>22860</xdr:rowOff>
                  </from>
                  <to>
                    <xdr:col>5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60960</xdr:colOff>
                    <xdr:row>22</xdr:row>
                    <xdr:rowOff>22860</xdr:rowOff>
                  </from>
                  <to>
                    <xdr:col>6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53340</xdr:colOff>
                    <xdr:row>22</xdr:row>
                    <xdr:rowOff>22860</xdr:rowOff>
                  </from>
                  <to>
                    <xdr:col>8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60960</xdr:colOff>
                    <xdr:row>22</xdr:row>
                    <xdr:rowOff>22860</xdr:rowOff>
                  </from>
                  <to>
                    <xdr:col>9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53340</xdr:colOff>
                    <xdr:row>22</xdr:row>
                    <xdr:rowOff>22860</xdr:rowOff>
                  </from>
                  <to>
                    <xdr:col>11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60960</xdr:colOff>
                    <xdr:row>22</xdr:row>
                    <xdr:rowOff>22860</xdr:rowOff>
                  </from>
                  <to>
                    <xdr:col>12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53340</xdr:colOff>
                    <xdr:row>22</xdr:row>
                    <xdr:rowOff>22860</xdr:rowOff>
                  </from>
                  <to>
                    <xdr:col>14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60960</xdr:colOff>
                    <xdr:row>22</xdr:row>
                    <xdr:rowOff>22860</xdr:rowOff>
                  </from>
                  <to>
                    <xdr:col>15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53340</xdr:colOff>
                    <xdr:row>22</xdr:row>
                    <xdr:rowOff>22860</xdr:rowOff>
                  </from>
                  <to>
                    <xdr:col>17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60960</xdr:colOff>
                    <xdr:row>22</xdr:row>
                    <xdr:rowOff>22860</xdr:rowOff>
                  </from>
                  <to>
                    <xdr:col>18</xdr:col>
                    <xdr:colOff>342900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53340</xdr:colOff>
                    <xdr:row>22</xdr:row>
                    <xdr:rowOff>22860</xdr:rowOff>
                  </from>
                  <to>
                    <xdr:col>20</xdr:col>
                    <xdr:colOff>327660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60960</xdr:colOff>
                    <xdr:row>23</xdr:row>
                    <xdr:rowOff>22860</xdr:rowOff>
                  </from>
                  <to>
                    <xdr:col>3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53340</xdr:colOff>
                    <xdr:row>23</xdr:row>
                    <xdr:rowOff>22860</xdr:rowOff>
                  </from>
                  <to>
                    <xdr:col>5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60960</xdr:colOff>
                    <xdr:row>23</xdr:row>
                    <xdr:rowOff>22860</xdr:rowOff>
                  </from>
                  <to>
                    <xdr:col>6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53340</xdr:colOff>
                    <xdr:row>23</xdr:row>
                    <xdr:rowOff>22860</xdr:rowOff>
                  </from>
                  <to>
                    <xdr:col>8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60960</xdr:colOff>
                    <xdr:row>23</xdr:row>
                    <xdr:rowOff>22860</xdr:rowOff>
                  </from>
                  <to>
                    <xdr:col>9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53340</xdr:colOff>
                    <xdr:row>23</xdr:row>
                    <xdr:rowOff>22860</xdr:rowOff>
                  </from>
                  <to>
                    <xdr:col>11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60960</xdr:colOff>
                    <xdr:row>23</xdr:row>
                    <xdr:rowOff>22860</xdr:rowOff>
                  </from>
                  <to>
                    <xdr:col>12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53340</xdr:colOff>
                    <xdr:row>23</xdr:row>
                    <xdr:rowOff>22860</xdr:rowOff>
                  </from>
                  <to>
                    <xdr:col>14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60960</xdr:colOff>
                    <xdr:row>23</xdr:row>
                    <xdr:rowOff>22860</xdr:rowOff>
                  </from>
                  <to>
                    <xdr:col>15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53340</xdr:colOff>
                    <xdr:row>23</xdr:row>
                    <xdr:rowOff>22860</xdr:rowOff>
                  </from>
                  <to>
                    <xdr:col>17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60960</xdr:colOff>
                    <xdr:row>23</xdr:row>
                    <xdr:rowOff>22860</xdr:rowOff>
                  </from>
                  <to>
                    <xdr:col>18</xdr:col>
                    <xdr:colOff>342900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53340</xdr:colOff>
                    <xdr:row>23</xdr:row>
                    <xdr:rowOff>22860</xdr:rowOff>
                  </from>
                  <to>
                    <xdr:col>20</xdr:col>
                    <xdr:colOff>327660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60960</xdr:colOff>
                    <xdr:row>24</xdr:row>
                    <xdr:rowOff>22860</xdr:rowOff>
                  </from>
                  <to>
                    <xdr:col>3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53340</xdr:colOff>
                    <xdr:row>24</xdr:row>
                    <xdr:rowOff>22860</xdr:rowOff>
                  </from>
                  <to>
                    <xdr:col>5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60960</xdr:colOff>
                    <xdr:row>24</xdr:row>
                    <xdr:rowOff>22860</xdr:rowOff>
                  </from>
                  <to>
                    <xdr:col>6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53340</xdr:colOff>
                    <xdr:row>24</xdr:row>
                    <xdr:rowOff>22860</xdr:rowOff>
                  </from>
                  <to>
                    <xdr:col>8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60960</xdr:colOff>
                    <xdr:row>24</xdr:row>
                    <xdr:rowOff>22860</xdr:rowOff>
                  </from>
                  <to>
                    <xdr:col>9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53340</xdr:colOff>
                    <xdr:row>24</xdr:row>
                    <xdr:rowOff>22860</xdr:rowOff>
                  </from>
                  <to>
                    <xdr:col>11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60960</xdr:colOff>
                    <xdr:row>24</xdr:row>
                    <xdr:rowOff>22860</xdr:rowOff>
                  </from>
                  <to>
                    <xdr:col>12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53340</xdr:colOff>
                    <xdr:row>24</xdr:row>
                    <xdr:rowOff>22860</xdr:rowOff>
                  </from>
                  <to>
                    <xdr:col>14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60960</xdr:colOff>
                    <xdr:row>24</xdr:row>
                    <xdr:rowOff>22860</xdr:rowOff>
                  </from>
                  <to>
                    <xdr:col>15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53340</xdr:colOff>
                    <xdr:row>24</xdr:row>
                    <xdr:rowOff>22860</xdr:rowOff>
                  </from>
                  <to>
                    <xdr:col>17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60960</xdr:colOff>
                    <xdr:row>24</xdr:row>
                    <xdr:rowOff>22860</xdr:rowOff>
                  </from>
                  <to>
                    <xdr:col>18</xdr:col>
                    <xdr:colOff>342900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53340</xdr:colOff>
                    <xdr:row>24</xdr:row>
                    <xdr:rowOff>22860</xdr:rowOff>
                  </from>
                  <to>
                    <xdr:col>20</xdr:col>
                    <xdr:colOff>327660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60960</xdr:colOff>
                    <xdr:row>25</xdr:row>
                    <xdr:rowOff>22860</xdr:rowOff>
                  </from>
                  <to>
                    <xdr:col>3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60960</xdr:colOff>
                    <xdr:row>26</xdr:row>
                    <xdr:rowOff>22860</xdr:rowOff>
                  </from>
                  <to>
                    <xdr:col>3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60960</xdr:colOff>
                    <xdr:row>27</xdr:row>
                    <xdr:rowOff>22860</xdr:rowOff>
                  </from>
                  <to>
                    <xdr:col>3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60960</xdr:colOff>
                    <xdr:row>28</xdr:row>
                    <xdr:rowOff>22860</xdr:rowOff>
                  </from>
                  <to>
                    <xdr:col>3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60960</xdr:colOff>
                    <xdr:row>29</xdr:row>
                    <xdr:rowOff>22860</xdr:rowOff>
                  </from>
                  <to>
                    <xdr:col>3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60960</xdr:colOff>
                    <xdr:row>30</xdr:row>
                    <xdr:rowOff>22860</xdr:rowOff>
                  </from>
                  <to>
                    <xdr:col>3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60960</xdr:colOff>
                    <xdr:row>31</xdr:row>
                    <xdr:rowOff>22860</xdr:rowOff>
                  </from>
                  <to>
                    <xdr:col>3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60960</xdr:colOff>
                    <xdr:row>32</xdr:row>
                    <xdr:rowOff>22860</xdr:rowOff>
                  </from>
                  <to>
                    <xdr:col>3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60960</xdr:colOff>
                    <xdr:row>33</xdr:row>
                    <xdr:rowOff>22860</xdr:rowOff>
                  </from>
                  <to>
                    <xdr:col>3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60960</xdr:colOff>
                    <xdr:row>34</xdr:row>
                    <xdr:rowOff>22860</xdr:rowOff>
                  </from>
                  <to>
                    <xdr:col>3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60960</xdr:colOff>
                    <xdr:row>35</xdr:row>
                    <xdr:rowOff>22860</xdr:rowOff>
                  </from>
                  <to>
                    <xdr:col>3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60960</xdr:colOff>
                    <xdr:row>36</xdr:row>
                    <xdr:rowOff>22860</xdr:rowOff>
                  </from>
                  <to>
                    <xdr:col>3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53340</xdr:colOff>
                    <xdr:row>25</xdr:row>
                    <xdr:rowOff>22860</xdr:rowOff>
                  </from>
                  <to>
                    <xdr:col>5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53340</xdr:colOff>
                    <xdr:row>26</xdr:row>
                    <xdr:rowOff>22860</xdr:rowOff>
                  </from>
                  <to>
                    <xdr:col>5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53340</xdr:colOff>
                    <xdr:row>27</xdr:row>
                    <xdr:rowOff>22860</xdr:rowOff>
                  </from>
                  <to>
                    <xdr:col>5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53340</xdr:colOff>
                    <xdr:row>28</xdr:row>
                    <xdr:rowOff>22860</xdr:rowOff>
                  </from>
                  <to>
                    <xdr:col>5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53340</xdr:colOff>
                    <xdr:row>29</xdr:row>
                    <xdr:rowOff>22860</xdr:rowOff>
                  </from>
                  <to>
                    <xdr:col>5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53340</xdr:colOff>
                    <xdr:row>30</xdr:row>
                    <xdr:rowOff>22860</xdr:rowOff>
                  </from>
                  <to>
                    <xdr:col>5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53340</xdr:colOff>
                    <xdr:row>31</xdr:row>
                    <xdr:rowOff>22860</xdr:rowOff>
                  </from>
                  <to>
                    <xdr:col>5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53340</xdr:colOff>
                    <xdr:row>32</xdr:row>
                    <xdr:rowOff>22860</xdr:rowOff>
                  </from>
                  <to>
                    <xdr:col>5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53340</xdr:colOff>
                    <xdr:row>33</xdr:row>
                    <xdr:rowOff>22860</xdr:rowOff>
                  </from>
                  <to>
                    <xdr:col>5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53340</xdr:colOff>
                    <xdr:row>34</xdr:row>
                    <xdr:rowOff>22860</xdr:rowOff>
                  </from>
                  <to>
                    <xdr:col>5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53340</xdr:colOff>
                    <xdr:row>35</xdr:row>
                    <xdr:rowOff>22860</xdr:rowOff>
                  </from>
                  <to>
                    <xdr:col>5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53340</xdr:colOff>
                    <xdr:row>36</xdr:row>
                    <xdr:rowOff>22860</xdr:rowOff>
                  </from>
                  <to>
                    <xdr:col>5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60960</xdr:colOff>
                    <xdr:row>25</xdr:row>
                    <xdr:rowOff>22860</xdr:rowOff>
                  </from>
                  <to>
                    <xdr:col>6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60960</xdr:colOff>
                    <xdr:row>26</xdr:row>
                    <xdr:rowOff>22860</xdr:rowOff>
                  </from>
                  <to>
                    <xdr:col>6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60960</xdr:colOff>
                    <xdr:row>27</xdr:row>
                    <xdr:rowOff>22860</xdr:rowOff>
                  </from>
                  <to>
                    <xdr:col>6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60960</xdr:colOff>
                    <xdr:row>28</xdr:row>
                    <xdr:rowOff>22860</xdr:rowOff>
                  </from>
                  <to>
                    <xdr:col>6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60960</xdr:colOff>
                    <xdr:row>29</xdr:row>
                    <xdr:rowOff>22860</xdr:rowOff>
                  </from>
                  <to>
                    <xdr:col>6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60960</xdr:colOff>
                    <xdr:row>30</xdr:row>
                    <xdr:rowOff>22860</xdr:rowOff>
                  </from>
                  <to>
                    <xdr:col>6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60960</xdr:colOff>
                    <xdr:row>31</xdr:row>
                    <xdr:rowOff>22860</xdr:rowOff>
                  </from>
                  <to>
                    <xdr:col>6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60960</xdr:colOff>
                    <xdr:row>32</xdr:row>
                    <xdr:rowOff>22860</xdr:rowOff>
                  </from>
                  <to>
                    <xdr:col>6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60960</xdr:colOff>
                    <xdr:row>33</xdr:row>
                    <xdr:rowOff>22860</xdr:rowOff>
                  </from>
                  <to>
                    <xdr:col>6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60960</xdr:colOff>
                    <xdr:row>34</xdr:row>
                    <xdr:rowOff>22860</xdr:rowOff>
                  </from>
                  <to>
                    <xdr:col>6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60960</xdr:colOff>
                    <xdr:row>35</xdr:row>
                    <xdr:rowOff>22860</xdr:rowOff>
                  </from>
                  <to>
                    <xdr:col>6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60960</xdr:colOff>
                    <xdr:row>36</xdr:row>
                    <xdr:rowOff>22860</xdr:rowOff>
                  </from>
                  <to>
                    <xdr:col>6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53340</xdr:colOff>
                    <xdr:row>25</xdr:row>
                    <xdr:rowOff>22860</xdr:rowOff>
                  </from>
                  <to>
                    <xdr:col>8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53340</xdr:colOff>
                    <xdr:row>26</xdr:row>
                    <xdr:rowOff>22860</xdr:rowOff>
                  </from>
                  <to>
                    <xdr:col>8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53340</xdr:colOff>
                    <xdr:row>27</xdr:row>
                    <xdr:rowOff>22860</xdr:rowOff>
                  </from>
                  <to>
                    <xdr:col>8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53340</xdr:colOff>
                    <xdr:row>28</xdr:row>
                    <xdr:rowOff>22860</xdr:rowOff>
                  </from>
                  <to>
                    <xdr:col>8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53340</xdr:colOff>
                    <xdr:row>29</xdr:row>
                    <xdr:rowOff>22860</xdr:rowOff>
                  </from>
                  <to>
                    <xdr:col>8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53340</xdr:colOff>
                    <xdr:row>30</xdr:row>
                    <xdr:rowOff>22860</xdr:rowOff>
                  </from>
                  <to>
                    <xdr:col>8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53340</xdr:colOff>
                    <xdr:row>31</xdr:row>
                    <xdr:rowOff>22860</xdr:rowOff>
                  </from>
                  <to>
                    <xdr:col>8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53340</xdr:colOff>
                    <xdr:row>32</xdr:row>
                    <xdr:rowOff>22860</xdr:rowOff>
                  </from>
                  <to>
                    <xdr:col>8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53340</xdr:colOff>
                    <xdr:row>33</xdr:row>
                    <xdr:rowOff>22860</xdr:rowOff>
                  </from>
                  <to>
                    <xdr:col>8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53340</xdr:colOff>
                    <xdr:row>34</xdr:row>
                    <xdr:rowOff>22860</xdr:rowOff>
                  </from>
                  <to>
                    <xdr:col>8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53340</xdr:colOff>
                    <xdr:row>35</xdr:row>
                    <xdr:rowOff>22860</xdr:rowOff>
                  </from>
                  <to>
                    <xdr:col>8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53340</xdr:colOff>
                    <xdr:row>36</xdr:row>
                    <xdr:rowOff>22860</xdr:rowOff>
                  </from>
                  <to>
                    <xdr:col>8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60960</xdr:colOff>
                    <xdr:row>25</xdr:row>
                    <xdr:rowOff>22860</xdr:rowOff>
                  </from>
                  <to>
                    <xdr:col>9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60960</xdr:colOff>
                    <xdr:row>26</xdr:row>
                    <xdr:rowOff>22860</xdr:rowOff>
                  </from>
                  <to>
                    <xdr:col>9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60960</xdr:colOff>
                    <xdr:row>27</xdr:row>
                    <xdr:rowOff>22860</xdr:rowOff>
                  </from>
                  <to>
                    <xdr:col>9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60960</xdr:colOff>
                    <xdr:row>28</xdr:row>
                    <xdr:rowOff>22860</xdr:rowOff>
                  </from>
                  <to>
                    <xdr:col>9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60960</xdr:colOff>
                    <xdr:row>29</xdr:row>
                    <xdr:rowOff>22860</xdr:rowOff>
                  </from>
                  <to>
                    <xdr:col>9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60960</xdr:colOff>
                    <xdr:row>30</xdr:row>
                    <xdr:rowOff>22860</xdr:rowOff>
                  </from>
                  <to>
                    <xdr:col>9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60960</xdr:colOff>
                    <xdr:row>31</xdr:row>
                    <xdr:rowOff>22860</xdr:rowOff>
                  </from>
                  <to>
                    <xdr:col>9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60960</xdr:colOff>
                    <xdr:row>32</xdr:row>
                    <xdr:rowOff>22860</xdr:rowOff>
                  </from>
                  <to>
                    <xdr:col>9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60960</xdr:colOff>
                    <xdr:row>33</xdr:row>
                    <xdr:rowOff>22860</xdr:rowOff>
                  </from>
                  <to>
                    <xdr:col>9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60960</xdr:colOff>
                    <xdr:row>34</xdr:row>
                    <xdr:rowOff>22860</xdr:rowOff>
                  </from>
                  <to>
                    <xdr:col>9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60960</xdr:colOff>
                    <xdr:row>35</xdr:row>
                    <xdr:rowOff>22860</xdr:rowOff>
                  </from>
                  <to>
                    <xdr:col>9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60960</xdr:colOff>
                    <xdr:row>36</xdr:row>
                    <xdr:rowOff>22860</xdr:rowOff>
                  </from>
                  <to>
                    <xdr:col>9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53340</xdr:colOff>
                    <xdr:row>25</xdr:row>
                    <xdr:rowOff>22860</xdr:rowOff>
                  </from>
                  <to>
                    <xdr:col>11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53340</xdr:colOff>
                    <xdr:row>26</xdr:row>
                    <xdr:rowOff>22860</xdr:rowOff>
                  </from>
                  <to>
                    <xdr:col>11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53340</xdr:colOff>
                    <xdr:row>27</xdr:row>
                    <xdr:rowOff>22860</xdr:rowOff>
                  </from>
                  <to>
                    <xdr:col>11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53340</xdr:colOff>
                    <xdr:row>28</xdr:row>
                    <xdr:rowOff>22860</xdr:rowOff>
                  </from>
                  <to>
                    <xdr:col>11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53340</xdr:colOff>
                    <xdr:row>29</xdr:row>
                    <xdr:rowOff>22860</xdr:rowOff>
                  </from>
                  <to>
                    <xdr:col>11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53340</xdr:colOff>
                    <xdr:row>30</xdr:row>
                    <xdr:rowOff>22860</xdr:rowOff>
                  </from>
                  <to>
                    <xdr:col>11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53340</xdr:colOff>
                    <xdr:row>31</xdr:row>
                    <xdr:rowOff>22860</xdr:rowOff>
                  </from>
                  <to>
                    <xdr:col>11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53340</xdr:colOff>
                    <xdr:row>32</xdr:row>
                    <xdr:rowOff>22860</xdr:rowOff>
                  </from>
                  <to>
                    <xdr:col>11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53340</xdr:colOff>
                    <xdr:row>33</xdr:row>
                    <xdr:rowOff>22860</xdr:rowOff>
                  </from>
                  <to>
                    <xdr:col>11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53340</xdr:colOff>
                    <xdr:row>34</xdr:row>
                    <xdr:rowOff>22860</xdr:rowOff>
                  </from>
                  <to>
                    <xdr:col>11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53340</xdr:colOff>
                    <xdr:row>35</xdr:row>
                    <xdr:rowOff>22860</xdr:rowOff>
                  </from>
                  <to>
                    <xdr:col>11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53340</xdr:colOff>
                    <xdr:row>36</xdr:row>
                    <xdr:rowOff>22860</xdr:rowOff>
                  </from>
                  <to>
                    <xdr:col>11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60960</xdr:colOff>
                    <xdr:row>25</xdr:row>
                    <xdr:rowOff>22860</xdr:rowOff>
                  </from>
                  <to>
                    <xdr:col>12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60960</xdr:colOff>
                    <xdr:row>26</xdr:row>
                    <xdr:rowOff>22860</xdr:rowOff>
                  </from>
                  <to>
                    <xdr:col>12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60960</xdr:colOff>
                    <xdr:row>27</xdr:row>
                    <xdr:rowOff>22860</xdr:rowOff>
                  </from>
                  <to>
                    <xdr:col>12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60960</xdr:colOff>
                    <xdr:row>28</xdr:row>
                    <xdr:rowOff>22860</xdr:rowOff>
                  </from>
                  <to>
                    <xdr:col>12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60960</xdr:colOff>
                    <xdr:row>29</xdr:row>
                    <xdr:rowOff>22860</xdr:rowOff>
                  </from>
                  <to>
                    <xdr:col>12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60960</xdr:colOff>
                    <xdr:row>30</xdr:row>
                    <xdr:rowOff>22860</xdr:rowOff>
                  </from>
                  <to>
                    <xdr:col>12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60960</xdr:colOff>
                    <xdr:row>31</xdr:row>
                    <xdr:rowOff>22860</xdr:rowOff>
                  </from>
                  <to>
                    <xdr:col>12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60960</xdr:colOff>
                    <xdr:row>32</xdr:row>
                    <xdr:rowOff>22860</xdr:rowOff>
                  </from>
                  <to>
                    <xdr:col>12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60960</xdr:colOff>
                    <xdr:row>33</xdr:row>
                    <xdr:rowOff>22860</xdr:rowOff>
                  </from>
                  <to>
                    <xdr:col>12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60960</xdr:colOff>
                    <xdr:row>34</xdr:row>
                    <xdr:rowOff>22860</xdr:rowOff>
                  </from>
                  <to>
                    <xdr:col>12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60960</xdr:colOff>
                    <xdr:row>35</xdr:row>
                    <xdr:rowOff>22860</xdr:rowOff>
                  </from>
                  <to>
                    <xdr:col>12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60960</xdr:colOff>
                    <xdr:row>36</xdr:row>
                    <xdr:rowOff>22860</xdr:rowOff>
                  </from>
                  <to>
                    <xdr:col>12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53340</xdr:colOff>
                    <xdr:row>25</xdr:row>
                    <xdr:rowOff>22860</xdr:rowOff>
                  </from>
                  <to>
                    <xdr:col>14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53340</xdr:colOff>
                    <xdr:row>26</xdr:row>
                    <xdr:rowOff>22860</xdr:rowOff>
                  </from>
                  <to>
                    <xdr:col>14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53340</xdr:colOff>
                    <xdr:row>27</xdr:row>
                    <xdr:rowOff>22860</xdr:rowOff>
                  </from>
                  <to>
                    <xdr:col>14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53340</xdr:colOff>
                    <xdr:row>28</xdr:row>
                    <xdr:rowOff>22860</xdr:rowOff>
                  </from>
                  <to>
                    <xdr:col>14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53340</xdr:colOff>
                    <xdr:row>29</xdr:row>
                    <xdr:rowOff>22860</xdr:rowOff>
                  </from>
                  <to>
                    <xdr:col>14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53340</xdr:colOff>
                    <xdr:row>30</xdr:row>
                    <xdr:rowOff>22860</xdr:rowOff>
                  </from>
                  <to>
                    <xdr:col>14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53340</xdr:colOff>
                    <xdr:row>31</xdr:row>
                    <xdr:rowOff>22860</xdr:rowOff>
                  </from>
                  <to>
                    <xdr:col>14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53340</xdr:colOff>
                    <xdr:row>32</xdr:row>
                    <xdr:rowOff>22860</xdr:rowOff>
                  </from>
                  <to>
                    <xdr:col>14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53340</xdr:colOff>
                    <xdr:row>33</xdr:row>
                    <xdr:rowOff>22860</xdr:rowOff>
                  </from>
                  <to>
                    <xdr:col>14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53340</xdr:colOff>
                    <xdr:row>34</xdr:row>
                    <xdr:rowOff>22860</xdr:rowOff>
                  </from>
                  <to>
                    <xdr:col>14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53340</xdr:colOff>
                    <xdr:row>35</xdr:row>
                    <xdr:rowOff>22860</xdr:rowOff>
                  </from>
                  <to>
                    <xdr:col>14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53340</xdr:colOff>
                    <xdr:row>36</xdr:row>
                    <xdr:rowOff>22860</xdr:rowOff>
                  </from>
                  <to>
                    <xdr:col>14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60960</xdr:colOff>
                    <xdr:row>25</xdr:row>
                    <xdr:rowOff>22860</xdr:rowOff>
                  </from>
                  <to>
                    <xdr:col>15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60960</xdr:colOff>
                    <xdr:row>26</xdr:row>
                    <xdr:rowOff>22860</xdr:rowOff>
                  </from>
                  <to>
                    <xdr:col>15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60960</xdr:colOff>
                    <xdr:row>27</xdr:row>
                    <xdr:rowOff>22860</xdr:rowOff>
                  </from>
                  <to>
                    <xdr:col>15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60960</xdr:colOff>
                    <xdr:row>28</xdr:row>
                    <xdr:rowOff>22860</xdr:rowOff>
                  </from>
                  <to>
                    <xdr:col>15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60960</xdr:colOff>
                    <xdr:row>29</xdr:row>
                    <xdr:rowOff>22860</xdr:rowOff>
                  </from>
                  <to>
                    <xdr:col>15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60960</xdr:colOff>
                    <xdr:row>30</xdr:row>
                    <xdr:rowOff>22860</xdr:rowOff>
                  </from>
                  <to>
                    <xdr:col>15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60960</xdr:colOff>
                    <xdr:row>31</xdr:row>
                    <xdr:rowOff>22860</xdr:rowOff>
                  </from>
                  <to>
                    <xdr:col>15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60960</xdr:colOff>
                    <xdr:row>32</xdr:row>
                    <xdr:rowOff>22860</xdr:rowOff>
                  </from>
                  <to>
                    <xdr:col>15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60960</xdr:colOff>
                    <xdr:row>33</xdr:row>
                    <xdr:rowOff>22860</xdr:rowOff>
                  </from>
                  <to>
                    <xdr:col>15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60960</xdr:colOff>
                    <xdr:row>34</xdr:row>
                    <xdr:rowOff>22860</xdr:rowOff>
                  </from>
                  <to>
                    <xdr:col>15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60960</xdr:colOff>
                    <xdr:row>35</xdr:row>
                    <xdr:rowOff>22860</xdr:rowOff>
                  </from>
                  <to>
                    <xdr:col>15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60960</xdr:colOff>
                    <xdr:row>36</xdr:row>
                    <xdr:rowOff>22860</xdr:rowOff>
                  </from>
                  <to>
                    <xdr:col>15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53340</xdr:colOff>
                    <xdr:row>25</xdr:row>
                    <xdr:rowOff>22860</xdr:rowOff>
                  </from>
                  <to>
                    <xdr:col>17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53340</xdr:colOff>
                    <xdr:row>26</xdr:row>
                    <xdr:rowOff>22860</xdr:rowOff>
                  </from>
                  <to>
                    <xdr:col>17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53340</xdr:colOff>
                    <xdr:row>27</xdr:row>
                    <xdr:rowOff>22860</xdr:rowOff>
                  </from>
                  <to>
                    <xdr:col>17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53340</xdr:colOff>
                    <xdr:row>28</xdr:row>
                    <xdr:rowOff>22860</xdr:rowOff>
                  </from>
                  <to>
                    <xdr:col>17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53340</xdr:colOff>
                    <xdr:row>29</xdr:row>
                    <xdr:rowOff>22860</xdr:rowOff>
                  </from>
                  <to>
                    <xdr:col>17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53340</xdr:colOff>
                    <xdr:row>30</xdr:row>
                    <xdr:rowOff>22860</xdr:rowOff>
                  </from>
                  <to>
                    <xdr:col>17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53340</xdr:colOff>
                    <xdr:row>31</xdr:row>
                    <xdr:rowOff>22860</xdr:rowOff>
                  </from>
                  <to>
                    <xdr:col>17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53340</xdr:colOff>
                    <xdr:row>32</xdr:row>
                    <xdr:rowOff>22860</xdr:rowOff>
                  </from>
                  <to>
                    <xdr:col>17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53340</xdr:colOff>
                    <xdr:row>33</xdr:row>
                    <xdr:rowOff>22860</xdr:rowOff>
                  </from>
                  <to>
                    <xdr:col>17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53340</xdr:colOff>
                    <xdr:row>34</xdr:row>
                    <xdr:rowOff>22860</xdr:rowOff>
                  </from>
                  <to>
                    <xdr:col>17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53340</xdr:colOff>
                    <xdr:row>35</xdr:row>
                    <xdr:rowOff>22860</xdr:rowOff>
                  </from>
                  <to>
                    <xdr:col>17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53340</xdr:colOff>
                    <xdr:row>36</xdr:row>
                    <xdr:rowOff>22860</xdr:rowOff>
                  </from>
                  <to>
                    <xdr:col>17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60960</xdr:colOff>
                    <xdr:row>25</xdr:row>
                    <xdr:rowOff>22860</xdr:rowOff>
                  </from>
                  <to>
                    <xdr:col>18</xdr:col>
                    <xdr:colOff>342900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60960</xdr:colOff>
                    <xdr:row>26</xdr:row>
                    <xdr:rowOff>22860</xdr:rowOff>
                  </from>
                  <to>
                    <xdr:col>18</xdr:col>
                    <xdr:colOff>342900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60960</xdr:colOff>
                    <xdr:row>27</xdr:row>
                    <xdr:rowOff>22860</xdr:rowOff>
                  </from>
                  <to>
                    <xdr:col>18</xdr:col>
                    <xdr:colOff>342900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60960</xdr:colOff>
                    <xdr:row>28</xdr:row>
                    <xdr:rowOff>22860</xdr:rowOff>
                  </from>
                  <to>
                    <xdr:col>18</xdr:col>
                    <xdr:colOff>342900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60960</xdr:colOff>
                    <xdr:row>29</xdr:row>
                    <xdr:rowOff>22860</xdr:rowOff>
                  </from>
                  <to>
                    <xdr:col>18</xdr:col>
                    <xdr:colOff>342900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60960</xdr:colOff>
                    <xdr:row>30</xdr:row>
                    <xdr:rowOff>22860</xdr:rowOff>
                  </from>
                  <to>
                    <xdr:col>18</xdr:col>
                    <xdr:colOff>342900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60960</xdr:colOff>
                    <xdr:row>31</xdr:row>
                    <xdr:rowOff>22860</xdr:rowOff>
                  </from>
                  <to>
                    <xdr:col>18</xdr:col>
                    <xdr:colOff>342900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60960</xdr:colOff>
                    <xdr:row>32</xdr:row>
                    <xdr:rowOff>22860</xdr:rowOff>
                  </from>
                  <to>
                    <xdr:col>18</xdr:col>
                    <xdr:colOff>342900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60960</xdr:colOff>
                    <xdr:row>33</xdr:row>
                    <xdr:rowOff>22860</xdr:rowOff>
                  </from>
                  <to>
                    <xdr:col>18</xdr:col>
                    <xdr:colOff>342900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60960</xdr:colOff>
                    <xdr:row>34</xdr:row>
                    <xdr:rowOff>22860</xdr:rowOff>
                  </from>
                  <to>
                    <xdr:col>18</xdr:col>
                    <xdr:colOff>342900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60960</xdr:colOff>
                    <xdr:row>35</xdr:row>
                    <xdr:rowOff>22860</xdr:rowOff>
                  </from>
                  <to>
                    <xdr:col>18</xdr:col>
                    <xdr:colOff>342900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60960</xdr:colOff>
                    <xdr:row>36</xdr:row>
                    <xdr:rowOff>22860</xdr:rowOff>
                  </from>
                  <to>
                    <xdr:col>18</xdr:col>
                    <xdr:colOff>342900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53340</xdr:colOff>
                    <xdr:row>25</xdr:row>
                    <xdr:rowOff>22860</xdr:rowOff>
                  </from>
                  <to>
                    <xdr:col>20</xdr:col>
                    <xdr:colOff>327660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53340</xdr:colOff>
                    <xdr:row>26</xdr:row>
                    <xdr:rowOff>22860</xdr:rowOff>
                  </from>
                  <to>
                    <xdr:col>20</xdr:col>
                    <xdr:colOff>327660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53340</xdr:colOff>
                    <xdr:row>27</xdr:row>
                    <xdr:rowOff>22860</xdr:rowOff>
                  </from>
                  <to>
                    <xdr:col>20</xdr:col>
                    <xdr:colOff>327660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53340</xdr:colOff>
                    <xdr:row>28</xdr:row>
                    <xdr:rowOff>22860</xdr:rowOff>
                  </from>
                  <to>
                    <xdr:col>20</xdr:col>
                    <xdr:colOff>327660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53340</xdr:colOff>
                    <xdr:row>29</xdr:row>
                    <xdr:rowOff>22860</xdr:rowOff>
                  </from>
                  <to>
                    <xdr:col>20</xdr:col>
                    <xdr:colOff>327660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53340</xdr:colOff>
                    <xdr:row>30</xdr:row>
                    <xdr:rowOff>22860</xdr:rowOff>
                  </from>
                  <to>
                    <xdr:col>20</xdr:col>
                    <xdr:colOff>327660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53340</xdr:colOff>
                    <xdr:row>31</xdr:row>
                    <xdr:rowOff>22860</xdr:rowOff>
                  </from>
                  <to>
                    <xdr:col>20</xdr:col>
                    <xdr:colOff>327660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53340</xdr:colOff>
                    <xdr:row>32</xdr:row>
                    <xdr:rowOff>22860</xdr:rowOff>
                  </from>
                  <to>
                    <xdr:col>20</xdr:col>
                    <xdr:colOff>327660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53340</xdr:colOff>
                    <xdr:row>33</xdr:row>
                    <xdr:rowOff>22860</xdr:rowOff>
                  </from>
                  <to>
                    <xdr:col>20</xdr:col>
                    <xdr:colOff>327660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53340</xdr:colOff>
                    <xdr:row>34</xdr:row>
                    <xdr:rowOff>22860</xdr:rowOff>
                  </from>
                  <to>
                    <xdr:col>20</xdr:col>
                    <xdr:colOff>327660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53340</xdr:colOff>
                    <xdr:row>35</xdr:row>
                    <xdr:rowOff>22860</xdr:rowOff>
                  </from>
                  <to>
                    <xdr:col>20</xdr:col>
                    <xdr:colOff>327660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53340</xdr:colOff>
                    <xdr:row>36</xdr:row>
                    <xdr:rowOff>22860</xdr:rowOff>
                  </from>
                  <to>
                    <xdr:col>20</xdr:col>
                    <xdr:colOff>327660</xdr:colOff>
                    <xdr:row>36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21" sqref="C21"/>
    </sheetView>
  </sheetViews>
  <sheetFormatPr defaultColWidth="11.19921875" defaultRowHeight="15.6" x14ac:dyDescent="0.3"/>
  <cols>
    <col min="2" max="2" width="12.296875" bestFit="1" customWidth="1"/>
  </cols>
  <sheetData>
    <row r="1" spans="1:5" x14ac:dyDescent="0.3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3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3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3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3">
      <c r="A5" t="s">
        <v>26</v>
      </c>
      <c r="B5" t="str">
        <f>A5&amp;COUNTIF($A$2:$A5,A5)</f>
        <v>Drisdom4</v>
      </c>
      <c r="C5" t="s">
        <v>262</v>
      </c>
      <c r="D5" t="s">
        <v>44</v>
      </c>
      <c r="E5">
        <v>3</v>
      </c>
    </row>
    <row r="6" spans="1:5" x14ac:dyDescent="0.3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3">
      <c r="A7" t="s">
        <v>26</v>
      </c>
      <c r="B7" t="str">
        <f>A7&amp;COUNTIF($A$2:$A7,A7)</f>
        <v>Drisdom6</v>
      </c>
      <c r="C7" t="s">
        <v>263</v>
      </c>
      <c r="D7" t="s">
        <v>40</v>
      </c>
      <c r="E7">
        <v>7</v>
      </c>
    </row>
    <row r="8" spans="1:5" x14ac:dyDescent="0.3">
      <c r="A8" t="s">
        <v>26</v>
      </c>
      <c r="B8" t="str">
        <f>A8&amp;COUNTIF($A$2:$A8,A8)</f>
        <v>Drisdom7</v>
      </c>
      <c r="C8" t="s">
        <v>264</v>
      </c>
      <c r="D8" t="s">
        <v>43</v>
      </c>
      <c r="E8">
        <v>8</v>
      </c>
    </row>
    <row r="9" spans="1:5" x14ac:dyDescent="0.3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3">
      <c r="A10" t="s">
        <v>26</v>
      </c>
      <c r="B10" t="str">
        <f>A10&amp;COUNTIF($A$2:$A10,A10)</f>
        <v>Drisdom9</v>
      </c>
      <c r="C10" t="s">
        <v>256</v>
      </c>
      <c r="D10" t="s">
        <v>39</v>
      </c>
      <c r="E10">
        <v>14</v>
      </c>
    </row>
    <row r="11" spans="1:5" x14ac:dyDescent="0.3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3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3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3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3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3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3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3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3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3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3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3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3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3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3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3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3">
      <c r="A27" t="s">
        <v>22</v>
      </c>
      <c r="B27" t="str">
        <f>A27&amp;COUNTIF($A$2:$A27,A27)</f>
        <v>Clarke1</v>
      </c>
      <c r="C27" t="s">
        <v>74</v>
      </c>
      <c r="D27" t="s">
        <v>261</v>
      </c>
      <c r="E27">
        <v>0</v>
      </c>
    </row>
    <row r="28" spans="1:5" x14ac:dyDescent="0.3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3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3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3">
      <c r="A31" t="s">
        <v>22</v>
      </c>
      <c r="B31" t="str">
        <f>A31&amp;COUNTIF($A$2:$A31,A31)</f>
        <v>Clarke5</v>
      </c>
      <c r="C31" t="s">
        <v>265</v>
      </c>
      <c r="D31" t="s">
        <v>75</v>
      </c>
      <c r="E31">
        <v>10</v>
      </c>
    </row>
    <row r="32" spans="1:5" x14ac:dyDescent="0.3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3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3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3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3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3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3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3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3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3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3">
      <c r="A42" t="s">
        <v>21</v>
      </c>
      <c r="B42" t="str">
        <f>A42&amp;COUNTIF($A$2:$A42,A42)</f>
        <v>Arok4</v>
      </c>
      <c r="C42" t="s">
        <v>266</v>
      </c>
      <c r="D42" t="s">
        <v>110</v>
      </c>
      <c r="E42">
        <v>5</v>
      </c>
    </row>
    <row r="43" spans="1:5" x14ac:dyDescent="0.3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3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3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3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3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3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3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3">
      <c r="A50" t="s">
        <v>21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3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3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3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3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3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3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3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3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3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3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3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3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3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3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3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3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253</v>
      </c>
    </row>
    <row r="67" spans="1:5" x14ac:dyDescent="0.3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3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3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3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3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3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3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3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3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3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3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3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3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3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3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3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3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3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3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3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3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3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3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3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3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3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3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3">
      <c r="A94" t="s">
        <v>20</v>
      </c>
      <c r="B94" t="str">
        <f>A94&amp;COUNTIF($A$2:$A94,A94)</f>
        <v>Humphries6</v>
      </c>
      <c r="C94" t="s">
        <v>254</v>
      </c>
      <c r="D94" t="s">
        <v>191</v>
      </c>
      <c r="E94">
        <v>9</v>
      </c>
    </row>
    <row r="95" spans="1:5" x14ac:dyDescent="0.3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3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3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3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3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3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3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3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3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3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3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3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3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3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3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3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3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3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3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3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3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3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3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3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3">
      <c r="A119" t="s">
        <v>19</v>
      </c>
      <c r="B119" t="str">
        <f>A119&amp;COUNTIF($A$2:$A119,A119)</f>
        <v>Berger7</v>
      </c>
      <c r="C119" t="s">
        <v>260</v>
      </c>
      <c r="D119" t="s">
        <v>42</v>
      </c>
      <c r="E119">
        <v>21</v>
      </c>
    </row>
    <row r="120" spans="1:5" x14ac:dyDescent="0.3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3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3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3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3">
      <c r="A124" t="s">
        <v>28</v>
      </c>
      <c r="B124" t="str">
        <f>A124&amp;COUNTIF($A$2:$A124,A124)</f>
        <v>Fulton3</v>
      </c>
      <c r="C124" t="s">
        <v>270</v>
      </c>
      <c r="D124" t="s">
        <v>230</v>
      </c>
      <c r="E124">
        <v>5</v>
      </c>
    </row>
    <row r="125" spans="1:5" x14ac:dyDescent="0.3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3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3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3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3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3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3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3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3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3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3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3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3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3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3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3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3">
      <c r="A141" t="s">
        <v>257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3">
      <c r="A142" t="s">
        <v>257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3">
      <c r="A143" t="s">
        <v>257</v>
      </c>
      <c r="B143" t="str">
        <f>A143&amp;COUNTIF($A$2:$A143,A143)</f>
        <v>Guest3</v>
      </c>
      <c r="C143" t="s">
        <v>271</v>
      </c>
      <c r="D143" t="s">
        <v>250</v>
      </c>
      <c r="E143">
        <v>19</v>
      </c>
    </row>
    <row r="144" spans="1:5" x14ac:dyDescent="0.3">
      <c r="A144" t="s">
        <v>257</v>
      </c>
      <c r="B144" t="str">
        <f>A144&amp;COUNTIF($A$2:$A144,A144)</f>
        <v>Guest4</v>
      </c>
      <c r="C144" t="s">
        <v>252</v>
      </c>
      <c r="D144" t="s">
        <v>272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drewc</cp:lastModifiedBy>
  <dcterms:created xsi:type="dcterms:W3CDTF">2021-06-24T17:53:51Z</dcterms:created>
  <dcterms:modified xsi:type="dcterms:W3CDTF">2021-07-09T03:45:22Z</dcterms:modified>
</cp:coreProperties>
</file>