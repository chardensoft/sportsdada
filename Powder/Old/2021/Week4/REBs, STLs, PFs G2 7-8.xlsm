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antnielson/Downloads/"/>
    </mc:Choice>
  </mc:AlternateContent>
  <xr:revisionPtr revIDLastSave="0" documentId="13_ncr:1_{39F98AFA-F1CC-5E4B-9C13-D14B732A5D9B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K23" i="2" s="1"/>
  <c r="J23" i="2"/>
  <c r="L23" i="2"/>
  <c r="M23" i="2"/>
  <c r="I24" i="2"/>
  <c r="J24" i="2"/>
  <c r="K24" i="2"/>
  <c r="L24" i="2"/>
  <c r="M24" i="2"/>
  <c r="I25" i="2"/>
  <c r="J25" i="2"/>
  <c r="L25" i="2"/>
  <c r="M25" i="2"/>
  <c r="I26" i="2"/>
  <c r="K26" i="2" s="1"/>
  <c r="J26" i="2"/>
  <c r="L26" i="2"/>
  <c r="M26" i="2"/>
  <c r="I27" i="2"/>
  <c r="K27" i="2" s="1"/>
  <c r="J27" i="2"/>
  <c r="L27" i="2"/>
  <c r="M27" i="2"/>
  <c r="I28" i="2"/>
  <c r="J28" i="2"/>
  <c r="L28" i="2"/>
  <c r="M28" i="2"/>
  <c r="I29" i="2"/>
  <c r="J29" i="2"/>
  <c r="K29" i="2" s="1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 s="1"/>
  <c r="L32" i="2"/>
  <c r="M32" i="2"/>
  <c r="I33" i="2"/>
  <c r="J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5" i="2"/>
  <c r="K6" i="2"/>
  <c r="K9" i="2"/>
  <c r="K11" i="2"/>
  <c r="K13" i="2"/>
  <c r="K14" i="2"/>
  <c r="K16" i="2"/>
  <c r="K17" i="2"/>
  <c r="K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K10" i="2" s="1"/>
  <c r="L10" i="2"/>
  <c r="I11" i="2"/>
  <c r="J11" i="2"/>
  <c r="L11" i="2"/>
  <c r="I12" i="2"/>
  <c r="J12" i="2"/>
  <c r="K12" i="2" s="1"/>
  <c r="L12" i="2"/>
  <c r="I13" i="2"/>
  <c r="J13" i="2"/>
  <c r="L13" i="2"/>
  <c r="I14" i="2"/>
  <c r="J14" i="2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2" i="2" l="1"/>
  <c r="K25" i="2"/>
  <c r="K8" i="2"/>
  <c r="K33" i="2"/>
  <c r="K7" i="2"/>
  <c r="K4" i="2"/>
  <c r="M18" i="2"/>
  <c r="L37" i="2"/>
  <c r="M37" i="2"/>
  <c r="K28" i="2"/>
  <c r="I37" i="2"/>
  <c r="D3" i="2" s="1"/>
  <c r="C25" i="1"/>
  <c r="H24" i="2" s="1"/>
  <c r="C32" i="1"/>
  <c r="H31" i="2" s="1"/>
  <c r="C29" i="1"/>
  <c r="H2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H15" i="2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37" i="2" l="1"/>
  <c r="K18" i="2"/>
</calcChain>
</file>

<file path=xl/sharedStrings.xml><?xml version="1.0" encoding="utf-8"?>
<sst xmlns="http://schemas.openxmlformats.org/spreadsheetml/2006/main" count="488" uniqueCount="269">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</sst>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250</v>
      </c>
      <c r="F1" t="s">
        <v>3</v>
      </c>
      <c r="G1" t="str">
        <f>'Stats G2'!B3</f>
        <v>Clarke</v>
      </c>
    </row>
    <row r="2" spans="2:13" x14ac:dyDescent="0.2">
      <c r="B2" t="str">
        <f>G1</f>
        <v>Clarke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247</v>
      </c>
      <c r="J2" t="s">
        <v>248</v>
      </c>
      <c r="K2" t="s">
        <v>249</v>
      </c>
      <c r="L2" t="s">
        <v>245</v>
      </c>
      <c r="M2" t="s">
        <v>246</v>
      </c>
    </row>
    <row r="3" spans="2:13" x14ac:dyDescent="0.2">
      <c r="B3">
        <f>I18</f>
        <v>10</v>
      </c>
      <c r="C3" s="3" t="s">
        <v>6</v>
      </c>
      <c r="D3" s="4">
        <f>I37</f>
        <v>24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G2'!E5</f>
        <v>1</v>
      </c>
      <c r="J3">
        <f>'Stats G2'!H5</f>
        <v>2</v>
      </c>
      <c r="K3">
        <f>J3+I3</f>
        <v>3</v>
      </c>
      <c r="L3">
        <f>'Stats G2'!K5</f>
        <v>0</v>
      </c>
      <c r="M3">
        <f>'Stats G2'!N5</f>
        <v>4</v>
      </c>
    </row>
    <row r="4" spans="2:13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3</v>
      </c>
      <c r="J4">
        <f>'Stats G2'!H6</f>
        <v>2</v>
      </c>
      <c r="K4">
        <f t="shared" ref="K4:K17" si="0">J4+I4</f>
        <v>5</v>
      </c>
      <c r="L4">
        <f>'Stats G2'!K6</f>
        <v>1</v>
      </c>
      <c r="M4">
        <f>'Stats G2'!N6</f>
        <v>3</v>
      </c>
    </row>
    <row r="5" spans="2:13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2</v>
      </c>
      <c r="M5">
        <f>'Stats G2'!N7</f>
        <v>1</v>
      </c>
    </row>
    <row r="6" spans="2:13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</row>
    <row r="7" spans="2:13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G2'!E9</f>
        <v>4</v>
      </c>
      <c r="J7">
        <f>'Stats G2'!H9</f>
        <v>5</v>
      </c>
      <c r="K7">
        <f t="shared" si="0"/>
        <v>9</v>
      </c>
      <c r="L7">
        <f>'Stats G2'!K9</f>
        <v>0</v>
      </c>
      <c r="M7">
        <f>'Stats G2'!N9</f>
        <v>1</v>
      </c>
    </row>
    <row r="8" spans="2:13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2</v>
      </c>
      <c r="J8">
        <f>'Stats G2'!H10</f>
        <v>2</v>
      </c>
      <c r="K8">
        <f t="shared" si="0"/>
        <v>4</v>
      </c>
      <c r="L8">
        <f>'Stats G2'!K10</f>
        <v>0</v>
      </c>
      <c r="M8">
        <f>'Stats G2'!N10</f>
        <v>3</v>
      </c>
    </row>
    <row r="9" spans="2:13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</row>
    <row r="10" spans="2:13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0</v>
      </c>
      <c r="J10">
        <f>'Stats G2'!H12</f>
        <v>4</v>
      </c>
      <c r="K10">
        <f t="shared" si="0"/>
        <v>4</v>
      </c>
      <c r="L10">
        <f>'Stats G2'!K12</f>
        <v>0</v>
      </c>
      <c r="M10">
        <f>'Stats G2'!N12</f>
        <v>2</v>
      </c>
    </row>
    <row r="11" spans="2:13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</row>
    <row r="12" spans="2:13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0</v>
      </c>
      <c r="J12">
        <f>'Stats G2'!H14</f>
        <v>3</v>
      </c>
      <c r="K12">
        <f t="shared" si="0"/>
        <v>3</v>
      </c>
      <c r="L12">
        <f>'Stats G2'!K14</f>
        <v>1</v>
      </c>
      <c r="M12">
        <f>'Stats G2'!N14</f>
        <v>1</v>
      </c>
    </row>
    <row r="13" spans="2:13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</row>
    <row r="14" spans="2:13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>
        <f>'Stats G2'!C17</f>
        <v>30</v>
      </c>
      <c r="I15">
        <f>'Stats G2'!E17</f>
        <v>0</v>
      </c>
      <c r="J15">
        <f>'Stats G2'!H17</f>
        <v>2</v>
      </c>
      <c r="K15">
        <f t="shared" si="0"/>
        <v>2</v>
      </c>
      <c r="L15">
        <f>'Stats G2'!K17</f>
        <v>0</v>
      </c>
      <c r="M15">
        <f>'Stats G2'!N17</f>
        <v>1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>SUM(I3:I17)</f>
        <v>10</v>
      </c>
      <c r="J18">
        <f>SUM(J3:J17)</f>
        <v>20</v>
      </c>
      <c r="K18">
        <f>SUM(K3:K17)</f>
        <v>30</v>
      </c>
      <c r="L18">
        <f>SUM(L3:L17)</f>
        <v>4</v>
      </c>
      <c r="M18">
        <f>SUM(M3:M17)</f>
        <v>16</v>
      </c>
    </row>
    <row r="20" spans="6:13" x14ac:dyDescent="0.2">
      <c r="F20" t="s">
        <v>4</v>
      </c>
      <c r="G20" t="str">
        <f>'Stats G2'!B21</f>
        <v>Roberts</v>
      </c>
    </row>
    <row r="21" spans="6:13" x14ac:dyDescent="0.2">
      <c r="F21" t="s">
        <v>1</v>
      </c>
      <c r="G21" t="s">
        <v>2</v>
      </c>
      <c r="H21" t="s">
        <v>0</v>
      </c>
      <c r="I21" t="s">
        <v>247</v>
      </c>
      <c r="J21" t="s">
        <v>248</v>
      </c>
      <c r="K21" t="s">
        <v>249</v>
      </c>
      <c r="L21" t="s">
        <v>245</v>
      </c>
      <c r="M21" t="s">
        <v>246</v>
      </c>
    </row>
    <row r="22" spans="6:13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1</v>
      </c>
      <c r="J22">
        <f>'Stats G2'!H23</f>
        <v>1</v>
      </c>
      <c r="K22">
        <f>J22+I22</f>
        <v>2</v>
      </c>
      <c r="L22">
        <f>'Stats G2'!K23</f>
        <v>1</v>
      </c>
      <c r="M22">
        <f>'Stats G2'!N23</f>
        <v>2</v>
      </c>
    </row>
    <row r="23" spans="6:13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5</v>
      </c>
      <c r="J23">
        <f>'Stats G2'!H24</f>
        <v>1</v>
      </c>
      <c r="K23">
        <f t="shared" ref="K23:K36" si="1">J23+I23</f>
        <v>6</v>
      </c>
      <c r="L23">
        <f>'Stats G2'!K24</f>
        <v>1</v>
      </c>
      <c r="M23">
        <f>'Stats G2'!N24</f>
        <v>3</v>
      </c>
    </row>
    <row r="24" spans="6:13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1</v>
      </c>
      <c r="J24">
        <f>'Stats G2'!H25</f>
        <v>0</v>
      </c>
      <c r="K24">
        <f t="shared" si="1"/>
        <v>1</v>
      </c>
      <c r="L24">
        <f>'Stats G2'!K25</f>
        <v>0</v>
      </c>
      <c r="M24">
        <f>'Stats G2'!N25</f>
        <v>1</v>
      </c>
    </row>
    <row r="25" spans="6:13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G2'!E26</f>
        <v>1</v>
      </c>
      <c r="J25">
        <f>'Stats G2'!H26</f>
        <v>3</v>
      </c>
      <c r="K25">
        <f t="shared" si="1"/>
        <v>4</v>
      </c>
      <c r="L25">
        <f>'Stats G2'!K26</f>
        <v>0</v>
      </c>
      <c r="M25">
        <f>'Stats G2'!N26</f>
        <v>3</v>
      </c>
    </row>
    <row r="26" spans="6:13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G2'!E27</f>
        <v>4</v>
      </c>
      <c r="J26">
        <f>'Stats G2'!H27</f>
        <v>1</v>
      </c>
      <c r="K26">
        <f t="shared" si="1"/>
        <v>5</v>
      </c>
      <c r="L26">
        <f>'Stats G2'!K27</f>
        <v>0</v>
      </c>
      <c r="M26">
        <f>'Stats G2'!N27</f>
        <v>0</v>
      </c>
    </row>
    <row r="27" spans="6:13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</f>
        <v>0</v>
      </c>
      <c r="M27">
        <f>'Stats G2'!N28</f>
        <v>0</v>
      </c>
    </row>
    <row r="28" spans="6:13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9</v>
      </c>
      <c r="J28">
        <f>'Stats G2'!H29</f>
        <v>6</v>
      </c>
      <c r="K28">
        <f t="shared" si="1"/>
        <v>15</v>
      </c>
      <c r="L28">
        <f>'Stats G2'!K29</f>
        <v>1</v>
      </c>
      <c r="M28">
        <f>'Stats G2'!N29</f>
        <v>1</v>
      </c>
    </row>
    <row r="29" spans="6:13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 t="shared" si="1"/>
        <v>0</v>
      </c>
      <c r="L29">
        <f>'Stats G2'!K30</f>
        <v>0</v>
      </c>
      <c r="M29">
        <f>'Stats G2'!N30</f>
        <v>0</v>
      </c>
    </row>
    <row r="30" spans="6:13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0</v>
      </c>
      <c r="J30">
        <f>'Stats G2'!H31</f>
        <v>0</v>
      </c>
      <c r="K30">
        <f t="shared" si="1"/>
        <v>0</v>
      </c>
      <c r="L30">
        <f>'Stats G2'!K31</f>
        <v>0</v>
      </c>
      <c r="M30">
        <f>'Stats G2'!N31</f>
        <v>0</v>
      </c>
    </row>
    <row r="31" spans="6:13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G2'!E32</f>
        <v>0</v>
      </c>
      <c r="J31">
        <f>'Stats G2'!H32</f>
        <v>0</v>
      </c>
      <c r="K31">
        <f t="shared" si="1"/>
        <v>0</v>
      </c>
      <c r="L31">
        <f>'Stats G2'!K32</f>
        <v>0</v>
      </c>
      <c r="M31">
        <f>'Stats G2'!N32</f>
        <v>0</v>
      </c>
    </row>
    <row r="32" spans="6:13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1</v>
      </c>
      <c r="J32">
        <f>'Stats G2'!H33</f>
        <v>4</v>
      </c>
      <c r="K32">
        <f t="shared" si="1"/>
        <v>5</v>
      </c>
      <c r="L32">
        <f>'Stats G2'!K33</f>
        <v>2</v>
      </c>
      <c r="M32">
        <f>'Stats G2'!N33</f>
        <v>2</v>
      </c>
    </row>
    <row r="33" spans="6:13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G2'!E34</f>
        <v>2</v>
      </c>
      <c r="J33">
        <f>'Stats G2'!H34</f>
        <v>8</v>
      </c>
      <c r="K33">
        <f t="shared" si="1"/>
        <v>10</v>
      </c>
      <c r="L33">
        <f>'Stats G2'!K34</f>
        <v>1</v>
      </c>
      <c r="M33">
        <f>'Stats G2'!N34</f>
        <v>1</v>
      </c>
    </row>
    <row r="34" spans="6:13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>SUM(I22:I36)</f>
        <v>24</v>
      </c>
      <c r="J37">
        <f>SUM(J22:J36)</f>
        <v>24</v>
      </c>
      <c r="K37">
        <f>SUM(K22:K36)</f>
        <v>48</v>
      </c>
      <c r="L37">
        <f>SUM(L22:L36)</f>
        <v>6</v>
      </c>
      <c r="M37">
        <f>SUM(M22:M36)</f>
        <v>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workbookViewId="0">
      <selection activeCell="X25" sqref="X2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13</v>
      </c>
    </row>
    <row r="4" spans="1:21" x14ac:dyDescent="0.2">
      <c r="A4" t="s">
        <v>1</v>
      </c>
      <c r="B4" t="s">
        <v>2</v>
      </c>
      <c r="C4" t="s">
        <v>0</v>
      </c>
      <c r="E4" t="s">
        <v>247</v>
      </c>
      <c r="H4" t="s">
        <v>248</v>
      </c>
      <c r="K4" t="s">
        <v>245</v>
      </c>
      <c r="N4" t="s">
        <v>246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4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3</v>
      </c>
      <c r="H6" s="6">
        <v>2</v>
      </c>
      <c r="K6" s="6">
        <v>1</v>
      </c>
      <c r="N6" s="6">
        <v>3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2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4</v>
      </c>
      <c r="F9" s="5"/>
      <c r="G9" s="5"/>
      <c r="H9" s="5">
        <v>5</v>
      </c>
      <c r="I9" s="5"/>
      <c r="J9" s="5"/>
      <c r="K9" s="5">
        <v>0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2</v>
      </c>
      <c r="H10" s="6">
        <v>2</v>
      </c>
      <c r="K10" s="6">
        <v>0</v>
      </c>
      <c r="N10" s="6">
        <v>3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4</v>
      </c>
      <c r="K12" s="6">
        <v>0</v>
      </c>
      <c r="N12" s="6">
        <v>2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3</v>
      </c>
      <c r="K14" s="6">
        <v>1</v>
      </c>
      <c r="N14" s="6">
        <v>1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30</v>
      </c>
      <c r="D17" s="5"/>
      <c r="E17" s="5">
        <v>0</v>
      </c>
      <c r="F17" s="5"/>
      <c r="G17" s="5"/>
      <c r="H17" s="5">
        <v>2</v>
      </c>
      <c r="I17" s="5"/>
      <c r="J17" s="5"/>
      <c r="K17" s="5">
        <v>0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10</v>
      </c>
      <c r="H20">
        <f>SUM(H5:H19)</f>
        <v>20</v>
      </c>
      <c r="K20">
        <f>SUM(K5:K19)</f>
        <v>4</v>
      </c>
      <c r="N20">
        <f>SUM(N5:N19)</f>
        <v>16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247</v>
      </c>
      <c r="H22" t="s">
        <v>248</v>
      </c>
      <c r="K22" t="s">
        <v>245</v>
      </c>
      <c r="N22" t="s">
        <v>246</v>
      </c>
    </row>
    <row r="23" spans="1:21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5</v>
      </c>
      <c r="H24" s="6">
        <v>1</v>
      </c>
      <c r="K24" s="6">
        <v>1</v>
      </c>
      <c r="N24" s="6">
        <v>3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1</v>
      </c>
      <c r="H26" s="6">
        <v>3</v>
      </c>
      <c r="K26" s="6">
        <v>0</v>
      </c>
      <c r="N26" s="6">
        <v>3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4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9</v>
      </c>
      <c r="F29" s="5"/>
      <c r="G29" s="5"/>
      <c r="H29" s="5">
        <v>6</v>
      </c>
      <c r="I29" s="5"/>
      <c r="J29" s="5"/>
      <c r="K29" s="5">
        <v>1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1</v>
      </c>
      <c r="F33" s="5"/>
      <c r="G33" s="5"/>
      <c r="H33" s="5">
        <v>4</v>
      </c>
      <c r="I33" s="5"/>
      <c r="J33" s="5"/>
      <c r="K33" s="5">
        <v>2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2</v>
      </c>
      <c r="F34"/>
      <c r="G34"/>
      <c r="H34" s="6">
        <v>8</v>
      </c>
      <c r="I34"/>
      <c r="J34"/>
      <c r="K34" s="6">
        <v>1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24</v>
      </c>
      <c r="H38">
        <f>SUM(H23:H37)</f>
        <v>24</v>
      </c>
      <c r="K38">
        <f>SUM(K23:K37)</f>
        <v>6</v>
      </c>
      <c r="N38">
        <f>SUM(N23:N37)</f>
        <v>13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5" sqref="B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253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254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255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252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256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257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258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261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262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263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264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265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266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266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266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266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2021-07-09T03:44:38Z</dcterms:modified>
</cp:coreProperties>
</file>