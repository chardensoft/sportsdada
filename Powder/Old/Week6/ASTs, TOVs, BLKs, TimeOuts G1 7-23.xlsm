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4T164949Z-001/"/>
    </mc:Choice>
  </mc:AlternateContent>
  <xr:revisionPtr revIDLastSave="0" documentId="13_ncr:1_{53CDE1F0-8E1F-3940-9A33-B1A8C4FD1852}" xr6:coauthVersionLast="47" xr6:coauthVersionMax="47" xr10:uidLastSave="{00000000-0000-0000-0000-000000000000}"/>
  <bookViews>
    <workbookView xWindow="10560" yWindow="1000" windowWidth="1782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3" i="2" l="1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22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3" i="2"/>
  <c r="P18" i="2" l="1"/>
  <c r="P37" i="2"/>
  <c r="L23" i="2"/>
  <c r="M23" i="2"/>
  <c r="N23" i="2" s="1"/>
  <c r="L24" i="2"/>
  <c r="M24" i="2"/>
  <c r="N24" i="2" s="1"/>
  <c r="L25" i="2"/>
  <c r="M25" i="2"/>
  <c r="L26" i="2"/>
  <c r="M26" i="2"/>
  <c r="L27" i="2"/>
  <c r="M27" i="2"/>
  <c r="N27" i="2" s="1"/>
  <c r="L28" i="2"/>
  <c r="M28" i="2"/>
  <c r="N28" i="2"/>
  <c r="L29" i="2"/>
  <c r="M29" i="2"/>
  <c r="L30" i="2"/>
  <c r="M30" i="2"/>
  <c r="L31" i="2"/>
  <c r="M31" i="2"/>
  <c r="L32" i="2"/>
  <c r="M32" i="2"/>
  <c r="N32" i="2"/>
  <c r="L33" i="2"/>
  <c r="M33" i="2"/>
  <c r="N33" i="2" s="1"/>
  <c r="L34" i="2"/>
  <c r="M34" i="2"/>
  <c r="L35" i="2"/>
  <c r="M35" i="2"/>
  <c r="L36" i="2"/>
  <c r="M36" i="2"/>
  <c r="N36" i="2"/>
  <c r="M22" i="2"/>
  <c r="L22" i="2"/>
  <c r="L4" i="2"/>
  <c r="M4" i="2"/>
  <c r="N4" i="2" s="1"/>
  <c r="L5" i="2"/>
  <c r="M5" i="2"/>
  <c r="L6" i="2"/>
  <c r="M6" i="2"/>
  <c r="L7" i="2"/>
  <c r="M7" i="2"/>
  <c r="L8" i="2"/>
  <c r="N8" i="2" s="1"/>
  <c r="M8" i="2"/>
  <c r="L9" i="2"/>
  <c r="M9" i="2"/>
  <c r="N9" i="2"/>
  <c r="L10" i="2"/>
  <c r="M10" i="2"/>
  <c r="N10" i="2" s="1"/>
  <c r="L11" i="2"/>
  <c r="M11" i="2"/>
  <c r="N11" i="2"/>
  <c r="L12" i="2"/>
  <c r="M12" i="2"/>
  <c r="L13" i="2"/>
  <c r="M13" i="2"/>
  <c r="N13" i="2" s="1"/>
  <c r="L14" i="2"/>
  <c r="M14" i="2"/>
  <c r="L15" i="2"/>
  <c r="M15" i="2"/>
  <c r="N15" i="2"/>
  <c r="L16" i="2"/>
  <c r="M16" i="2"/>
  <c r="N16" i="2" s="1"/>
  <c r="L17" i="2"/>
  <c r="M17" i="2"/>
  <c r="N17" i="2"/>
  <c r="M3" i="2"/>
  <c r="L3" i="2"/>
  <c r="N31" i="2" l="1"/>
  <c r="N30" i="2"/>
  <c r="N6" i="2"/>
  <c r="N22" i="2"/>
  <c r="N3" i="2"/>
  <c r="N26" i="2"/>
  <c r="M37" i="2"/>
  <c r="N35" i="2"/>
  <c r="N14" i="2"/>
  <c r="N34" i="2"/>
  <c r="N25" i="2"/>
  <c r="N7" i="2"/>
  <c r="N12" i="2"/>
  <c r="L18" i="2"/>
  <c r="N29" i="2"/>
  <c r="L37" i="2"/>
  <c r="N5" i="2"/>
  <c r="M18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N37" i="2" l="1"/>
  <c r="D3" i="2" s="1"/>
  <c r="N18" i="2"/>
  <c r="B3" i="2" s="1"/>
  <c r="I37" i="2"/>
  <c r="K18" i="2"/>
  <c r="Q37" i="2"/>
  <c r="Q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J18" i="2"/>
  <c r="I18" i="2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<sst xmlns="http://schemas.openxmlformats.org/spreadsheetml/2006/main" count="506" uniqueCount="277">
  <si>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</si>
  <si>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</si>
  <si>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</si>
  <si>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</si>
  <si>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</si>
  <si>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</si>
  <si>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</si>
  <si>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</si>
  <si>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</si>
  <si>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</si>
  <si>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</si>
  <si>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</si>
  <si>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</si>
  <si>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</si>
  <si>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</si>
  <si>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</si>
  <si>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</si>
  <si>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</si>
  <si>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</si>
  <si>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</si>
  <si>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</si>
  <si>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</si>
  <si>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</si>
  <si>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</si>
  <si>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</si>
  <si>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</si>
  <si>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</si>
  <si>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</si>
  <si>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</si>
  <si>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</si>
  <si>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</si>
  <si>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</si>
  <si>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</si>
  <si>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</si>
  <si>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</si>
  <si>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</si>
  <si>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</si>
  <si>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</si>
  <si>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</si>
  <si>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</si>
  <si>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</si>
  <si>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</si>
  <si>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</si>
  <si>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</si>
  <si>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</si>
  <si>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</si>
  <si>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</si>
  <si>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</si>
  <si>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</si>
  <si>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</si>
  <si>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</si>
  <si>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</si>
  <si>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</si>
  <si>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</si>
  <si>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</si>
  <si>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</si>
  <si>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</si>
  <si>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</si>
  <si>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</si>
  <si>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</si>
  <si>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</si>
  <si>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</si>
  <si>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</si>
  <si>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</si>
  <si>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</si>
  <si>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</si>
  <si>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</si>
  <si>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</si>
  <si>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</si>
  <si>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</si>
  <si>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</si>
  <si>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</si>
  <si>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</si>
  <si>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</si>
  <si>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</si>
  <si>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</si>
  <si>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</si>
  <si>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</si>
  <si>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</si>
  <si>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</si>
  <si>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</si>
  <si>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</si>
  <si>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</si>
  <si>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</si>
  <si>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</si>
  <si>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</si>
  <si>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</si>
  <si>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</si>
  <si>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</si>
  <si>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</si>
  <si>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</si>
  <si>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</si>
  <si>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</si>
  <si>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</si>
  <si>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</si>
  <si>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</si>
  <si>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</si>
  <si>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</si>
  <si>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</si>
  <si>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</si>
  <si>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</si>
  <si>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</si>
  <si>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</si>
  <si>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</si>
  <si>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</si>
  <si>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</si>
  <si>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</si>
  <si>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</si>
  <si>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</si>
  <si>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</si>
  <si>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</si>
  <si>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</si>
  <si>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</si>
  <si>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</si>
  <si>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</si>
  <si>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</si>
  <si>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</si>
  <si>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</si>
  <si>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</si>
  <si>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</si>
  <si>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</si>
  <si>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</si>
  <si>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</si>
  <si>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</si>
  <si>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</si>
  <si>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</si>
  <si>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</si>
  <si>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</si>
  <si>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</si>
  <si>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</si>
  <si>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</si>
  <si>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</si>
  <si>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</si>
  <si>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</si>
  <si>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</si>
  <si>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</si>
  <si>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</si>
  <si>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</si>
  <si>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</si>
  <si>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</si>
  <si>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</si>
  <si>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</si>
  <si>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</si>
  <si>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</si>
  <si>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</si>
  <si>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</si>
  <si>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</si>
  <si>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</si>
  <si>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</si>
  <si>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</si>
  <si>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</si>
  <si>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</si>
  <si>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</si>
  <si>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</si>
  <si>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</si>
  <si>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</si>
  <si>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</si>
  <si>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</si>
  <si>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</si>
  <si>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</si>
  <si>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</si>
  <si>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</si>
  <si>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</si>
  <si>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</si>
  <si>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</si>
  <si>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</si>
  <si>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</si>
  <si>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</si>
  <si>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</si>
  <si>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</si>
  <si>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</si>
  <si>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</si>
  <si>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</si>
  <si>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</si>
  <si>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</si>
  <si>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</si>
  <si>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</si>
  <si>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</si>
  <si>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</si>
  <si>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</si>
  <si>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</si>
  <si>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</si>
  <si>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</si>
  <si>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</si>
  <si>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</si>
  <si>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</si>
  <si>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</si>
  <si>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</si>
  <si>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</si>
  <si>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</si>
  <si>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</si>
  <si>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</si>
  <si>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</si>
  <si>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</si>
  <si>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</si>
  <si>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</si>
  <si>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</si>
  <si>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</si>
  <si>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</si>
  <si>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</si>
  <si>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</si>
  <si>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</si>
  <si>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</si>
  <si>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</si>
  <si>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</si>
  <si>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</si>
  <si>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</si>
  <si>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</si>
  <si>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</si>
  <si>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</si>
  <si>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</si>
  <si>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</si>
  <si>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</si>
  <si>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</si>
  <si>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</si>
  <si>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</si>
  <si>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</si>
  <si>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</si>
  <si>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</si>
  <si>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</si>
  <si>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</si>
  <si>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</si>
  <si>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</si>
  <si>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</si>
  <si>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</si>
  <si>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</si>
  <si>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</si>
  <si>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</si>
  <si>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</si>
  <si>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</si>
  <si>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</si>
  <si>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</si>
  <si>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</si>
  <si>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</si>
  <si>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</si>
  <si>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</si>
  <si>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</si>
  <si>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</si>
  <si>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</si>
  <si>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</si>
  <si>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</si>
  <si>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</si>
  <si>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</si>
  <si>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</si>
  <si>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</si>
  <si>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</si>
  <si>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</si>
  <si>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</si>
  <si>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</si>
  <si>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</si>
  <si>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</si>
  <si>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</si>
  <si>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</si>
  <si>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</si>
  <si>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</si>
  <si>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</si>
  <si>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</si>
  <si>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</si>
  <si>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</si>
  <si>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</si>
  <si>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</si>
  <si>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</si>
  <si>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</si>
  <si>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</si>
  <si>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</si>
  <si>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</si>
  <si>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</si>
  <si>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</si>
  <si>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</si>
  <si>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DREB</t>
  </si>
  <si>
    <t>OREB</t>
  </si>
  <si>
    <t>STL</t>
  </si>
  <si>
    <t>TREB</t>
  </si>
  <si>
    <t>Tyrell</t>
  </si>
  <si>
    <t>Justin</t>
  </si>
  <si>
    <t>Harmon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</si>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</sst>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Q37"/>
  <sheetViews>
    <sheetView tabSelected="1" workbookViewId="0">
      <selection activeCell="D5" sqref="D5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7" x14ac:dyDescent="0.2">
      <c r="B1" s="2" t="s">
        <v>7</v>
      </c>
      <c r="F1" t="s">
        <v>3</v>
      </c>
      <c r="G1" t="str">
        <f>'Stats G1'!B3</f>
        <v>Drisdom</v>
      </c>
    </row>
    <row r="2" spans="2:17" x14ac:dyDescent="0.2">
      <c r="B2" t="str">
        <f>G1</f>
        <v>Drisdom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250</v>
      </c>
      <c r="J2" t="s">
        <v>246</v>
      </c>
      <c r="K2" t="s">
        <v>247</v>
      </c>
      <c r="L2" t="s">
        <v>269</v>
      </c>
      <c r="M2" t="s">
        <v>270</v>
      </c>
      <c r="N2" t="s">
        <v>272</v>
      </c>
      <c r="O2" t="s">
        <v>271</v>
      </c>
      <c r="P2" t="s">
        <v>276</v>
      </c>
      <c r="Q2" t="s">
        <v>249</v>
      </c>
    </row>
    <row r="3" spans="2:17" x14ac:dyDescent="0.2">
      <c r="B3">
        <f>N18</f>
        <v>46</v>
      </c>
      <c r="C3" s="3" t="s">
        <v>6</v>
      </c>
      <c r="D3" s="4">
        <f>N37</f>
        <v>45</v>
      </c>
      <c r="F3" t="str">
        <f>'Stats G1'!A5</f>
        <v>Terrence</v>
      </c>
      <c r="G3" t="str">
        <f>'Stats G1'!B5</f>
        <v>Drisdom</v>
      </c>
      <c r="H3">
        <f>'Stats G1'!C5</f>
        <v>0</v>
      </c>
      <c r="I3">
        <f>'Stats G1'!E5</f>
        <v>10</v>
      </c>
      <c r="J3">
        <f>'Stats G1'!H5</f>
        <v>3</v>
      </c>
      <c r="K3">
        <f>'Stats G1'!K5</f>
        <v>0</v>
      </c>
      <c r="L3">
        <f>'Stats G1'!N5</f>
        <v>5</v>
      </c>
      <c r="M3">
        <f>'Stats G1'!Q5</f>
        <v>1</v>
      </c>
      <c r="N3">
        <f>M3+L3</f>
        <v>6</v>
      </c>
      <c r="O3">
        <v>2</v>
      </c>
      <c r="P3">
        <f>'Stats G1'!T5/60</f>
        <v>36.43333333333333</v>
      </c>
    </row>
    <row r="4" spans="2:17" x14ac:dyDescent="0.2">
      <c r="F4" t="str">
        <f>'Stats G1'!A6</f>
        <v>Shaun</v>
      </c>
      <c r="G4" t="str">
        <f>'Stats G1'!B6</f>
        <v>Green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  <c r="L4">
        <f>'Stats G1'!N6</f>
        <v>0</v>
      </c>
      <c r="M4">
        <f>'Stats G1'!Q6</f>
        <v>0</v>
      </c>
      <c r="N4">
        <f t="shared" ref="N4:N17" si="0">M4+L4</f>
        <v>0</v>
      </c>
      <c r="O4">
        <v>0</v>
      </c>
      <c r="P4">
        <f>'Stats G1'!T6/60</f>
        <v>0</v>
      </c>
    </row>
    <row r="5" spans="2:17" x14ac:dyDescent="0.2">
      <c r="F5" t="str">
        <f>'Stats G1'!A7</f>
        <v>Duane</v>
      </c>
      <c r="G5" t="str">
        <f>'Stats G1'!B7</f>
        <v>Brown</v>
      </c>
      <c r="H5">
        <f>'Stats G1'!C7</f>
        <v>2</v>
      </c>
      <c r="I5">
        <f>'Stats G1'!E7</f>
        <v>4</v>
      </c>
      <c r="J5">
        <f>'Stats G1'!H7</f>
        <v>2</v>
      </c>
      <c r="K5">
        <f>'Stats G1'!K7</f>
        <v>0</v>
      </c>
      <c r="L5">
        <f>'Stats G1'!N7</f>
        <v>7</v>
      </c>
      <c r="M5">
        <f>'Stats G1'!Q7</f>
        <v>4</v>
      </c>
      <c r="N5">
        <f t="shared" si="0"/>
        <v>11</v>
      </c>
      <c r="O5">
        <v>3</v>
      </c>
      <c r="P5">
        <f>'Stats G1'!T7/60</f>
        <v>37.033333333333331</v>
      </c>
    </row>
    <row r="6" spans="2:17" x14ac:dyDescent="0.2">
      <c r="F6" t="str">
        <f>'Stats G1'!A8</f>
        <v>Tre</v>
      </c>
      <c r="G6" t="str">
        <f>'Stats G1'!B8</f>
        <v>Smith</v>
      </c>
      <c r="H6">
        <f>'Stats G1'!C8</f>
        <v>3</v>
      </c>
      <c r="I6">
        <f>'Stats G1'!E8</f>
        <v>2</v>
      </c>
      <c r="J6">
        <f>'Stats G1'!H8</f>
        <v>1</v>
      </c>
      <c r="K6">
        <f>'Stats G1'!K8</f>
        <v>0</v>
      </c>
      <c r="L6">
        <f>'Stats G1'!N8</f>
        <v>1</v>
      </c>
      <c r="M6">
        <f>'Stats G1'!Q8</f>
        <v>0</v>
      </c>
      <c r="N6">
        <f t="shared" si="0"/>
        <v>1</v>
      </c>
      <c r="O6">
        <v>0</v>
      </c>
      <c r="P6">
        <f>'Stats G1'!T8/60</f>
        <v>29.583333333333332</v>
      </c>
    </row>
    <row r="7" spans="2:17" x14ac:dyDescent="0.2">
      <c r="F7" t="str">
        <f>'Stats G1'!A9</f>
        <v>Brekott</v>
      </c>
      <c r="G7" t="str">
        <f>'Stats G1'!B9</f>
        <v>Chapman</v>
      </c>
      <c r="H7">
        <f>'Stats G1'!C9</f>
        <v>6</v>
      </c>
      <c r="I7">
        <f>'Stats G1'!E9</f>
        <v>6</v>
      </c>
      <c r="J7">
        <f>'Stats G1'!H9</f>
        <v>2</v>
      </c>
      <c r="K7">
        <f>'Stats G1'!K9</f>
        <v>0</v>
      </c>
      <c r="L7">
        <f>'Stats G1'!N9</f>
        <v>9</v>
      </c>
      <c r="M7">
        <f>'Stats G1'!Q9</f>
        <v>2</v>
      </c>
      <c r="N7">
        <f t="shared" si="0"/>
        <v>11</v>
      </c>
      <c r="O7">
        <v>3</v>
      </c>
      <c r="P7">
        <f>'Stats G1'!T9/60</f>
        <v>36.583333333333336</v>
      </c>
    </row>
    <row r="8" spans="2:17" x14ac:dyDescent="0.2">
      <c r="F8" t="str">
        <f>'Stats G1'!A10</f>
        <v>Ronnie</v>
      </c>
      <c r="G8" t="str">
        <f>'Stats G1'!B10</f>
        <v>Price</v>
      </c>
      <c r="H8">
        <f>'Stats G1'!C10</f>
        <v>7</v>
      </c>
      <c r="I8">
        <f>'Stats G1'!E10</f>
        <v>0</v>
      </c>
      <c r="J8">
        <f>'Stats G1'!H10</f>
        <v>0</v>
      </c>
      <c r="K8">
        <f>'Stats G1'!K10</f>
        <v>0</v>
      </c>
      <c r="L8">
        <f>'Stats G1'!N10</f>
        <v>0</v>
      </c>
      <c r="M8">
        <f>'Stats G1'!Q10</f>
        <v>0</v>
      </c>
      <c r="N8">
        <f t="shared" si="0"/>
        <v>0</v>
      </c>
      <c r="O8">
        <v>0</v>
      </c>
      <c r="P8">
        <f>'Stats G1'!T10/60</f>
        <v>0</v>
      </c>
    </row>
    <row r="9" spans="2:17" x14ac:dyDescent="0.2">
      <c r="F9" t="str">
        <f>'Stats G1'!A11</f>
        <v>Isaiah</v>
      </c>
      <c r="G9" t="str">
        <f>'Stats G1'!B11</f>
        <v>Wright</v>
      </c>
      <c r="H9">
        <f>'Stats G1'!C11</f>
        <v>8</v>
      </c>
      <c r="I9">
        <f>'Stats G1'!E11</f>
        <v>0</v>
      </c>
      <c r="J9">
        <f>'Stats G1'!H11</f>
        <v>0</v>
      </c>
      <c r="K9">
        <f>'Stats G1'!K11</f>
        <v>0</v>
      </c>
      <c r="L9">
        <f>'Stats G1'!N11</f>
        <v>0</v>
      </c>
      <c r="M9">
        <f>'Stats G1'!Q11</f>
        <v>0</v>
      </c>
      <c r="N9">
        <f t="shared" si="0"/>
        <v>0</v>
      </c>
      <c r="O9">
        <v>0</v>
      </c>
      <c r="P9">
        <f>'Stats G1'!T11/60</f>
        <v>0</v>
      </c>
    </row>
    <row r="10" spans="2:17" x14ac:dyDescent="0.2">
      <c r="F10" t="str">
        <f>'Stats G1'!A12</f>
        <v>Tim</v>
      </c>
      <c r="G10" t="str">
        <f>'Stats G1'!B12</f>
        <v>Drisdom</v>
      </c>
      <c r="H10">
        <f>'Stats G1'!C12</f>
        <v>11</v>
      </c>
      <c r="I10">
        <f>'Stats G1'!E12</f>
        <v>0</v>
      </c>
      <c r="J10">
        <f>'Stats G1'!H12</f>
        <v>0</v>
      </c>
      <c r="K10">
        <f>'Stats G1'!K12</f>
        <v>0</v>
      </c>
      <c r="L10">
        <f>'Stats G1'!N12</f>
        <v>0</v>
      </c>
      <c r="M10">
        <f>'Stats G1'!Q12</f>
        <v>0</v>
      </c>
      <c r="N10">
        <f t="shared" si="0"/>
        <v>0</v>
      </c>
      <c r="O10">
        <v>0</v>
      </c>
      <c r="P10">
        <f>'Stats G1'!T12/60</f>
        <v>0</v>
      </c>
    </row>
    <row r="11" spans="2:17" x14ac:dyDescent="0.2">
      <c r="F11" t="str">
        <f>'Stats G1'!A13</f>
        <v>Dakarai</v>
      </c>
      <c r="G11" t="str">
        <f>'Stats G1'!B13</f>
        <v>Tucker</v>
      </c>
      <c r="H11">
        <f>'Stats G1'!C13</f>
        <v>14</v>
      </c>
      <c r="I11">
        <f>'Stats G1'!E13</f>
        <v>0</v>
      </c>
      <c r="J11">
        <f>'Stats G1'!H13</f>
        <v>0</v>
      </c>
      <c r="K11">
        <f>'Stats G1'!K13</f>
        <v>0</v>
      </c>
      <c r="L11">
        <f>'Stats G1'!N13</f>
        <v>0</v>
      </c>
      <c r="M11">
        <f>'Stats G1'!Q13</f>
        <v>0</v>
      </c>
      <c r="N11">
        <f t="shared" si="0"/>
        <v>0</v>
      </c>
      <c r="O11">
        <v>0</v>
      </c>
      <c r="P11">
        <f>'Stats G1'!T13/60</f>
        <v>0</v>
      </c>
    </row>
    <row r="12" spans="2:17" x14ac:dyDescent="0.2">
      <c r="F12" t="str">
        <f>'Stats G1'!A14</f>
        <v>AJ</v>
      </c>
      <c r="G12" t="str">
        <f>'Stats G1'!B14</f>
        <v>Hodges</v>
      </c>
      <c r="H12">
        <f>'Stats G1'!C14</f>
        <v>15</v>
      </c>
      <c r="I12">
        <f>'Stats G1'!E14</f>
        <v>3</v>
      </c>
      <c r="J12">
        <f>'Stats G1'!H14</f>
        <v>4</v>
      </c>
      <c r="K12">
        <f>'Stats G1'!K14</f>
        <v>0</v>
      </c>
      <c r="L12">
        <f>'Stats G1'!N14</f>
        <v>5</v>
      </c>
      <c r="M12">
        <f>'Stats G1'!Q14</f>
        <v>1</v>
      </c>
      <c r="N12">
        <f t="shared" si="0"/>
        <v>6</v>
      </c>
      <c r="O12">
        <v>4</v>
      </c>
      <c r="P12">
        <f>'Stats G1'!T14/60</f>
        <v>27.816666666666666</v>
      </c>
    </row>
    <row r="13" spans="2:17" x14ac:dyDescent="0.2">
      <c r="F13" t="str">
        <f>'Stats G1'!A15</f>
        <v>Makol</v>
      </c>
      <c r="G13" t="str">
        <f>'Stats G1'!B15</f>
        <v>Mawien</v>
      </c>
      <c r="H13">
        <f>'Stats G1'!C15</f>
        <v>34</v>
      </c>
      <c r="I13">
        <f>'Stats G1'!E15</f>
        <v>0</v>
      </c>
      <c r="J13">
        <f>'Stats G1'!H15</f>
        <v>0</v>
      </c>
      <c r="K13">
        <f>'Stats G1'!K15</f>
        <v>0</v>
      </c>
      <c r="L13">
        <f>'Stats G1'!N15</f>
        <v>0</v>
      </c>
      <c r="M13">
        <f>'Stats G1'!Q15</f>
        <v>0</v>
      </c>
      <c r="N13">
        <f t="shared" si="0"/>
        <v>0</v>
      </c>
      <c r="O13">
        <v>0</v>
      </c>
      <c r="P13">
        <f>'Stats G1'!T15/60</f>
        <v>0</v>
      </c>
    </row>
    <row r="14" spans="2:17" x14ac:dyDescent="0.2">
      <c r="F14" t="str">
        <f>'Stats G1'!A16</f>
        <v>Corbin</v>
      </c>
      <c r="G14" t="str">
        <f>'Stats G1'!B16</f>
        <v>Green</v>
      </c>
      <c r="H14">
        <f>'Stats G1'!C16</f>
        <v>98</v>
      </c>
      <c r="I14">
        <f>'Stats G1'!E16</f>
        <v>1</v>
      </c>
      <c r="J14">
        <f>'Stats G1'!H16</f>
        <v>0</v>
      </c>
      <c r="K14">
        <f>'Stats G1'!K16</f>
        <v>0</v>
      </c>
      <c r="L14">
        <f>'Stats G1'!N16</f>
        <v>9</v>
      </c>
      <c r="M14">
        <f>'Stats G1'!Q16</f>
        <v>2</v>
      </c>
      <c r="N14">
        <f t="shared" si="0"/>
        <v>11</v>
      </c>
      <c r="O14">
        <v>0</v>
      </c>
      <c r="P14">
        <f>'Stats G1'!T16/60</f>
        <v>32.549999999999997</v>
      </c>
    </row>
    <row r="15" spans="2:17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  <c r="L15">
        <f>'Stats G1'!N17</f>
        <v>0</v>
      </c>
      <c r="M15">
        <f>'Stats G1'!Q17</f>
        <v>0</v>
      </c>
      <c r="N15">
        <f t="shared" si="0"/>
        <v>0</v>
      </c>
      <c r="O15">
        <v>0</v>
      </c>
      <c r="P15">
        <f>'Stats G1'!T17/60</f>
        <v>0</v>
      </c>
    </row>
    <row r="16" spans="2:17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L16">
        <f>'Stats G1'!N18</f>
        <v>0</v>
      </c>
      <c r="M16">
        <f>'Stats G1'!Q18</f>
        <v>0</v>
      </c>
      <c r="N16">
        <f t="shared" si="0"/>
        <v>0</v>
      </c>
      <c r="O16">
        <v>0</v>
      </c>
      <c r="P16">
        <f>'Stats G1'!T18/60</f>
        <v>0</v>
      </c>
    </row>
    <row r="17" spans="6:17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</f>
        <v>0</v>
      </c>
      <c r="M17">
        <f>'Stats G1'!Q19</f>
        <v>0</v>
      </c>
      <c r="N17">
        <f t="shared" si="0"/>
        <v>0</v>
      </c>
      <c r="O17">
        <v>0</v>
      </c>
      <c r="P17">
        <f>'Stats G1'!T19/60</f>
        <v>0</v>
      </c>
    </row>
    <row r="18" spans="6:17" x14ac:dyDescent="0.2">
      <c r="H18" s="2" t="s">
        <v>5</v>
      </c>
      <c r="I18">
        <f t="shared" ref="I18:P18" si="1">SUM(I3:I17)</f>
        <v>26</v>
      </c>
      <c r="J18">
        <f t="shared" si="1"/>
        <v>12</v>
      </c>
      <c r="K18">
        <f t="shared" si="1"/>
        <v>0</v>
      </c>
      <c r="L18">
        <f t="shared" si="1"/>
        <v>36</v>
      </c>
      <c r="M18">
        <f t="shared" si="1"/>
        <v>10</v>
      </c>
      <c r="N18">
        <f t="shared" si="1"/>
        <v>46</v>
      </c>
      <c r="O18">
        <v>12</v>
      </c>
      <c r="P18">
        <f t="shared" si="1"/>
        <v>200</v>
      </c>
      <c r="Q18">
        <f>'Stats G1'!W5</f>
        <v>2</v>
      </c>
    </row>
    <row r="20" spans="6:17" x14ac:dyDescent="0.2">
      <c r="F20" t="s">
        <v>4</v>
      </c>
      <c r="G20" t="str">
        <f>'Stats G1'!B21</f>
        <v>Humphries</v>
      </c>
    </row>
    <row r="21" spans="6:17" x14ac:dyDescent="0.2">
      <c r="F21" t="s">
        <v>1</v>
      </c>
      <c r="G21" t="s">
        <v>2</v>
      </c>
      <c r="H21" t="s">
        <v>0</v>
      </c>
      <c r="I21" t="s">
        <v>250</v>
      </c>
      <c r="J21" t="s">
        <v>246</v>
      </c>
      <c r="K21" t="s">
        <v>247</v>
      </c>
      <c r="L21" t="s">
        <v>269</v>
      </c>
      <c r="M21" t="s">
        <v>270</v>
      </c>
      <c r="N21" t="s">
        <v>272</v>
      </c>
      <c r="O21" t="s">
        <v>271</v>
      </c>
      <c r="P21" t="s">
        <v>276</v>
      </c>
      <c r="Q21" t="s">
        <v>249</v>
      </c>
    </row>
    <row r="22" spans="6:17" x14ac:dyDescent="0.2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G1'!E23</f>
        <v>5</v>
      </c>
      <c r="J22">
        <f>'Stats G1'!H23</f>
        <v>2</v>
      </c>
      <c r="K22">
        <f>'Stats G1'!K23</f>
        <v>0</v>
      </c>
      <c r="L22">
        <f>'Stats G1'!N23</f>
        <v>8</v>
      </c>
      <c r="M22">
        <f>'Stats G1'!Q23</f>
        <v>1</v>
      </c>
      <c r="N22">
        <f>M22+L22</f>
        <v>9</v>
      </c>
      <c r="O22">
        <v>1</v>
      </c>
      <c r="P22">
        <f>'Stats G1'!T23/60</f>
        <v>35.75</v>
      </c>
    </row>
    <row r="23" spans="6:17" x14ac:dyDescent="0.2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  <c r="L23">
        <f>'Stats G1'!N24</f>
        <v>0</v>
      </c>
      <c r="M23">
        <f>'Stats G1'!Q24</f>
        <v>0</v>
      </c>
      <c r="N23">
        <f t="shared" ref="N23:N36" si="2">M23+L23</f>
        <v>0</v>
      </c>
      <c r="O23">
        <v>0</v>
      </c>
      <c r="P23">
        <f>'Stats G1'!T24/60</f>
        <v>0</v>
      </c>
    </row>
    <row r="24" spans="6:17" x14ac:dyDescent="0.2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G1'!E25</f>
        <v>0</v>
      </c>
      <c r="J24">
        <f>'Stats G1'!H25</f>
        <v>0</v>
      </c>
      <c r="K24">
        <f>'Stats G1'!K25</f>
        <v>0</v>
      </c>
      <c r="L24">
        <f>'Stats G1'!N25</f>
        <v>0</v>
      </c>
      <c r="M24">
        <f>'Stats G1'!Q25</f>
        <v>0</v>
      </c>
      <c r="N24">
        <f t="shared" si="2"/>
        <v>0</v>
      </c>
      <c r="O24">
        <v>0</v>
      </c>
      <c r="P24">
        <f>'Stats G1'!T25/60</f>
        <v>0</v>
      </c>
    </row>
    <row r="25" spans="6:17" x14ac:dyDescent="0.2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G1'!E26</f>
        <v>0</v>
      </c>
      <c r="J25">
        <f>'Stats G1'!H26</f>
        <v>2</v>
      </c>
      <c r="K25">
        <f>'Stats G1'!K26</f>
        <v>0</v>
      </c>
      <c r="L25">
        <f>'Stats G1'!N26</f>
        <v>4</v>
      </c>
      <c r="M25">
        <f>'Stats G1'!Q26</f>
        <v>5</v>
      </c>
      <c r="N25">
        <f t="shared" si="2"/>
        <v>9</v>
      </c>
      <c r="O25">
        <v>2</v>
      </c>
      <c r="P25">
        <f>'Stats G1'!T26/60</f>
        <v>30.666666666666668</v>
      </c>
    </row>
    <row r="26" spans="6:17" x14ac:dyDescent="0.2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G1'!E27</f>
        <v>2</v>
      </c>
      <c r="J26">
        <f>'Stats G1'!H27</f>
        <v>2</v>
      </c>
      <c r="K26">
        <f>'Stats G1'!K27</f>
        <v>0</v>
      </c>
      <c r="L26">
        <f>'Stats G1'!N27</f>
        <v>5</v>
      </c>
      <c r="M26">
        <f>'Stats G1'!Q27</f>
        <v>2</v>
      </c>
      <c r="N26">
        <f t="shared" si="2"/>
        <v>7</v>
      </c>
      <c r="O26">
        <v>2</v>
      </c>
      <c r="P26">
        <f>'Stats G1'!T27/60</f>
        <v>17.633333333333333</v>
      </c>
    </row>
    <row r="27" spans="6:17" x14ac:dyDescent="0.2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G1'!E28</f>
        <v>0</v>
      </c>
      <c r="J27">
        <f>'Stats G1'!H28</f>
        <v>0</v>
      </c>
      <c r="K27">
        <f>'Stats G1'!K28</f>
        <v>0</v>
      </c>
      <c r="L27">
        <f>'Stats G1'!N28</f>
        <v>0</v>
      </c>
      <c r="M27">
        <f>'Stats G1'!Q28</f>
        <v>0</v>
      </c>
      <c r="N27">
        <f t="shared" si="2"/>
        <v>0</v>
      </c>
      <c r="O27">
        <v>0</v>
      </c>
      <c r="P27">
        <f>'Stats G1'!T28/60</f>
        <v>0</v>
      </c>
    </row>
    <row r="28" spans="6:17" x14ac:dyDescent="0.2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G1'!E29</f>
        <v>0</v>
      </c>
      <c r="J28">
        <f>'Stats G1'!H29</f>
        <v>0</v>
      </c>
      <c r="K28">
        <f>'Stats G1'!K29</f>
        <v>0</v>
      </c>
      <c r="L28">
        <f>'Stats G1'!N29</f>
        <v>3</v>
      </c>
      <c r="M28">
        <f>'Stats G1'!Q29</f>
        <v>0</v>
      </c>
      <c r="N28">
        <f t="shared" si="2"/>
        <v>3</v>
      </c>
      <c r="O28">
        <v>0</v>
      </c>
      <c r="P28">
        <f>'Stats G1'!T29/60</f>
        <v>24.683333333333334</v>
      </c>
    </row>
    <row r="29" spans="6:17" x14ac:dyDescent="0.2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G1'!E30</f>
        <v>6</v>
      </c>
      <c r="J29">
        <f>'Stats G1'!H30</f>
        <v>4</v>
      </c>
      <c r="K29">
        <f>'Stats G1'!K30</f>
        <v>0</v>
      </c>
      <c r="L29">
        <f>'Stats G1'!N30</f>
        <v>3</v>
      </c>
      <c r="M29">
        <f>'Stats G1'!Q30</f>
        <v>1</v>
      </c>
      <c r="N29">
        <f t="shared" si="2"/>
        <v>4</v>
      </c>
      <c r="O29">
        <v>1</v>
      </c>
      <c r="P29">
        <f>'Stats G1'!T30/60</f>
        <v>24.283333333333335</v>
      </c>
    </row>
    <row r="30" spans="6:17" x14ac:dyDescent="0.2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G1'!E31</f>
        <v>1</v>
      </c>
      <c r="J30">
        <f>'Stats G1'!H31</f>
        <v>0</v>
      </c>
      <c r="K30">
        <f>'Stats G1'!K31</f>
        <v>0</v>
      </c>
      <c r="L30">
        <f>'Stats G1'!N31</f>
        <v>2</v>
      </c>
      <c r="M30">
        <f>'Stats G1'!Q31</f>
        <v>1</v>
      </c>
      <c r="N30">
        <f t="shared" si="2"/>
        <v>3</v>
      </c>
      <c r="O30">
        <v>0</v>
      </c>
      <c r="P30">
        <f>'Stats G1'!T31/60</f>
        <v>20.983333333333334</v>
      </c>
    </row>
    <row r="31" spans="6:17" x14ac:dyDescent="0.2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G1'!E32</f>
        <v>0</v>
      </c>
      <c r="J31">
        <f>'Stats G1'!H32</f>
        <v>0</v>
      </c>
      <c r="K31">
        <f>'Stats G1'!K32</f>
        <v>0</v>
      </c>
      <c r="L31">
        <f>'Stats G1'!N32</f>
        <v>0</v>
      </c>
      <c r="M31">
        <f>'Stats G1'!Q32</f>
        <v>0</v>
      </c>
      <c r="N31">
        <f t="shared" si="2"/>
        <v>0</v>
      </c>
      <c r="O31">
        <v>0</v>
      </c>
      <c r="P31">
        <f>'Stats G1'!T32/60</f>
        <v>0</v>
      </c>
    </row>
    <row r="32" spans="6:17" x14ac:dyDescent="0.2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G1'!E33</f>
        <v>0</v>
      </c>
      <c r="J32">
        <f>'Stats G1'!H33</f>
        <v>0</v>
      </c>
      <c r="K32">
        <f>'Stats G1'!K33</f>
        <v>0</v>
      </c>
      <c r="L32">
        <f>'Stats G1'!N33</f>
        <v>0</v>
      </c>
      <c r="M32">
        <f>'Stats G1'!Q33</f>
        <v>0</v>
      </c>
      <c r="N32">
        <f t="shared" si="2"/>
        <v>0</v>
      </c>
      <c r="O32">
        <v>0</v>
      </c>
      <c r="P32">
        <f>'Stats G1'!T33/60</f>
        <v>0</v>
      </c>
    </row>
    <row r="33" spans="6:17" x14ac:dyDescent="0.2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G1'!E34</f>
        <v>0</v>
      </c>
      <c r="J33">
        <f>'Stats G1'!H34</f>
        <v>0</v>
      </c>
      <c r="K33">
        <f>'Stats G1'!K34</f>
        <v>0</v>
      </c>
      <c r="L33">
        <f>'Stats G1'!N34</f>
        <v>0</v>
      </c>
      <c r="M33">
        <f>'Stats G1'!Q34</f>
        <v>0</v>
      </c>
      <c r="N33">
        <f t="shared" si="2"/>
        <v>0</v>
      </c>
      <c r="O33">
        <v>0</v>
      </c>
      <c r="P33">
        <f>'Stats G1'!T34/60</f>
        <v>0</v>
      </c>
    </row>
    <row r="34" spans="6:17" x14ac:dyDescent="0.2">
      <c r="F34" t="str">
        <f>'Stats G1'!A35</f>
        <v>Tyrell</v>
      </c>
      <c r="G34" t="str">
        <f>'Stats G1'!B35</f>
        <v>Corbin</v>
      </c>
      <c r="H34">
        <f>'Stats G1'!C35</f>
        <v>11</v>
      </c>
      <c r="I34">
        <f>'Stats G1'!E35</f>
        <v>4</v>
      </c>
      <c r="J34">
        <f>'Stats G1'!H35</f>
        <v>1</v>
      </c>
      <c r="K34">
        <f>'Stats G1'!K35</f>
        <v>0</v>
      </c>
      <c r="L34">
        <f>'Stats G1'!N35</f>
        <v>3</v>
      </c>
      <c r="M34">
        <f>'Stats G1'!Q35</f>
        <v>3</v>
      </c>
      <c r="N34">
        <f t="shared" si="2"/>
        <v>6</v>
      </c>
      <c r="O34">
        <v>2</v>
      </c>
      <c r="P34">
        <f>'Stats G1'!T35/60</f>
        <v>30.683333333333334</v>
      </c>
    </row>
    <row r="35" spans="6:17" x14ac:dyDescent="0.2">
      <c r="F35" t="str">
        <f>'Stats G1'!A36</f>
        <v>Justin</v>
      </c>
      <c r="G35" t="str">
        <f>'Stats G1'!B36</f>
        <v>Harmon</v>
      </c>
      <c r="H35">
        <f>'Stats G1'!C36</f>
        <v>10</v>
      </c>
      <c r="I35">
        <f>'Stats G1'!E36</f>
        <v>3</v>
      </c>
      <c r="J35">
        <f>'Stats G1'!H36</f>
        <v>2</v>
      </c>
      <c r="K35">
        <f>'Stats G1'!K36</f>
        <v>0</v>
      </c>
      <c r="L35">
        <f>'Stats G1'!N36</f>
        <v>4</v>
      </c>
      <c r="M35">
        <f>'Stats G1'!Q36</f>
        <v>0</v>
      </c>
      <c r="N35">
        <f t="shared" si="2"/>
        <v>4</v>
      </c>
      <c r="O35">
        <v>1</v>
      </c>
      <c r="P35">
        <f>'Stats G1'!T36/60</f>
        <v>15.316666666666666</v>
      </c>
    </row>
    <row r="36" spans="6:17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L36">
        <f>'Stats G1'!N37</f>
        <v>0</v>
      </c>
      <c r="M36">
        <f>'Stats G1'!Q37</f>
        <v>0</v>
      </c>
      <c r="N36">
        <f t="shared" si="2"/>
        <v>0</v>
      </c>
      <c r="O36">
        <v>0</v>
      </c>
      <c r="P36">
        <f>'Stats G1'!T37/60</f>
        <v>0</v>
      </c>
    </row>
    <row r="37" spans="6:17" x14ac:dyDescent="0.2">
      <c r="H37" s="2" t="s">
        <v>5</v>
      </c>
      <c r="I37">
        <f t="shared" ref="I37:P37" si="3">SUM(I22:I36)</f>
        <v>21</v>
      </c>
      <c r="J37">
        <f t="shared" si="3"/>
        <v>13</v>
      </c>
      <c r="K37">
        <f t="shared" si="3"/>
        <v>0</v>
      </c>
      <c r="L37">
        <f t="shared" si="3"/>
        <v>32</v>
      </c>
      <c r="M37">
        <f t="shared" si="3"/>
        <v>13</v>
      </c>
      <c r="N37">
        <f t="shared" si="3"/>
        <v>45</v>
      </c>
      <c r="O37">
        <v>9</v>
      </c>
      <c r="P37">
        <f t="shared" si="3"/>
        <v>200</v>
      </c>
      <c r="Q37">
        <f>'Stats G1'!W23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30" zoomScaleNormal="130" workbookViewId="0">
      <selection activeCell="T18" sqref="T1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18</v>
      </c>
    </row>
    <row r="4" spans="1:23" x14ac:dyDescent="0.2">
      <c r="A4" t="s">
        <v>1</v>
      </c>
      <c r="B4" t="s">
        <v>2</v>
      </c>
      <c r="C4" t="s">
        <v>0</v>
      </c>
      <c r="E4" t="s">
        <v>250</v>
      </c>
      <c r="H4" t="s">
        <v>246</v>
      </c>
      <c r="K4" t="s">
        <v>247</v>
      </c>
      <c r="N4" t="s">
        <v>269</v>
      </c>
      <c r="Q4" t="s">
        <v>270</v>
      </c>
      <c r="T4" t="s">
        <v>271</v>
      </c>
    </row>
    <row r="5" spans="1:23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10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5</v>
      </c>
      <c r="O5" s="5"/>
      <c r="P5" s="5"/>
      <c r="Q5" s="5">
        <v>1</v>
      </c>
      <c r="R5" s="5"/>
      <c r="S5" s="5"/>
      <c r="T5" s="5">
        <v>2186</v>
      </c>
      <c r="U5" s="5"/>
      <c r="V5" s="6" t="s">
        <v>248</v>
      </c>
      <c r="W5" s="6">
        <v>2</v>
      </c>
    </row>
    <row r="6" spans="1:23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4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7</v>
      </c>
      <c r="O7" s="5"/>
      <c r="P7" s="5"/>
      <c r="Q7" s="5">
        <v>4</v>
      </c>
      <c r="R7" s="5"/>
      <c r="S7" s="5"/>
      <c r="T7" s="5">
        <v>2222</v>
      </c>
      <c r="U7" s="5"/>
    </row>
    <row r="8" spans="1:23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2</v>
      </c>
      <c r="H8" s="6">
        <v>1</v>
      </c>
      <c r="K8" s="6">
        <v>0</v>
      </c>
      <c r="N8" s="6">
        <v>1</v>
      </c>
      <c r="Q8" s="6">
        <v>0</v>
      </c>
      <c r="T8" s="6">
        <v>1775</v>
      </c>
    </row>
    <row r="9" spans="1:23" s="6" customFormat="1" x14ac:dyDescent="0.2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6</v>
      </c>
      <c r="F9" s="5"/>
      <c r="G9" s="5"/>
      <c r="H9" s="5">
        <v>2</v>
      </c>
      <c r="I9" s="5"/>
      <c r="J9" s="5"/>
      <c r="K9" s="5">
        <v>0</v>
      </c>
      <c r="L9" s="5"/>
      <c r="M9" s="5"/>
      <c r="N9" s="5">
        <v>9</v>
      </c>
      <c r="O9" s="5"/>
      <c r="P9" s="5"/>
      <c r="Q9" s="5">
        <v>2</v>
      </c>
      <c r="R9" s="5"/>
      <c r="S9" s="5"/>
      <c r="T9" s="5">
        <v>2195</v>
      </c>
      <c r="U9" s="5"/>
    </row>
    <row r="10" spans="1:23" s="6" customFormat="1" x14ac:dyDescent="0.2">
      <c r="A10" s="6" t="str">
        <f>_xlfn.IFNA(VLOOKUP($B$3&amp;ROWS($A$5:A10),Rosters!$B$2:$C$162,2,0),"?")</f>
        <v>Ronnie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3</v>
      </c>
      <c r="H14" s="6">
        <v>4</v>
      </c>
      <c r="K14" s="6">
        <v>0</v>
      </c>
      <c r="N14" s="6">
        <v>5</v>
      </c>
      <c r="Q14" s="6">
        <v>1</v>
      </c>
      <c r="T14" s="6">
        <v>1669</v>
      </c>
    </row>
    <row r="15" spans="1:23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1</v>
      </c>
      <c r="H16" s="6">
        <v>0</v>
      </c>
      <c r="K16" s="6">
        <v>0</v>
      </c>
      <c r="N16" s="6">
        <v>9</v>
      </c>
      <c r="Q16" s="6">
        <v>2</v>
      </c>
      <c r="T16" s="6">
        <v>1953</v>
      </c>
    </row>
    <row r="17" spans="1:23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26</v>
      </c>
      <c r="H20">
        <f>SUM(H5:H19)</f>
        <v>12</v>
      </c>
      <c r="K20">
        <f>SUM(K5:K19)</f>
        <v>0</v>
      </c>
      <c r="N20">
        <f>SUM(N5:N19)</f>
        <v>36</v>
      </c>
      <c r="Q20">
        <f>SUM(Q5:Q19)</f>
        <v>10</v>
      </c>
      <c r="T20">
        <f>SUM(T5:T19)</f>
        <v>12000</v>
      </c>
    </row>
    <row r="21" spans="1:23" x14ac:dyDescent="0.2">
      <c r="A21" s="2" t="s">
        <v>9</v>
      </c>
      <c r="B21" s="1" t="s">
        <v>12</v>
      </c>
    </row>
    <row r="22" spans="1:23" x14ac:dyDescent="0.2">
      <c r="A22" t="s">
        <v>1</v>
      </c>
      <c r="B22" t="s">
        <v>2</v>
      </c>
      <c r="C22" t="s">
        <v>0</v>
      </c>
      <c r="E22" t="s">
        <v>250</v>
      </c>
      <c r="H22" t="s">
        <v>246</v>
      </c>
      <c r="K22" t="s">
        <v>247</v>
      </c>
      <c r="N22" t="s">
        <v>269</v>
      </c>
      <c r="Q22" t="s">
        <v>270</v>
      </c>
      <c r="T22" t="s">
        <v>271</v>
      </c>
    </row>
    <row r="23" spans="1:23" s="6" customFormat="1" x14ac:dyDescent="0.2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5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8</v>
      </c>
      <c r="O23" s="5"/>
      <c r="P23" s="5"/>
      <c r="Q23" s="5">
        <v>1</v>
      </c>
      <c r="R23" s="5"/>
      <c r="S23" s="5"/>
      <c r="T23" s="5">
        <v>2145</v>
      </c>
      <c r="U23" s="5"/>
      <c r="V23" s="6" t="s">
        <v>248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0</v>
      </c>
      <c r="H26" s="6">
        <v>2</v>
      </c>
      <c r="K26" s="6">
        <v>0</v>
      </c>
      <c r="N26" s="6">
        <v>4</v>
      </c>
      <c r="Q26" s="6">
        <v>5</v>
      </c>
      <c r="T26" s="6">
        <v>1840</v>
      </c>
    </row>
    <row r="27" spans="1:23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2</v>
      </c>
      <c r="F27" s="5"/>
      <c r="G27" s="5"/>
      <c r="H27" s="5">
        <v>2</v>
      </c>
      <c r="I27" s="5"/>
      <c r="J27" s="5"/>
      <c r="K27" s="5">
        <v>0</v>
      </c>
      <c r="L27" s="5"/>
      <c r="M27" s="5"/>
      <c r="N27" s="5">
        <v>5</v>
      </c>
      <c r="O27" s="5"/>
      <c r="P27" s="5"/>
      <c r="Q27" s="5">
        <v>2</v>
      </c>
      <c r="R27" s="5"/>
      <c r="S27" s="5"/>
      <c r="T27" s="5">
        <v>1058</v>
      </c>
      <c r="U27" s="5"/>
    </row>
    <row r="28" spans="1:23" s="6" customFormat="1" x14ac:dyDescent="0.2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3</v>
      </c>
      <c r="O29" s="5"/>
      <c r="P29" s="5"/>
      <c r="Q29" s="5">
        <v>0</v>
      </c>
      <c r="R29" s="5"/>
      <c r="S29" s="5"/>
      <c r="T29" s="5">
        <v>1481</v>
      </c>
      <c r="U29" s="5"/>
    </row>
    <row r="30" spans="1:23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6</v>
      </c>
      <c r="H30" s="6">
        <v>4</v>
      </c>
      <c r="K30" s="6">
        <v>0</v>
      </c>
      <c r="N30" s="6">
        <v>3</v>
      </c>
      <c r="Q30" s="6">
        <v>1</v>
      </c>
      <c r="T30" s="6">
        <v>1457</v>
      </c>
    </row>
    <row r="31" spans="1:23" s="6" customFormat="1" x14ac:dyDescent="0.2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2</v>
      </c>
      <c r="O31" s="5"/>
      <c r="P31" s="5"/>
      <c r="Q31" s="5">
        <v>1</v>
      </c>
      <c r="R31" s="5"/>
      <c r="S31" s="5"/>
      <c r="T31" s="5">
        <v>1259</v>
      </c>
      <c r="U31" s="5"/>
    </row>
    <row r="32" spans="1:23" s="6" customFormat="1" x14ac:dyDescent="0.2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273</v>
      </c>
      <c r="B35" s="5" t="s">
        <v>41</v>
      </c>
      <c r="C35" s="5">
        <v>11</v>
      </c>
      <c r="D35" s="5"/>
      <c r="E35" s="5">
        <v>4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3</v>
      </c>
      <c r="O35" s="5"/>
      <c r="P35" s="5"/>
      <c r="Q35" s="5">
        <v>3</v>
      </c>
      <c r="R35" s="5"/>
      <c r="S35" s="5"/>
      <c r="T35" s="5">
        <v>1841</v>
      </c>
      <c r="U35" s="5"/>
    </row>
    <row r="36" spans="1:21" s="6" customFormat="1" x14ac:dyDescent="0.2">
      <c r="A36" s="6" t="s">
        <v>274</v>
      </c>
      <c r="B36" s="6" t="s">
        <v>275</v>
      </c>
      <c r="C36" s="6">
        <v>10</v>
      </c>
      <c r="D36"/>
      <c r="E36" s="6">
        <v>3</v>
      </c>
      <c r="F36"/>
      <c r="G36"/>
      <c r="H36" s="6">
        <v>2</v>
      </c>
      <c r="I36"/>
      <c r="J36"/>
      <c r="K36" s="6">
        <v>0</v>
      </c>
      <c r="L36"/>
      <c r="M36"/>
      <c r="N36" s="6">
        <v>4</v>
      </c>
      <c r="O36"/>
      <c r="P36"/>
      <c r="Q36" s="6">
        <v>0</v>
      </c>
      <c r="R36"/>
      <c r="S36"/>
      <c r="T36" s="6">
        <v>919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21</v>
      </c>
      <c r="H38">
        <f>SUM(H23:H37)</f>
        <v>13</v>
      </c>
      <c r="K38">
        <f>SUM(K23:K37)</f>
        <v>0</v>
      </c>
      <c r="N38">
        <f>SUM(N23:N37)</f>
        <v>32</v>
      </c>
      <c r="Q38">
        <f>SUM(Q23:Q37)</f>
        <v>13</v>
      </c>
      <c r="T38">
        <f>SUM(T23:T37)</f>
        <v>12000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4" sqref="B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243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33</v>
      </c>
      <c r="D4" t="s">
        <v>34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254</v>
      </c>
      <c r="D5" t="s">
        <v>36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37</v>
      </c>
      <c r="D6" t="s">
        <v>38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255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256</v>
      </c>
      <c r="D8" t="s">
        <v>35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253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39</v>
      </c>
      <c r="D12" t="s">
        <v>40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41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56</v>
      </c>
      <c r="D14" t="s">
        <v>57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44</v>
      </c>
      <c r="D15" t="s">
        <v>45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61</v>
      </c>
      <c r="D16" t="s">
        <v>62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54</v>
      </c>
      <c r="D17" t="s">
        <v>55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60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63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64</v>
      </c>
      <c r="D20" t="s">
        <v>65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42</v>
      </c>
      <c r="D21" t="s">
        <v>43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58</v>
      </c>
      <c r="D22" t="s">
        <v>59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48</v>
      </c>
      <c r="D23" t="s">
        <v>49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46</v>
      </c>
      <c r="D24" t="s">
        <v>47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52</v>
      </c>
      <c r="D25" t="s">
        <v>53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50</v>
      </c>
      <c r="D26" t="s">
        <v>51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66</v>
      </c>
      <c r="D27" t="s">
        <v>257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72</v>
      </c>
      <c r="D28" t="s">
        <v>73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81</v>
      </c>
      <c r="D29" t="s">
        <v>82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74</v>
      </c>
      <c r="D30" t="s">
        <v>75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258</v>
      </c>
      <c r="D31" t="s">
        <v>67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68</v>
      </c>
      <c r="D32" t="s">
        <v>69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78</v>
      </c>
      <c r="D33" t="s">
        <v>79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80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76</v>
      </c>
      <c r="D35" t="s">
        <v>77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83</v>
      </c>
      <c r="D36" t="s">
        <v>84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70</v>
      </c>
      <c r="D37" t="s">
        <v>71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85</v>
      </c>
      <c r="D38" t="s">
        <v>86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94</v>
      </c>
      <c r="D39" t="s">
        <v>95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92</v>
      </c>
      <c r="D40" t="s">
        <v>93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96</v>
      </c>
      <c r="D41" t="s">
        <v>97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259</v>
      </c>
      <c r="D42" t="s">
        <v>102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90</v>
      </c>
      <c r="D43" t="s">
        <v>91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103</v>
      </c>
      <c r="D44" t="s">
        <v>104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87</v>
      </c>
      <c r="D45" t="s">
        <v>88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98</v>
      </c>
      <c r="D46" t="s">
        <v>99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105</v>
      </c>
      <c r="D47" t="s">
        <v>106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89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100</v>
      </c>
      <c r="D49" t="s">
        <v>101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113</v>
      </c>
      <c r="D51" t="s">
        <v>114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117</v>
      </c>
      <c r="D52" t="s">
        <v>118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48</v>
      </c>
      <c r="D53" t="s">
        <v>119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109</v>
      </c>
      <c r="D54" t="s">
        <v>110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124</v>
      </c>
      <c r="D55" t="s">
        <v>125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111</v>
      </c>
      <c r="D56" t="s">
        <v>112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80</v>
      </c>
      <c r="D57" t="s">
        <v>121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126</v>
      </c>
      <c r="D58" t="s">
        <v>127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115</v>
      </c>
      <c r="D59" t="s">
        <v>116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128</v>
      </c>
      <c r="D60" t="s">
        <v>129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262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107</v>
      </c>
      <c r="D62" t="s">
        <v>108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233</v>
      </c>
      <c r="D63" t="s">
        <v>120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122</v>
      </c>
      <c r="D64" t="s">
        <v>123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134</v>
      </c>
      <c r="D65" t="s">
        <v>135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148</v>
      </c>
      <c r="D66" t="s">
        <v>149</v>
      </c>
      <c r="E66" s="7" t="s">
        <v>245</v>
      </c>
    </row>
    <row r="67" spans="1:5" x14ac:dyDescent="0.2">
      <c r="A67" t="s">
        <v>15</v>
      </c>
      <c r="B67" t="str">
        <f>A67&amp;COUNTIF($A$2:$A67,A67)</f>
        <v>Covington3</v>
      </c>
      <c r="C67" t="s">
        <v>150</v>
      </c>
      <c r="D67" t="s">
        <v>151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131</v>
      </c>
      <c r="D68" t="s">
        <v>132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141</v>
      </c>
      <c r="D69" t="s">
        <v>142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138</v>
      </c>
      <c r="D70" t="s">
        <v>139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130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136</v>
      </c>
      <c r="D72" t="s">
        <v>137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144</v>
      </c>
      <c r="D73" t="s">
        <v>145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140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74</v>
      </c>
      <c r="D75" t="s">
        <v>143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146</v>
      </c>
      <c r="D76" t="s">
        <v>147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48</v>
      </c>
      <c r="D77" t="s">
        <v>133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156</v>
      </c>
      <c r="D78" t="s">
        <v>157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164</v>
      </c>
      <c r="D79" t="s">
        <v>165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154</v>
      </c>
      <c r="D80" t="s">
        <v>155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153</v>
      </c>
      <c r="D81" t="s">
        <v>140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158</v>
      </c>
      <c r="D82" t="s">
        <v>159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166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263</v>
      </c>
      <c r="D84" t="s">
        <v>69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167</v>
      </c>
      <c r="D85" t="s">
        <v>168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264</v>
      </c>
      <c r="D86" t="s">
        <v>152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160</v>
      </c>
      <c r="D87" t="s">
        <v>161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162</v>
      </c>
      <c r="D88" t="s">
        <v>163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179</v>
      </c>
      <c r="D89" t="s">
        <v>180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61</v>
      </c>
      <c r="D90" t="s">
        <v>170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171</v>
      </c>
      <c r="D91" t="s">
        <v>172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90</v>
      </c>
      <c r="D92" t="s">
        <v>175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158</v>
      </c>
      <c r="D93" t="s">
        <v>57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251</v>
      </c>
      <c r="D94" t="s">
        <v>183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181</v>
      </c>
      <c r="D95" t="s">
        <v>182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80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178</v>
      </c>
      <c r="D97" t="s">
        <v>157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176</v>
      </c>
      <c r="D98" t="s">
        <v>177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61</v>
      </c>
      <c r="D99" t="s">
        <v>169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173</v>
      </c>
      <c r="D100" t="s">
        <v>174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186</v>
      </c>
      <c r="D101" t="s">
        <v>73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52</v>
      </c>
      <c r="D102" t="s">
        <v>184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66</v>
      </c>
      <c r="D103" t="s">
        <v>165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185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189</v>
      </c>
      <c r="D105" t="s">
        <v>190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191</v>
      </c>
      <c r="D106" t="s">
        <v>192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183</v>
      </c>
      <c r="D107" t="s">
        <v>188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193</v>
      </c>
      <c r="D108" t="s">
        <v>194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195</v>
      </c>
      <c r="D109" t="s">
        <v>190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187</v>
      </c>
      <c r="D110" t="s">
        <v>93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196</v>
      </c>
      <c r="D111" t="s">
        <v>48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197</v>
      </c>
      <c r="D112" t="s">
        <v>198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164</v>
      </c>
      <c r="D113" t="s">
        <v>199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164</v>
      </c>
      <c r="D114" t="s">
        <v>208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202</v>
      </c>
      <c r="D115" t="s">
        <v>203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204</v>
      </c>
      <c r="D116" t="s">
        <v>205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200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209</v>
      </c>
      <c r="D118" t="s">
        <v>210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265</v>
      </c>
      <c r="D119" t="s">
        <v>34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201</v>
      </c>
      <c r="D120" t="s">
        <v>140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206</v>
      </c>
      <c r="D121" t="s">
        <v>207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216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144</v>
      </c>
      <c r="D123" t="s">
        <v>211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266</v>
      </c>
      <c r="D124" t="s">
        <v>222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212</v>
      </c>
      <c r="D125" t="s">
        <v>213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216</v>
      </c>
      <c r="D126" t="s">
        <v>221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219</v>
      </c>
      <c r="D127" t="s">
        <v>220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223</v>
      </c>
      <c r="D128" t="s">
        <v>224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217</v>
      </c>
      <c r="D129" t="s">
        <v>218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214</v>
      </c>
      <c r="D130" t="s">
        <v>215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231</v>
      </c>
      <c r="D131" t="s">
        <v>232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183</v>
      </c>
      <c r="D132" t="s">
        <v>227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228</v>
      </c>
      <c r="D133" t="s">
        <v>229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236</v>
      </c>
      <c r="D134" t="s">
        <v>237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233</v>
      </c>
      <c r="D135" t="s">
        <v>234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137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225</v>
      </c>
      <c r="D137" t="s">
        <v>226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230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238</v>
      </c>
      <c r="D139" t="s">
        <v>218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235</v>
      </c>
      <c r="D140" t="s">
        <v>95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239</v>
      </c>
      <c r="D141" t="s">
        <v>240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74</v>
      </c>
      <c r="D142" t="s">
        <v>241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242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244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2021-07-24T17:09:18Z</dcterms:modified>
</cp:coreProperties>
</file>