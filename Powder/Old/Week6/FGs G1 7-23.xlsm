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F958CE50-9920-4F03-8EF7-D9111819E57A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H34" i="2"/>
  <c r="A25" i="1"/>
  <c r="B17" i="1"/>
  <c r="G15" i="2" s="1"/>
  <c r="C18" i="1"/>
  <c r="B13" i="1"/>
  <c r="G11" i="2" s="1"/>
  <c r="A8" i="1"/>
  <c r="F6" i="2" s="1"/>
  <c r="H35" i="2"/>
  <c r="C28" i="1"/>
  <c r="A5" i="1"/>
  <c r="A18" i="1"/>
  <c r="F16" i="2" s="1"/>
  <c r="B15" i="1"/>
  <c r="C12" i="1"/>
  <c r="H10" i="2" s="1"/>
  <c r="A10" i="1"/>
  <c r="F8" i="2" s="1"/>
  <c r="B7" i="1"/>
  <c r="G5" i="2" s="1"/>
  <c r="A24" i="1"/>
  <c r="F35" i="2"/>
  <c r="B33" i="1"/>
  <c r="G32" i="2" s="1"/>
  <c r="C30" i="1"/>
  <c r="H29" i="2" s="1"/>
  <c r="A28" i="1"/>
  <c r="F27" i="2" s="1"/>
  <c r="B25" i="1"/>
  <c r="B24" i="1"/>
  <c r="G23" i="2" s="1"/>
  <c r="A12" i="1"/>
  <c r="F10" i="2" s="1"/>
  <c r="A7" i="1"/>
  <c r="C27" i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B19" i="1"/>
  <c r="C16" i="1"/>
  <c r="H14" i="2" s="1"/>
  <c r="A14" i="1"/>
  <c r="F12" i="2" s="1"/>
  <c r="B11" i="1"/>
  <c r="G9" i="2" s="1"/>
  <c r="C8" i="1"/>
  <c r="H6" i="2" s="1"/>
  <c r="A6" i="1"/>
  <c r="F4" i="2" s="1"/>
  <c r="B37" i="1"/>
  <c r="G36" i="2" s="1"/>
  <c r="C34" i="1"/>
  <c r="A32" i="1"/>
  <c r="B29" i="1"/>
  <c r="G28" i="2" s="1"/>
  <c r="C26" i="1"/>
  <c r="H25" i="2" s="1"/>
  <c r="B5" i="1"/>
  <c r="G3" i="2" s="1"/>
  <c r="C9" i="1"/>
  <c r="H7" i="2" s="1"/>
  <c r="A33" i="1"/>
  <c r="F32" i="2" s="1"/>
  <c r="C14" i="1"/>
  <c r="C24" i="1"/>
  <c r="H23" i="2" s="1"/>
  <c r="B27" i="1"/>
  <c r="A17" i="1"/>
  <c r="F15" i="2" s="1"/>
  <c r="C11" i="1"/>
  <c r="H9" i="2" s="1"/>
  <c r="B6" i="1"/>
  <c r="G4" i="2" s="1"/>
  <c r="B32" i="1"/>
  <c r="G31" i="2" s="1"/>
  <c r="A27" i="1"/>
  <c r="F26" i="2" s="1"/>
  <c r="A19" i="1"/>
  <c r="B16" i="1"/>
  <c r="C13" i="1"/>
  <c r="A11" i="1"/>
  <c r="F9" i="2" s="1"/>
  <c r="B8" i="1"/>
  <c r="G6" i="2" s="1"/>
  <c r="A23" i="1"/>
  <c r="F22" i="2" s="1"/>
  <c r="A37" i="1"/>
  <c r="F36" i="2" s="1"/>
  <c r="B34" i="1"/>
  <c r="G33" i="2" s="1"/>
  <c r="C31" i="1"/>
  <c r="A29" i="1"/>
  <c r="B26" i="1"/>
  <c r="C17" i="1"/>
  <c r="H15" i="2" s="1"/>
  <c r="C5" i="1"/>
  <c r="H3" i="2" s="1"/>
  <c r="C6" i="1"/>
  <c r="H4" i="2" s="1"/>
  <c r="A16" i="1"/>
  <c r="F14" i="2" s="1"/>
  <c r="C10" i="1"/>
  <c r="B23" i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B10" i="1"/>
  <c r="C7" i="1"/>
  <c r="C23" i="1"/>
  <c r="H22" i="2" s="1"/>
  <c r="G35" i="2"/>
  <c r="C33" i="1"/>
  <c r="H32" i="2" s="1"/>
  <c r="A31" i="1"/>
  <c r="F30" i="2" s="1"/>
  <c r="B28" i="1"/>
  <c r="G27" i="2" s="1"/>
  <c r="F24" i="2"/>
  <c r="G34" i="2"/>
  <c r="F29" i="2"/>
  <c r="G26" i="2"/>
  <c r="G10" i="2"/>
  <c r="F34" i="2"/>
  <c r="H28" i="2"/>
  <c r="F17" i="2"/>
  <c r="G8" i="2"/>
  <c r="H30" i="2"/>
  <c r="F28" i="2"/>
  <c r="G25" i="2"/>
  <c r="G22" i="2"/>
  <c r="H27" i="2"/>
  <c r="F3" i="2"/>
  <c r="H33" i="2"/>
  <c r="G14" i="2"/>
  <c r="H5" i="2"/>
  <c r="H24" i="2"/>
  <c r="H8" i="2"/>
  <c r="F31" i="2"/>
  <c r="G13" i="2"/>
  <c r="H12" i="2"/>
  <c r="F23" i="2"/>
  <c r="G24" i="2"/>
  <c r="G17" i="2"/>
  <c r="H16" i="2"/>
  <c r="F13" i="2"/>
  <c r="F5" i="2"/>
  <c r="H11" i="2"/>
  <c r="G29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<sst xmlns="http://schemas.openxmlformats.org/spreadsheetml/2006/main" count="491" uniqueCount="278">
  <si>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</si>
  <si>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</si>
  <si>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</si>
  <si>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</si>
  <si>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</si>
  <si>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</si>
  <si>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</si>
  <si>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</si>
  <si>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</si>
  <si>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</si>
  <si>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</si>
  <si>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</si>
  <si>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</si>
  <si>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</si>
  <si>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</si>
  <si>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</si>
  <si>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</si>
  <si>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</si>
  <si>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</si>
  <si>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</si>
  <si>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</si>
  <si>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</si>
  <si>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</si>
  <si>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</si>
  <si>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</si>
  <si>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</si>
  <si>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</si>
  <si>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</si>
  <si>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</si>
  <si>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</si>
  <si>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</si>
  <si>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</si>
  <si>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</si>
  <si>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</si>
  <si>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</si>
  <si>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</si>
  <si>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</si>
  <si>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</si>
  <si>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</si>
  <si>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</si>
  <si>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</si>
  <si>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</si>
  <si>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</si>
  <si>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</si>
  <si>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</si>
  <si>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</si>
  <si>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</si>
  <si>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</si>
  <si>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</si>
  <si>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</si>
  <si>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</si>
  <si>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</si>
  <si>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</si>
  <si>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</si>
  <si>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</si>
  <si>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</si>
  <si>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</si>
  <si>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</si>
  <si>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</si>
  <si>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</si>
  <si>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</si>
  <si>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</si>
  <si>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</si>
  <si>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</si>
  <si>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</si>
  <si>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</si>
  <si>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</si>
  <si>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</si>
  <si>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</si>
  <si>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</si>
  <si>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</si>
  <si>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</si>
  <si>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</si>
  <si>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</si>
  <si>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</si>
  <si>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</si>
  <si>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</si>
  <si>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</si>
  <si>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</si>
  <si>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</si>
  <si>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</si>
  <si>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</si>
  <si>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</si>
  <si>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</si>
  <si>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</si>
  <si>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</si>
  <si>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</si>
  <si>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</si>
  <si>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</si>
  <si>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</si>
  <si>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</si>
  <si>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</si>
  <si>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</si>
  <si>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</si>
  <si>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</si>
  <si>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</si>
  <si>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</si>
  <si>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</si>
  <si>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</si>
  <si>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</si>
  <si>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</si>
  <si>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</si>
  <si>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</si>
  <si>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</si>
  <si>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</si>
  <si>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</si>
  <si>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</si>
  <si>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</si>
  <si>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</si>
  <si>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</si>
  <si>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</si>
  <si>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</si>
  <si>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</si>
  <si>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</si>
  <si>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</si>
  <si>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</si>
  <si>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</si>
  <si>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</si>
  <si>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</si>
  <si>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</si>
  <si>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</si>
  <si>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</si>
  <si>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</si>
  <si>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</si>
  <si>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</si>
  <si>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</si>
  <si>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</si>
  <si>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</si>
  <si>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</si>
  <si>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</si>
  <si>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</si>
  <si>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</si>
  <si>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</si>
  <si>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</si>
  <si>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</si>
  <si>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</si>
  <si>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</si>
  <si>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</si>
  <si>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</si>
  <si>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</si>
  <si>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</si>
  <si>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</si>
  <si>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</si>
  <si>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</si>
  <si>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</si>
  <si>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</si>
  <si>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</si>
  <si>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</si>
  <si>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</si>
  <si>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</si>
  <si>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</si>
  <si>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</si>
  <si>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</si>
  <si>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</si>
  <si>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</si>
  <si>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</si>
  <si>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</si>
  <si>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</si>
  <si>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</si>
  <si>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</si>
  <si>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</si>
  <si>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</si>
  <si>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</si>
  <si>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</si>
  <si>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</si>
  <si>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</si>
  <si>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</si>
  <si>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</si>
  <si>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</si>
  <si>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</si>
  <si>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</si>
  <si>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</si>
  <si>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</si>
  <si>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</si>
  <si>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</si>
  <si>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</si>
  <si>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</si>
  <si>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</si>
  <si>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</si>
  <si>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</si>
  <si>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</si>
  <si>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</si>
  <si>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</si>
  <si>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</si>
  <si>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</si>
  <si>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</si>
  <si>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</si>
  <si>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</si>
  <si>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</si>
  <si>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</si>
  <si>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</si>
  <si>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</si>
  <si>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</si>
  <si>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</si>
  <si>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</si>
  <si>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</si>
  <si>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</si>
  <si>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</si>
  <si>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</si>
  <si>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</si>
  <si>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</si>
  <si>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</si>
  <si>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</si>
  <si>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</si>
  <si>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</si>
  <si>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</si>
  <si>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</si>
  <si>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</si>
  <si>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</si>
  <si>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</si>
  <si>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</si>
  <si>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</si>
  <si>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</si>
  <si>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</si>
  <si>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</si>
  <si>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</si>
  <si>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</si>
  <si>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</si>
  <si>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</si>
  <si>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</si>
  <si>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</si>
  <si>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</si>
  <si>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</si>
  <si>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</si>
  <si>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</si>
  <si>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</si>
  <si>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</si>
  <si>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</si>
  <si>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</si>
  <si>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</si>
  <si>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</si>
  <si>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</si>
  <si>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</si>
  <si>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</si>
  <si>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</si>
  <si>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</si>
  <si>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</si>
  <si>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</si>
  <si>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</si>
  <si>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</si>
  <si>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</si>
  <si>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</si>
  <si>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</si>
  <si>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</si>
  <si>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</si>
  <si>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</si>
  <si>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</si>
  <si>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</si>
  <si>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</si>
  <si>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</si>
  <si>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</si>
  <si>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</si>
  <si>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</si>
  <si>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</si>
  <si>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</si>
  <si>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</si>
  <si>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</si>
  <si>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</si>
  <si>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</si>
  <si>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</si>
  <si>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</si>
  <si>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</si>
  <si>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</si>
  <si>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</si>
  <si>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</si>
  <si>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</si>
  <si>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</si>
  <si>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</si>
  <si>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</si>
  <si>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</si>
  <si>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</si>
  <si>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</si>
  <si>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</si>
  <si>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</si>
  <si>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</si>
  <si>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Tyrell</t>
  </si>
  <si>
    <t>Justin</t>
  </si>
  <si>
    <t>Harmon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</si>
</sst>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35" Type="http://schemas.openxmlformats.org/officeDocument/2006/relationships/ctrlProp" Target="../ctrlProps/ctrlProp432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25" Type="http://schemas.openxmlformats.org/officeDocument/2006/relationships/ctrlProp" Target="../ctrlProps/ctrlProp422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15" Type="http://schemas.openxmlformats.org/officeDocument/2006/relationships/ctrlProp" Target="../ctrlProps/ctrlProp412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20" workbookViewId="0">
      <selection activeCell="D20" sqref="D20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16</v>
      </c>
      <c r="F1" t="s">
        <v>9</v>
      </c>
      <c r="G1" t="str">
        <f>'Stats G1'!B3</f>
        <v>Drisdom</v>
      </c>
    </row>
    <row r="2" spans="2:12" x14ac:dyDescent="0.25">
      <c r="B2" t="str">
        <f>G1</f>
        <v>Drisdom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139</v>
      </c>
      <c r="C3" s="3" t="s">
        <v>15</v>
      </c>
      <c r="D3" s="4">
        <f>I37</f>
        <v>113</v>
      </c>
      <c r="F3" t="str">
        <f>'Stats G1'!A5</f>
        <v>Terrence</v>
      </c>
      <c r="G3" t="str">
        <f>'Stats G1'!B5</f>
        <v>Drisdom</v>
      </c>
      <c r="H3">
        <f>'Stats G1'!C5</f>
        <v>0</v>
      </c>
      <c r="I3">
        <f>'Stats G1'!H5*2+'Stats G1'!N5*3+'Stats G1'!T5</f>
        <v>19</v>
      </c>
      <c r="J3" t="str">
        <f>SUM('Stats G1'!N5+'Stats G1'!H5)&amp;"-"&amp;SUM('Stats G1'!E5+'Stats G1'!K5)</f>
        <v>8-16</v>
      </c>
      <c r="K3" t="str">
        <f>SUM('Stats G1'!N5)&amp;"-"&amp;SUM('Stats G1'!K5)</f>
        <v>3-6</v>
      </c>
      <c r="L3" t="str">
        <f>SUM('Stats G1'!T5)&amp;"-"&amp;SUM('Stats G1'!Q5)</f>
        <v>0-0</v>
      </c>
    </row>
    <row r="4" spans="2:12" x14ac:dyDescent="0.25">
      <c r="F4" t="str">
        <f>'Stats G1'!A6</f>
        <v>Shaun</v>
      </c>
      <c r="G4" t="str">
        <f>'Stats G1'!B6</f>
        <v>Green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5">
      <c r="F5" t="str">
        <f>'Stats G1'!A7</f>
        <v>Duane</v>
      </c>
      <c r="G5" t="str">
        <f>'Stats G1'!B7</f>
        <v>Brown</v>
      </c>
      <c r="H5">
        <f>'Stats G1'!C7</f>
        <v>2</v>
      </c>
      <c r="I5">
        <f>'Stats G1'!H7*2+'Stats G1'!N7*3+'Stats G1'!T7</f>
        <v>39</v>
      </c>
      <c r="J5" t="str">
        <f>SUM('Stats G1'!N7+'Stats G1'!H7)&amp;"-"&amp;SUM('Stats G1'!E7+'Stats G1'!K7)</f>
        <v>17-25</v>
      </c>
      <c r="K5" t="str">
        <f>SUM('Stats G1'!N7)&amp;"-"&amp;SUM('Stats G1'!K7)</f>
        <v>2-7</v>
      </c>
      <c r="L5" t="str">
        <f>SUM('Stats G1'!T7)&amp;"-"&amp;SUM('Stats G1'!Q7)</f>
        <v>3-4</v>
      </c>
    </row>
    <row r="6" spans="2:12" x14ac:dyDescent="0.25">
      <c r="F6" t="str">
        <f>'Stats G1'!A8</f>
        <v xml:space="preserve">Tre </v>
      </c>
      <c r="G6" t="str">
        <f>'Stats G1'!B8</f>
        <v>Smith</v>
      </c>
      <c r="H6">
        <f>'Stats G1'!C8</f>
        <v>3</v>
      </c>
      <c r="I6">
        <f>'Stats G1'!H8*2+'Stats G1'!N8*3+'Stats G1'!T8</f>
        <v>14</v>
      </c>
      <c r="J6" t="str">
        <f>SUM('Stats G1'!N8+'Stats G1'!H8)&amp;"-"&amp;SUM('Stats G1'!E8+'Stats G1'!K8)</f>
        <v>5-8</v>
      </c>
      <c r="K6" t="str">
        <f>SUM('Stats G1'!N8)&amp;"-"&amp;SUM('Stats G1'!K8)</f>
        <v>3-5</v>
      </c>
      <c r="L6" t="str">
        <f>SUM('Stats G1'!T8)&amp;"-"&amp;SUM('Stats G1'!Q8)</f>
        <v>1-1</v>
      </c>
    </row>
    <row r="7" spans="2:12" x14ac:dyDescent="0.25">
      <c r="F7" t="str">
        <f>'Stats G1'!A9</f>
        <v>Brekott</v>
      </c>
      <c r="G7" t="str">
        <f>'Stats G1'!B9</f>
        <v>Chapman</v>
      </c>
      <c r="H7">
        <f>'Stats G1'!C9</f>
        <v>6</v>
      </c>
      <c r="I7">
        <f>'Stats G1'!H9*2+'Stats G1'!N9*3+'Stats G1'!T9</f>
        <v>44</v>
      </c>
      <c r="J7" t="str">
        <f>SUM('Stats G1'!N9+'Stats G1'!H9)&amp;"-"&amp;SUM('Stats G1'!E9+'Stats G1'!K9)</f>
        <v>16-26</v>
      </c>
      <c r="K7" t="str">
        <f>SUM('Stats G1'!N9)&amp;"-"&amp;SUM('Stats G1'!K9)</f>
        <v>4-13</v>
      </c>
      <c r="L7" t="str">
        <f>SUM('Stats G1'!T9)&amp;"-"&amp;SUM('Stats G1'!Q9)</f>
        <v>8-8</v>
      </c>
    </row>
    <row r="8" spans="2:12" x14ac:dyDescent="0.25">
      <c r="F8" t="str">
        <f>'Stats G1'!A10</f>
        <v xml:space="preserve">Ronnie </v>
      </c>
      <c r="G8" t="str">
        <f>'Stats G1'!B10</f>
        <v>Price</v>
      </c>
      <c r="H8">
        <f>'Stats G1'!C10</f>
        <v>7</v>
      </c>
      <c r="I8">
        <f>'Stats G1'!H10*2+'Stats G1'!N10*3+'Stats G1'!T10</f>
        <v>0</v>
      </c>
      <c r="J8" t="str">
        <f>SUM('Stats G1'!N10+'Stats G1'!H10)&amp;"-"&amp;SUM('Stats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5">
      <c r="F9" t="str">
        <f>'Stats G1'!A11</f>
        <v xml:space="preserve">Isaiah </v>
      </c>
      <c r="G9" t="str">
        <f>'Stats G1'!B11</f>
        <v>Wright</v>
      </c>
      <c r="H9">
        <f>'Stats G1'!C11</f>
        <v>8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5">
      <c r="F10" t="str">
        <f>'Stats G1'!A12</f>
        <v>Tim</v>
      </c>
      <c r="G10" t="str">
        <f>'Stats G1'!B12</f>
        <v>Drisdom</v>
      </c>
      <c r="H10">
        <f>'Stats G1'!C12</f>
        <v>11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5">
      <c r="F11" t="str">
        <f>'Stats G1'!A13</f>
        <v>Dakarai</v>
      </c>
      <c r="G11" t="str">
        <f>'Stats G1'!B13</f>
        <v>Tucker</v>
      </c>
      <c r="H11">
        <f>'Stats G1'!C13</f>
        <v>14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5">
      <c r="F12" t="str">
        <f>'Stats G1'!A14</f>
        <v>AJ</v>
      </c>
      <c r="G12" t="str">
        <f>'Stats G1'!B14</f>
        <v>Hodges</v>
      </c>
      <c r="H12">
        <f>'Stats G1'!C14</f>
        <v>15</v>
      </c>
      <c r="I12">
        <f>'Stats G1'!H14*2+'Stats G1'!N14*3+'Stats G1'!T14</f>
        <v>13</v>
      </c>
      <c r="J12" t="str">
        <f>SUM('Stats G1'!N14+'Stats G1'!H14)&amp;"-"&amp;SUM('Stats G1'!E14+'Stats G1'!K14)</f>
        <v>5-14</v>
      </c>
      <c r="K12" t="str">
        <f>SUM('Stats G1'!N14)&amp;"-"&amp;SUM('Stats G1'!K14)</f>
        <v>2-5</v>
      </c>
      <c r="L12" t="str">
        <f>SUM('Stats G1'!T14)&amp;"-"&amp;SUM('Stats G1'!Q14)</f>
        <v>1-2</v>
      </c>
    </row>
    <row r="13" spans="2:12" x14ac:dyDescent="0.25">
      <c r="F13" t="str">
        <f>'Stats G1'!A15</f>
        <v>Makol</v>
      </c>
      <c r="G13" t="str">
        <f>'Stats G1'!B15</f>
        <v>Mawien</v>
      </c>
      <c r="H13">
        <f>'Stats G1'!C15</f>
        <v>34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5">
      <c r="F14" t="str">
        <f>'Stats G1'!A16</f>
        <v>Corbin</v>
      </c>
      <c r="G14" t="str">
        <f>'Stats G1'!B16</f>
        <v>Green</v>
      </c>
      <c r="H14">
        <f>'Stats G1'!C16</f>
        <v>98</v>
      </c>
      <c r="I14">
        <f>'Stats G1'!H16*2+'Stats G1'!N16*3+'Stats G1'!T16</f>
        <v>10</v>
      </c>
      <c r="J14" t="str">
        <f>SUM('Stats G1'!N16+'Stats G1'!H16)&amp;"-"&amp;SUM('Stats G1'!E16+'Stats G1'!K16)</f>
        <v>4-9</v>
      </c>
      <c r="K14" t="str">
        <f>SUM('Stats G1'!N16)&amp;"-"&amp;SUM('Stats G1'!K16)</f>
        <v>2-7</v>
      </c>
      <c r="L14" t="str">
        <f>SUM('Stats G1'!T16)&amp;"-"&amp;SUM('Stats G1'!Q16)</f>
        <v>0-0</v>
      </c>
    </row>
    <row r="15" spans="2:12" x14ac:dyDescent="0.25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5">
      <c r="H18" s="2" t="s">
        <v>14</v>
      </c>
      <c r="I18">
        <f>SUM(I3:I17)</f>
        <v>139</v>
      </c>
      <c r="J18" t="str">
        <f>SUM('Stats G1'!N20+'Stats G1'!H20)&amp;"-"&amp;SUM('Stats G1'!E20+'Stats G1'!K20)</f>
        <v>55-98</v>
      </c>
      <c r="K18" t="str">
        <f>SUM('Stats G1'!N20)&amp;"-"&amp;SUM('Stats G1'!K20)</f>
        <v>16-43</v>
      </c>
      <c r="L18" t="str">
        <f>SUM('Stats G1'!T20)&amp;"-"&amp;SUM('Stats G1'!Q20)</f>
        <v>13-15</v>
      </c>
    </row>
    <row r="20" spans="6:12" x14ac:dyDescent="0.25">
      <c r="F20" t="s">
        <v>13</v>
      </c>
      <c r="G20" t="str">
        <f>'Stats G1'!B21</f>
        <v>Humphries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G1'!H23*2+'Stats G1'!N23*3+'Stats G1'!T23</f>
        <v>44</v>
      </c>
      <c r="J22" t="str">
        <f>SUM('Stats G1'!N23+'Stats G1'!H23)&amp;"-"&amp;SUM('Stats G1'!E23+'Stats G1'!K23)</f>
        <v>15-30</v>
      </c>
      <c r="K22" t="str">
        <f>SUM('Stats G1'!N23)&amp;"-"&amp;SUM('Stats G1'!K23)</f>
        <v>5-13</v>
      </c>
      <c r="L22" t="str">
        <f>SUM('Stats G1'!T23)&amp;"-"&amp;SUM('Stats G1'!Q23)</f>
        <v>9-9</v>
      </c>
    </row>
    <row r="23" spans="6:12" x14ac:dyDescent="0.25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5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5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G1'!H26*2+'Stats G1'!N26*3+'Stats G1'!T26</f>
        <v>26</v>
      </c>
      <c r="J25" t="str">
        <f>SUM('Stats G1'!N26+'Stats G1'!H26)&amp;"-"&amp;SUM('Stats G1'!E26+'Stats G1'!K26)</f>
        <v>11-17</v>
      </c>
      <c r="K25" t="str">
        <f>SUM('Stats G1'!N26)&amp;"-"&amp;SUM('Stats G1'!K26)</f>
        <v>0-2</v>
      </c>
      <c r="L25" t="str">
        <f>SUM('Stats G1'!T26)&amp;"-"&amp;SUM('Stats G1'!Q26)</f>
        <v>4-4</v>
      </c>
    </row>
    <row r="26" spans="6:12" x14ac:dyDescent="0.25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G1'!H27*2+'Stats G1'!N27*3+'Stats G1'!T27</f>
        <v>2</v>
      </c>
      <c r="J26" t="str">
        <f>SUM('Stats G1'!N27+'Stats G1'!H27)&amp;"-"&amp;SUM('Stats G1'!E27+'Stats G1'!K27)</f>
        <v>1-3</v>
      </c>
      <c r="K26" t="str">
        <f>SUM('Stats G1'!N27)&amp;"-"&amp;SUM('Stats G1'!K27)</f>
        <v>0-2</v>
      </c>
      <c r="L26" t="str">
        <f>SUM('Stats G1'!T27)&amp;"-"&amp;SUM('Stats G1'!Q27)</f>
        <v>0-0</v>
      </c>
    </row>
    <row r="27" spans="6:12" x14ac:dyDescent="0.25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5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G1'!H29*2+'Stats G1'!N29*3+'Stats G1'!T29</f>
        <v>6</v>
      </c>
      <c r="J28" t="str">
        <f>SUM('Stats G1'!N29+'Stats G1'!H29)&amp;"-"&amp;SUM('Stats G1'!E29+'Stats G1'!K29)</f>
        <v>2-5</v>
      </c>
      <c r="K28" t="str">
        <f>SUM('Stats G1'!N29)&amp;"-"&amp;SUM('Stats G1'!K29)</f>
        <v>1-2</v>
      </c>
      <c r="L28" t="str">
        <f>SUM('Stats G1'!T29)&amp;"-"&amp;SUM('Stats G1'!Q29)</f>
        <v>1-2</v>
      </c>
    </row>
    <row r="29" spans="6:12" x14ac:dyDescent="0.25">
      <c r="F29" t="str">
        <f>'Stats G1'!A30</f>
        <v>Tyrell</v>
      </c>
      <c r="G29" t="str">
        <f>'Stats G1'!B30</f>
        <v>Corbin</v>
      </c>
      <c r="H29">
        <f>'Stats G1'!C30</f>
        <v>11</v>
      </c>
      <c r="I29">
        <f>'Stats G1'!H30*2+'Stats G1'!N30*3+'Stats G1'!T30</f>
        <v>17</v>
      </c>
      <c r="J29" t="str">
        <f>SUM('Stats G1'!N30+'Stats G1'!H30)&amp;"-"&amp;SUM('Stats G1'!E30+'Stats G1'!K30)</f>
        <v>8-15</v>
      </c>
      <c r="K29" t="str">
        <f>SUM('Stats G1'!N30)&amp;"-"&amp;SUM('Stats G1'!K30)</f>
        <v>1-5</v>
      </c>
      <c r="L29" t="str">
        <f>SUM('Stats G1'!T30)&amp;"-"&amp;SUM('Stats G1'!Q30)</f>
        <v>0-0</v>
      </c>
    </row>
    <row r="30" spans="6:12" x14ac:dyDescent="0.25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G1'!H31*2+'Stats G1'!N31*3+'Stats G1'!T31</f>
        <v>6</v>
      </c>
      <c r="J30" t="str">
        <f>SUM('Stats G1'!N31+'Stats G1'!H31)&amp;"-"&amp;SUM('Stats G1'!E31+'Stats G1'!K31)</f>
        <v>2-6</v>
      </c>
      <c r="K30" t="str">
        <f>SUM('Stats G1'!N31)&amp;"-"&amp;SUM('Stats G1'!K31)</f>
        <v>2-6</v>
      </c>
      <c r="L30" t="str">
        <f>SUM('Stats G1'!T31)&amp;"-"&amp;SUM('Stats G1'!Q31)</f>
        <v>0-0</v>
      </c>
    </row>
    <row r="31" spans="6:12" x14ac:dyDescent="0.25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5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5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5">
      <c r="F34" t="str">
        <f>'Stats G1'!A35</f>
        <v>Hunter</v>
      </c>
      <c r="G34" t="str">
        <f>'Stats G1'!B35</f>
        <v>Humphries</v>
      </c>
      <c r="H34">
        <f>'Stats G1'!C35</f>
        <v>11</v>
      </c>
      <c r="I34">
        <f>'Stats G1'!H35*2+'Stats G1'!N35*3+'Stats G1'!T35</f>
        <v>2</v>
      </c>
      <c r="J34" t="str">
        <f>SUM('Stats G1'!N35+'Stats G1'!H35)&amp;"-"&amp;SUM('Stats G1'!E35+'Stats G1'!K35)</f>
        <v>1-5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5">
      <c r="F35" t="str">
        <f>'Stats G1'!A36</f>
        <v>Justin</v>
      </c>
      <c r="G35" t="str">
        <f>'Stats G1'!B36</f>
        <v>Harmon</v>
      </c>
      <c r="H35">
        <f>'Stats G1'!C36</f>
        <v>10</v>
      </c>
      <c r="I35">
        <f>'Stats G1'!H36*2+'Stats G1'!N36*3+'Stats G1'!T36</f>
        <v>10</v>
      </c>
      <c r="J35" t="str">
        <f>SUM('Stats G1'!N36+'Stats G1'!H36)&amp;"-"&amp;SUM('Stats G1'!E36+'Stats G1'!K36)</f>
        <v>4-9</v>
      </c>
      <c r="K35" t="str">
        <f>SUM('Stats G1'!N36)&amp;"-"&amp;SUM('Stats G1'!K36)</f>
        <v>2-7</v>
      </c>
      <c r="L35" t="str">
        <f>SUM('Stats G1'!T36)&amp;"-"&amp;SUM('Stats G1'!Q36)</f>
        <v>0-0</v>
      </c>
    </row>
    <row r="36" spans="6:12" x14ac:dyDescent="0.25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5">
      <c r="H37" s="2" t="s">
        <v>14</v>
      </c>
      <c r="I37">
        <f>SUM(I22:I36)</f>
        <v>113</v>
      </c>
      <c r="J37" t="str">
        <f>SUM('Stats G1'!N38+'Stats G1'!H38)&amp;"-"&amp;SUM('Stats G1'!E38+'Stats G1'!K38)</f>
        <v>44-90</v>
      </c>
      <c r="K37" t="str">
        <f>SUM('Stats G1'!N38)&amp;"-"&amp;SUM('Stats G1'!K38)</f>
        <v>11-37</v>
      </c>
      <c r="L37" t="str">
        <f>SUM('Stats G1'!T38)&amp;"-"&amp;SUM('Stats G1'!Q38)</f>
        <v>14-15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2" workbookViewId="0">
      <selection activeCell="L36" sqref="L36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5"/>
    <row r="3" spans="1:21" x14ac:dyDescent="0.25">
      <c r="A3" s="2" t="s">
        <v>17</v>
      </c>
      <c r="B3" s="1" t="s">
        <v>27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10</v>
      </c>
      <c r="F5" s="5"/>
      <c r="G5" s="5"/>
      <c r="H5" s="5">
        <v>5</v>
      </c>
      <c r="I5" s="5"/>
      <c r="J5" s="5"/>
      <c r="K5" s="5">
        <v>6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18</v>
      </c>
      <c r="F7" s="5"/>
      <c r="G7" s="5"/>
      <c r="H7" s="5">
        <v>15</v>
      </c>
      <c r="I7" s="5"/>
      <c r="J7" s="5"/>
      <c r="K7" s="5">
        <v>7</v>
      </c>
      <c r="L7" s="5"/>
      <c r="M7" s="5"/>
      <c r="N7" s="5">
        <v>2</v>
      </c>
      <c r="O7" s="5"/>
      <c r="P7" s="5"/>
      <c r="Q7" s="5">
        <v>4</v>
      </c>
      <c r="R7" s="5"/>
      <c r="S7" s="5"/>
      <c r="T7" s="5">
        <v>3</v>
      </c>
      <c r="U7" s="5"/>
    </row>
    <row r="8" spans="1:21" s="6" customFormat="1" x14ac:dyDescent="0.25">
      <c r="A8" s="6" t="str">
        <f>_xlfn.IFNA(VLOOKUP($B$3&amp;ROWS($A$5:A8),Rosters!$B$2:$C$162,2,0),"?")</f>
        <v xml:space="preserve">Tre 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3</v>
      </c>
      <c r="H8" s="6">
        <v>2</v>
      </c>
      <c r="K8" s="6">
        <v>5</v>
      </c>
      <c r="N8" s="6">
        <v>3</v>
      </c>
      <c r="Q8" s="6">
        <v>1</v>
      </c>
      <c r="T8" s="6">
        <v>1</v>
      </c>
    </row>
    <row r="9" spans="1:21" s="6" customFormat="1" x14ac:dyDescent="0.25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13</v>
      </c>
      <c r="F9" s="5"/>
      <c r="G9" s="5"/>
      <c r="H9" s="5">
        <v>12</v>
      </c>
      <c r="I9" s="5"/>
      <c r="J9" s="5"/>
      <c r="K9" s="5">
        <v>13</v>
      </c>
      <c r="L9" s="5"/>
      <c r="M9" s="5"/>
      <c r="N9" s="5">
        <v>4</v>
      </c>
      <c r="O9" s="5"/>
      <c r="P9" s="5"/>
      <c r="Q9" s="5">
        <v>8</v>
      </c>
      <c r="R9" s="5"/>
      <c r="S9" s="5"/>
      <c r="T9" s="5">
        <v>8</v>
      </c>
      <c r="U9" s="5"/>
    </row>
    <row r="10" spans="1:21" s="6" customFormat="1" x14ac:dyDescent="0.25">
      <c r="A10" s="6" t="str">
        <f>_xlfn.IFNA(VLOOKUP($B$3&amp;ROWS($A$5:A10),Rosters!$B$2:$C$162,2,0),"?")</f>
        <v xml:space="preserve">Ronnie 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 xml:space="preserve">Isaiah 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5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5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9</v>
      </c>
      <c r="H14" s="6">
        <v>3</v>
      </c>
      <c r="K14" s="6">
        <v>5</v>
      </c>
      <c r="N14" s="6">
        <v>2</v>
      </c>
      <c r="Q14" s="6">
        <v>2</v>
      </c>
      <c r="T14" s="6">
        <v>1</v>
      </c>
    </row>
    <row r="15" spans="1:21" s="6" customFormat="1" x14ac:dyDescent="0.25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2</v>
      </c>
      <c r="H16" s="6">
        <v>2</v>
      </c>
      <c r="K16" s="6">
        <v>7</v>
      </c>
      <c r="N16" s="6">
        <v>2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55</v>
      </c>
      <c r="H20">
        <f>SUM(H5:H19)</f>
        <v>39</v>
      </c>
      <c r="K20">
        <f>SUM(K5:K19)</f>
        <v>43</v>
      </c>
      <c r="N20">
        <f>SUM(N5:N19)</f>
        <v>16</v>
      </c>
      <c r="Q20">
        <f>SUM(Q5:Q19)</f>
        <v>15</v>
      </c>
      <c r="T20">
        <f>SUM(T5:T19)</f>
        <v>13</v>
      </c>
    </row>
    <row r="21" spans="1:21" x14ac:dyDescent="0.25">
      <c r="A21" s="2" t="s">
        <v>18</v>
      </c>
      <c r="B21" s="1" t="s">
        <v>21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17</v>
      </c>
      <c r="F23" s="5"/>
      <c r="G23" s="5"/>
      <c r="H23" s="5">
        <v>10</v>
      </c>
      <c r="I23" s="5"/>
      <c r="J23" s="5"/>
      <c r="K23" s="5">
        <v>13</v>
      </c>
      <c r="L23" s="5"/>
      <c r="M23" s="5"/>
      <c r="N23" s="5">
        <v>5</v>
      </c>
      <c r="O23" s="5"/>
      <c r="P23" s="5"/>
      <c r="Q23" s="5">
        <v>9</v>
      </c>
      <c r="R23" s="5"/>
      <c r="S23" s="5"/>
      <c r="T23" s="5">
        <v>9</v>
      </c>
      <c r="U23" s="5"/>
    </row>
    <row r="24" spans="1:21" s="6" customFormat="1" x14ac:dyDescent="0.25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15</v>
      </c>
      <c r="H26" s="6">
        <v>11</v>
      </c>
      <c r="K26" s="6">
        <v>2</v>
      </c>
      <c r="N26" s="6">
        <v>0</v>
      </c>
      <c r="Q26" s="6">
        <v>4</v>
      </c>
      <c r="T26" s="6">
        <v>4</v>
      </c>
    </row>
    <row r="27" spans="1:21" s="6" customFormat="1" x14ac:dyDescent="0.25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3</v>
      </c>
      <c r="F29" s="5"/>
      <c r="G29" s="5"/>
      <c r="H29" s="5">
        <v>1</v>
      </c>
      <c r="I29" s="5"/>
      <c r="J29" s="5"/>
      <c r="K29" s="5">
        <v>2</v>
      </c>
      <c r="L29" s="5"/>
      <c r="M29" s="5"/>
      <c r="N29" s="5">
        <v>1</v>
      </c>
      <c r="O29" s="5"/>
      <c r="P29" s="5"/>
      <c r="Q29" s="5">
        <v>2</v>
      </c>
      <c r="R29" s="5"/>
      <c r="S29" s="5"/>
      <c r="T29" s="5">
        <v>1</v>
      </c>
      <c r="U29" s="5"/>
    </row>
    <row r="30" spans="1:21" s="6" customFormat="1" x14ac:dyDescent="0.25">
      <c r="A30" s="6" t="s">
        <v>275</v>
      </c>
      <c r="B30" s="6" t="s">
        <v>54</v>
      </c>
      <c r="C30" s="6">
        <f>_xlfn.IFNA(VLOOKUP($B$21&amp;ROWS($C$23:C30),Rosters!$B$2:$E$162,4,0),"")</f>
        <v>11</v>
      </c>
      <c r="E30" s="6">
        <v>10</v>
      </c>
      <c r="H30" s="6">
        <v>7</v>
      </c>
      <c r="K30" s="6">
        <v>5</v>
      </c>
      <c r="N30" s="6">
        <v>1</v>
      </c>
      <c r="Q30" s="6">
        <v>0</v>
      </c>
      <c r="T30" s="6">
        <v>0</v>
      </c>
    </row>
    <row r="31" spans="1:21" s="6" customFormat="1" x14ac:dyDescent="0.25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6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">
        <v>96</v>
      </c>
      <c r="B35" s="5" t="s">
        <v>21</v>
      </c>
      <c r="C35" s="5">
        <v>11</v>
      </c>
      <c r="D35" s="5"/>
      <c r="E35" s="5">
        <v>5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">
        <v>276</v>
      </c>
      <c r="B36" s="6" t="s">
        <v>277</v>
      </c>
      <c r="C36" s="6">
        <v>10</v>
      </c>
      <c r="D36"/>
      <c r="E36" s="6">
        <v>2</v>
      </c>
      <c r="F36"/>
      <c r="G36"/>
      <c r="H36" s="6">
        <v>2</v>
      </c>
      <c r="I36"/>
      <c r="J36"/>
      <c r="K36" s="6">
        <v>7</v>
      </c>
      <c r="L36"/>
      <c r="M36"/>
      <c r="N36" s="6">
        <v>2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53</v>
      </c>
      <c r="H38">
        <f>SUM(H23:H37)</f>
        <v>33</v>
      </c>
      <c r="K38">
        <f>SUM(K23:K37)</f>
        <v>37</v>
      </c>
      <c r="N38">
        <f>SUM(N23:N37)</f>
        <v>11</v>
      </c>
      <c r="Q38">
        <f>SUM(Q23:Q37)</f>
        <v>15</v>
      </c>
      <c r="T38">
        <f>SUM(T23:T37)</f>
        <v>14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5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5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5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5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5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5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5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5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5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5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5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5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5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5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5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5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5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5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5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5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5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5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5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5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5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5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5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5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5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5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5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5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5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5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5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5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5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5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5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5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5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5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5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5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5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5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5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5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5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5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5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5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5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5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5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5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5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5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5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5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5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5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5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5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5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5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5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5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5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5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5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5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5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5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5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5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5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5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5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5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5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5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5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5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5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5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5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5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5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5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5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5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5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5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5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5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5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5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5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5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5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5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5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5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5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5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5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5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5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5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5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5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5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5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5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5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5">
      <c r="A118" t="s">
        <v>20</v>
      </c>
      <c r="B118" t="str">
        <f>A118&amp;COUNTIF($A$2:$A118,A118)</f>
        <v>Berger7</v>
      </c>
      <c r="E118">
        <v>21</v>
      </c>
    </row>
    <row r="119" spans="1:5" x14ac:dyDescent="0.25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5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5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5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5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5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5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5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5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5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5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5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5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5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5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5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5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5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5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5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5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5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5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5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5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2021-07-24T05:25:15Z</dcterms:modified>
</cp:coreProperties>
</file>