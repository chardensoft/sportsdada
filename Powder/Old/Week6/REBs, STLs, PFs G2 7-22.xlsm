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6/"/>
    </mc:Choice>
  </mc:AlternateContent>
  <xr:revisionPtr revIDLastSave="0" documentId="13_ncr:1_{5B71CEF5-51E8-9847-A8C8-B4806485D611}" xr6:coauthVersionLast="47" xr6:coauthVersionMax="47" xr10:uidLastSave="{00000000-0000-0000-0000-000000000000}"/>
  <bookViews>
    <workbookView xWindow="8060" yWindow="500" windowWidth="2074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 s="1"/>
  <c r="L23" i="2"/>
  <c r="I24" i="2"/>
  <c r="J24" i="2"/>
  <c r="L24" i="2"/>
  <c r="I25" i="2"/>
  <c r="J25" i="2"/>
  <c r="K25" i="2" s="1"/>
  <c r="L25" i="2"/>
  <c r="I26" i="2"/>
  <c r="J26" i="2"/>
  <c r="L26" i="2"/>
  <c r="I27" i="2"/>
  <c r="J27" i="2"/>
  <c r="L27" i="2"/>
  <c r="I28" i="2"/>
  <c r="J28" i="2"/>
  <c r="K28" i="2" s="1"/>
  <c r="L28" i="2"/>
  <c r="I29" i="2"/>
  <c r="J29" i="2"/>
  <c r="L29" i="2"/>
  <c r="I30" i="2"/>
  <c r="J30" i="2"/>
  <c r="L30" i="2"/>
  <c r="I31" i="2"/>
  <c r="J31" i="2"/>
  <c r="L31" i="2"/>
  <c r="I32" i="2"/>
  <c r="J32" i="2"/>
  <c r="K32" i="2" s="1"/>
  <c r="L32" i="2"/>
  <c r="I33" i="2"/>
  <c r="K33" i="2" s="1"/>
  <c r="J33" i="2"/>
  <c r="L33" i="2"/>
  <c r="I34" i="2"/>
  <c r="J34" i="2"/>
  <c r="L34" i="2"/>
  <c r="I35" i="2"/>
  <c r="K35" i="2" s="1"/>
  <c r="J35" i="2"/>
  <c r="L35" i="2"/>
  <c r="I36" i="2"/>
  <c r="J36" i="2"/>
  <c r="K36" i="2"/>
  <c r="L36" i="2"/>
  <c r="L22" i="2"/>
  <c r="J22" i="2"/>
  <c r="K22" i="2" s="1"/>
  <c r="I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K7" i="2"/>
  <c r="K11" i="2"/>
  <c r="K15" i="2"/>
  <c r="I4" i="2"/>
  <c r="J4" i="2"/>
  <c r="I5" i="2"/>
  <c r="J5" i="2"/>
  <c r="K5" i="2" s="1"/>
  <c r="I6" i="2"/>
  <c r="J6" i="2"/>
  <c r="K6" i="2" s="1"/>
  <c r="I7" i="2"/>
  <c r="J7" i="2"/>
  <c r="I8" i="2"/>
  <c r="J8" i="2"/>
  <c r="I9" i="2"/>
  <c r="J9" i="2"/>
  <c r="K9" i="2" s="1"/>
  <c r="I10" i="2"/>
  <c r="J10" i="2"/>
  <c r="I11" i="2"/>
  <c r="J11" i="2"/>
  <c r="I12" i="2"/>
  <c r="J12" i="2"/>
  <c r="I13" i="2"/>
  <c r="J13" i="2"/>
  <c r="K13" i="2" s="1"/>
  <c r="I14" i="2"/>
  <c r="J14" i="2"/>
  <c r="I15" i="2"/>
  <c r="J15" i="2"/>
  <c r="I16" i="2"/>
  <c r="J16" i="2"/>
  <c r="K16" i="2" s="1"/>
  <c r="I17" i="2"/>
  <c r="J17" i="2"/>
  <c r="K17" i="2" s="1"/>
  <c r="J3" i="2"/>
  <c r="K3" i="2" s="1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34" i="2" l="1"/>
  <c r="K4" i="2"/>
  <c r="K31" i="2"/>
  <c r="K30" i="2"/>
  <c r="K29" i="2"/>
  <c r="K27" i="2"/>
  <c r="I37" i="2"/>
  <c r="D3" i="2" s="1"/>
  <c r="K26" i="2"/>
  <c r="L37" i="2"/>
  <c r="K24" i="2"/>
  <c r="L18" i="2"/>
  <c r="K10" i="2"/>
  <c r="K8" i="2"/>
  <c r="K14" i="2"/>
  <c r="K12" i="2"/>
  <c r="C25" i="1"/>
  <c r="H24" i="2" s="1"/>
  <c r="C32" i="1"/>
  <c r="H31" i="2" s="1"/>
  <c r="C29" i="1"/>
  <c r="H28" i="2" s="1"/>
  <c r="B33" i="1"/>
  <c r="G32" i="2" s="1"/>
  <c r="B6" i="1"/>
  <c r="G4" i="2" s="1"/>
  <c r="I18" i="2"/>
  <c r="B3" i="2" s="1"/>
  <c r="J18" i="2"/>
  <c r="C13" i="1"/>
  <c r="H11" i="2" s="1"/>
  <c r="B25" i="1"/>
  <c r="G24" i="2" s="1"/>
  <c r="F12" i="2"/>
  <c r="A6" i="1"/>
  <c r="F4" i="2" s="1"/>
  <c r="B13" i="1"/>
  <c r="G11" i="2" s="1"/>
  <c r="C5" i="1"/>
  <c r="H3" i="2" s="1"/>
  <c r="C12" i="1"/>
  <c r="H10" i="2" s="1"/>
  <c r="B24" i="1"/>
  <c r="G23" i="2" s="1"/>
  <c r="C35" i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H14" i="2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G12" i="2"/>
  <c r="A24" i="1"/>
  <c r="F23" i="2" s="1"/>
  <c r="A28" i="1"/>
  <c r="F27" i="2" s="1"/>
  <c r="B5" i="1"/>
  <c r="G3" i="2" s="1"/>
  <c r="C19" i="1"/>
  <c r="B35" i="1"/>
  <c r="G34" i="2" s="1"/>
  <c r="B27" i="1"/>
  <c r="G26" i="2" s="1"/>
  <c r="A12" i="1"/>
  <c r="F10" i="2" s="1"/>
  <c r="C18" i="1"/>
  <c r="B32" i="1"/>
  <c r="G31" i="2" s="1"/>
  <c r="A27" i="1"/>
  <c r="F26" i="2" s="1"/>
  <c r="A11" i="1"/>
  <c r="F9" i="2" s="1"/>
  <c r="C17" i="1"/>
  <c r="A32" i="1"/>
  <c r="F31" i="2" s="1"/>
  <c r="B17" i="1"/>
  <c r="G15" i="2" s="1"/>
  <c r="A17" i="1"/>
  <c r="F15" i="2" s="1"/>
  <c r="A9" i="1"/>
  <c r="F7" i="2" s="1"/>
  <c r="G14" i="2"/>
  <c r="B8" i="1"/>
  <c r="G6" i="2" s="1"/>
  <c r="H13" i="2"/>
  <c r="H5" i="2"/>
  <c r="B23" i="1"/>
  <c r="G22" i="2" s="1"/>
  <c r="C36" i="1"/>
  <c r="A34" i="1"/>
  <c r="F33" i="2" s="1"/>
  <c r="B31" i="1"/>
  <c r="G30" i="2" s="1"/>
  <c r="C28" i="1"/>
  <c r="H27" i="2" s="1"/>
  <c r="A26" i="1"/>
  <c r="F25" i="2" s="1"/>
  <c r="F13" i="2"/>
  <c r="A13" i="1"/>
  <c r="F11" i="2" s="1"/>
  <c r="C11" i="1"/>
  <c r="H9" i="2" s="1"/>
  <c r="A5" i="1"/>
  <c r="F3" i="2" s="1"/>
  <c r="B11" i="1"/>
  <c r="G9" i="2" s="1"/>
  <c r="C37" i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F14" i="2"/>
  <c r="A8" i="1"/>
  <c r="F6" i="2" s="1"/>
  <c r="G13" i="2"/>
  <c r="B7" i="1"/>
  <c r="G5" i="2" s="1"/>
  <c r="H12" i="2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K37" i="2" l="1"/>
  <c r="K18" i="2"/>
</calcChain>
</file>

<file path=xl/sharedStrings.xml><?xml version="1.0" encoding="utf-8"?>
<sst xmlns="http://schemas.openxmlformats.org/spreadsheetml/2006/main" count="492" uniqueCount="273">
  <si>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</si>
  <si>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</si>
  <si>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</si>
  <si>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</si>
  <si>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</si>
  <si>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</si>
  <si>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</si>
  <si>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</si>
  <si>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</si>
  <si>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</si>
  <si>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</si>
  <si>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</si>
  <si>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</si>
  <si>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</si>
  <si>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</si>
  <si>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</si>
  <si>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</si>
  <si>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</si>
  <si>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</si>
  <si>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</si>
  <si>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</si>
  <si>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</si>
  <si>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</si>
  <si>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</si>
  <si>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</si>
  <si>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</si>
  <si>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</si>
  <si>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</si>
  <si>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</si>
  <si>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</si>
  <si>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</si>
  <si>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</si>
  <si>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</si>
  <si>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</si>
  <si>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</si>
  <si>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</si>
  <si>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</si>
  <si>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</si>
  <si>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</si>
  <si>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</si>
  <si>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</si>
  <si>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</si>
  <si>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</si>
  <si>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</si>
  <si>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</si>
  <si>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</si>
  <si>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</si>
  <si>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</si>
  <si>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</si>
  <si>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</si>
  <si>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</si>
  <si>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</si>
  <si>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</si>
  <si>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</si>
  <si>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</si>
  <si>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</si>
  <si>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</si>
  <si>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</si>
  <si>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</si>
  <si>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</si>
  <si>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</si>
  <si>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</si>
  <si>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</si>
  <si>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</si>
  <si>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</si>
  <si>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</si>
  <si>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</si>
  <si>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</si>
  <si>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</si>
  <si>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</si>
  <si>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</si>
  <si>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</si>
  <si>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</si>
  <si>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</si>
  <si>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</si>
  <si>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</si>
  <si>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</si>
  <si>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</si>
  <si>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</si>
  <si>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</si>
  <si>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</si>
  <si>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</si>
  <si>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</si>
  <si>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</si>
  <si>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</si>
  <si>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</si>
  <si>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</si>
  <si>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</si>
  <si>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</si>
  <si>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</si>
  <si>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</si>
  <si>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</si>
  <si>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</si>
  <si>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</si>
  <si>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</si>
  <si>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</si>
  <si>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</si>
  <si>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</si>
  <si>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</si>
  <si>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</si>
  <si>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</si>
  <si>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</si>
  <si>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</si>
  <si>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</si>
  <si>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</si>
  <si>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</si>
  <si>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</si>
  <si>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</si>
  <si>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</si>
  <si>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</si>
  <si>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</si>
  <si>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</si>
  <si>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</si>
  <si>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</si>
  <si>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</si>
  <si>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</si>
  <si>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</si>
  <si>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</si>
  <si>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</si>
  <si>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</si>
  <si>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</si>
  <si>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</si>
  <si>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</si>
  <si>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</si>
  <si>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</si>
  <si>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</si>
  <si>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</si>
  <si>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</si>
  <si>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</si>
  <si>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</si>
  <si>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</si>
  <si>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</si>
  <si>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</si>
  <si>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</si>
  <si>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</si>
  <si>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</si>
  <si>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</si>
  <si>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</si>
  <si>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</si>
  <si>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</si>
  <si>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</si>
  <si>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</si>
  <si>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</si>
  <si>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</si>
  <si>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</si>
  <si>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</si>
  <si>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</si>
  <si>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</si>
  <si>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</si>
  <si>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</si>
  <si>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</si>
  <si>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</si>
  <si>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</si>
  <si>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</si>
  <si>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</si>
  <si>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</si>
  <si>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</si>
  <si>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</si>
  <si>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</si>
  <si>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</si>
  <si>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</si>
  <si>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</si>
  <si>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</si>
  <si>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</si>
  <si>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</si>
  <si>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</si>
  <si>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</si>
  <si>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</si>
  <si>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</si>
  <si>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</si>
  <si>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</si>
  <si>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</si>
  <si>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</si>
  <si>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</si>
  <si>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</si>
  <si>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</si>
  <si>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</si>
  <si>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</si>
  <si>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</si>
  <si>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</si>
  <si>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</si>
  <si>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</si>
  <si>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</si>
  <si>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</si>
  <si>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</si>
  <si>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</si>
  <si>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</si>
  <si>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</si>
  <si>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</si>
  <si>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</si>
  <si>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</si>
  <si>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</si>
  <si>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</si>
  <si>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</si>
  <si>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</si>
  <si>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</si>
  <si>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</si>
  <si>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</si>
  <si>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</si>
  <si>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</si>
  <si>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</si>
  <si>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</si>
  <si>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</si>
  <si>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</si>
  <si>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</si>
  <si>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</si>
  <si>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</si>
  <si>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</si>
  <si>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</si>
  <si>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</si>
  <si>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</si>
  <si>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</si>
  <si>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</si>
  <si>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</si>
  <si>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</si>
  <si>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</si>
  <si>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</si>
  <si>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</si>
  <si>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</si>
  <si>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</si>
  <si>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</si>
  <si>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</si>
  <si>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</si>
  <si>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</si>
  <si>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</si>
  <si>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</si>
  <si>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</si>
  <si>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</si>
  <si>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</si>
  <si>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</si>
  <si>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</si>
  <si>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</si>
  <si>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</si>
  <si>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</si>
  <si>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</si>
  <si>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</si>
  <si>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</si>
  <si>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</si>
  <si>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</si>
  <si>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</si>
  <si>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</si>
  <si>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</si>
  <si>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</si>
  <si>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</si>
  <si>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</si>
  <si>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</si>
  <si>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</si>
  <si>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</si>
  <si>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</si>
  <si>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</si>
  <si>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GAME 2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</si>
  <si>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</si>
  <si>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</si>
  <si>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</si>
  <si>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</si>
  <si>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</si>
  <si>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</si>
  <si>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</si>
  <si>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</si>
  <si>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</si>
  <si>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</si>
  <si>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</si>
  <si>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</si>
  <si>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</si>
  <si>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</si>
  <si>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</si>
  <si>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</si>
  <si>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</si>
  <si>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</si>
  <si>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Justin</t>
  </si>
  <si>
    <t>Harmon</t>
  </si>
  <si>
    <t>Tyrell</t>
  </si>
  <si>
    <t>Jenkins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</si>
</sst>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20" workbookViewId="0">
      <selection activeCell="E29" sqref="E2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250</v>
      </c>
      <c r="F1" t="s">
        <v>3</v>
      </c>
      <c r="G1" t="str">
        <f>'Stats G2'!B3</f>
        <v>Fulton</v>
      </c>
    </row>
    <row r="2" spans="2:12" x14ac:dyDescent="0.2">
      <c r="B2" t="str">
        <f>G1</f>
        <v>Fulton</v>
      </c>
      <c r="D2" t="str">
        <f>G20</f>
        <v>Arok</v>
      </c>
      <c r="F2" t="s">
        <v>1</v>
      </c>
      <c r="G2" t="s">
        <v>2</v>
      </c>
      <c r="H2" t="s">
        <v>0</v>
      </c>
      <c r="I2" t="s">
        <v>247</v>
      </c>
      <c r="J2" t="s">
        <v>248</v>
      </c>
      <c r="K2" t="s">
        <v>249</v>
      </c>
      <c r="L2" t="s">
        <v>246</v>
      </c>
    </row>
    <row r="3" spans="2:12" x14ac:dyDescent="0.2">
      <c r="B3">
        <f>I18</f>
        <v>7</v>
      </c>
      <c r="C3" s="3" t="s">
        <v>6</v>
      </c>
      <c r="D3" s="4">
        <f>I37</f>
        <v>20</v>
      </c>
      <c r="F3" t="str">
        <f>'Stats G2'!A5</f>
        <v>Connor</v>
      </c>
      <c r="G3" t="str">
        <f>'Stats G2'!B5</f>
        <v>Fulton</v>
      </c>
      <c r="H3">
        <f>'Stats G2'!C5</f>
        <v>1</v>
      </c>
      <c r="I3">
        <f>'Stats G2'!E5</f>
        <v>0</v>
      </c>
      <c r="J3">
        <f>'Stats G2'!H5</f>
        <v>0</v>
      </c>
      <c r="K3">
        <f>J3+I3</f>
        <v>0</v>
      </c>
      <c r="L3">
        <f>'Stats G2'!N5</f>
        <v>0</v>
      </c>
    </row>
    <row r="4" spans="2:12" x14ac:dyDescent="0.2">
      <c r="F4" t="str">
        <f>'Stats G2'!A6</f>
        <v>Tanner</v>
      </c>
      <c r="G4" t="str">
        <f>'Stats G2'!B6</f>
        <v>Nygren</v>
      </c>
      <c r="H4">
        <f>'Stats G2'!C6</f>
        <v>2</v>
      </c>
      <c r="I4">
        <f>'Stats G2'!E6</f>
        <v>1</v>
      </c>
      <c r="J4">
        <f>'Stats G2'!H6</f>
        <v>0</v>
      </c>
      <c r="K4">
        <f t="shared" ref="K4:K17" si="0">J4+I4</f>
        <v>1</v>
      </c>
      <c r="L4">
        <f>'Stats G2'!N6</f>
        <v>2</v>
      </c>
    </row>
    <row r="5" spans="2:12" x14ac:dyDescent="0.2">
      <c r="F5" t="str">
        <f>'Stats G2'!A7</f>
        <v>Conner</v>
      </c>
      <c r="G5" t="str">
        <f>'Stats G2'!B7</f>
        <v>Toolson</v>
      </c>
      <c r="H5">
        <f>'Stats G2'!C7</f>
        <v>0</v>
      </c>
      <c r="I5">
        <f>'Stats G2'!E7</f>
        <v>0</v>
      </c>
      <c r="J5">
        <f>'Stats G2'!H7</f>
        <v>2</v>
      </c>
      <c r="K5">
        <f t="shared" si="0"/>
        <v>2</v>
      </c>
      <c r="L5">
        <f>'Stats G2'!N7</f>
        <v>0</v>
      </c>
    </row>
    <row r="6" spans="2:12" x14ac:dyDescent="0.2">
      <c r="F6" t="str">
        <f>'Stats G2'!A8</f>
        <v>Dalton</v>
      </c>
      <c r="G6" t="str">
        <f>'Stats G2'!B8</f>
        <v>Nixon</v>
      </c>
      <c r="H6">
        <f>'Stats G2'!C8</f>
        <v>6</v>
      </c>
      <c r="I6">
        <f>'Stats G2'!E8</f>
        <v>0</v>
      </c>
      <c r="J6">
        <f>'Stats G2'!H8</f>
        <v>0</v>
      </c>
      <c r="K6">
        <f t="shared" si="0"/>
        <v>0</v>
      </c>
      <c r="L6">
        <f>'Stats G2'!N8</f>
        <v>0</v>
      </c>
    </row>
    <row r="7" spans="2:12" x14ac:dyDescent="0.2">
      <c r="F7" t="str">
        <f>'Stats G2'!A9</f>
        <v>Connor</v>
      </c>
      <c r="G7" t="str">
        <f>'Stats G2'!B9</f>
        <v>Harding</v>
      </c>
      <c r="H7">
        <f>'Stats G2'!C9</f>
        <v>11</v>
      </c>
      <c r="I7">
        <f>'Stats G2'!E9</f>
        <v>0</v>
      </c>
      <c r="J7">
        <f>'Stats G2'!H9</f>
        <v>0</v>
      </c>
      <c r="K7">
        <f t="shared" si="0"/>
        <v>0</v>
      </c>
      <c r="L7">
        <f>'Stats G2'!N9</f>
        <v>0</v>
      </c>
    </row>
    <row r="8" spans="2:12" x14ac:dyDescent="0.2">
      <c r="F8" t="str">
        <f>'Stats G2'!A10</f>
        <v>Colby</v>
      </c>
      <c r="G8" t="str">
        <f>'Stats G2'!B10</f>
        <v>Leifson</v>
      </c>
      <c r="H8">
        <f>'Stats G2'!C10</f>
        <v>13</v>
      </c>
      <c r="I8">
        <f>'Stats G2'!E10</f>
        <v>1</v>
      </c>
      <c r="J8">
        <f>'Stats G2'!H10</f>
        <v>3</v>
      </c>
      <c r="K8">
        <f t="shared" si="0"/>
        <v>4</v>
      </c>
      <c r="L8">
        <f>'Stats G2'!N10</f>
        <v>0</v>
      </c>
    </row>
    <row r="9" spans="2:12" x14ac:dyDescent="0.2">
      <c r="F9" t="str">
        <f>'Stats G2'!A11</f>
        <v>Ibe</v>
      </c>
      <c r="G9" t="str">
        <f>'Stats G2'!B11</f>
        <v>Gerlach</v>
      </c>
      <c r="H9">
        <f>'Stats G2'!C11</f>
        <v>20</v>
      </c>
      <c r="I9">
        <f>'Stats G2'!E11</f>
        <v>0</v>
      </c>
      <c r="J9">
        <f>'Stats G2'!H11</f>
        <v>0</v>
      </c>
      <c r="K9">
        <f t="shared" si="0"/>
        <v>0</v>
      </c>
      <c r="L9">
        <f>'Stats G2'!N11</f>
        <v>0</v>
      </c>
    </row>
    <row r="10" spans="2:12" x14ac:dyDescent="0.2">
      <c r="F10" t="str">
        <f>'Stats G2'!A12</f>
        <v>Trevor</v>
      </c>
      <c r="G10" t="str">
        <f>'Stats G2'!B12</f>
        <v>Thompson</v>
      </c>
      <c r="H10">
        <f>'Stats G2'!C12</f>
        <v>23</v>
      </c>
      <c r="I10">
        <f>'Stats G2'!E12</f>
        <v>2</v>
      </c>
      <c r="J10">
        <f>'Stats G2'!H12</f>
        <v>9</v>
      </c>
      <c r="K10">
        <f t="shared" si="0"/>
        <v>11</v>
      </c>
      <c r="L10">
        <f>'Stats G2'!N12</f>
        <v>2</v>
      </c>
    </row>
    <row r="11" spans="2:12" x14ac:dyDescent="0.2">
      <c r="F11" t="str">
        <f>'Stats G2'!A13</f>
        <v>Evan</v>
      </c>
      <c r="G11" t="str">
        <f>'Stats G2'!B13</f>
        <v>Troy</v>
      </c>
      <c r="H11">
        <f>'Stats G2'!C13</f>
        <v>24</v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G2'!N13</f>
        <v>0</v>
      </c>
    </row>
    <row r="12" spans="2:12" x14ac:dyDescent="0.2">
      <c r="F12" t="str">
        <f>'Stats G2'!A14</f>
        <v>Justin</v>
      </c>
      <c r="G12" t="str">
        <f>'Stats G2'!B14</f>
        <v>Harmon</v>
      </c>
      <c r="H12">
        <f>'Stats G2'!C14</f>
        <v>11</v>
      </c>
      <c r="I12">
        <f>'Stats G2'!E14</f>
        <v>2</v>
      </c>
      <c r="J12">
        <f>'Stats G2'!H14</f>
        <v>4</v>
      </c>
      <c r="K12">
        <f t="shared" si="0"/>
        <v>6</v>
      </c>
      <c r="L12">
        <f>'Stats G2'!N14</f>
        <v>3</v>
      </c>
    </row>
    <row r="13" spans="2:12" x14ac:dyDescent="0.2">
      <c r="F13" t="str">
        <f>'Stats G2'!A15</f>
        <v>Tyrell</v>
      </c>
      <c r="G13" t="str">
        <f>'Stats G2'!B15</f>
        <v>Corbin</v>
      </c>
      <c r="H13">
        <f>'Stats G2'!C15</f>
        <v>10</v>
      </c>
      <c r="I13">
        <f>'Stats G2'!E15</f>
        <v>0</v>
      </c>
      <c r="J13">
        <f>'Stats G2'!H15</f>
        <v>3</v>
      </c>
      <c r="K13">
        <f t="shared" si="0"/>
        <v>3</v>
      </c>
      <c r="L13">
        <f>'Stats G2'!N15</f>
        <v>0</v>
      </c>
    </row>
    <row r="14" spans="2:12" x14ac:dyDescent="0.2">
      <c r="F14" t="str">
        <f>'Stats G2'!A16</f>
        <v>David</v>
      </c>
      <c r="G14" t="str">
        <f>'Stats G2'!B16</f>
        <v>Jenkins</v>
      </c>
      <c r="H14">
        <f>'Stats G2'!C16</f>
        <v>5</v>
      </c>
      <c r="I14">
        <f>'Stats G2'!E16</f>
        <v>1</v>
      </c>
      <c r="J14">
        <f>'Stats G2'!H16</f>
        <v>8</v>
      </c>
      <c r="K14">
        <f t="shared" si="0"/>
        <v>9</v>
      </c>
      <c r="L14">
        <f>'Stats G2'!N16</f>
        <v>4</v>
      </c>
    </row>
    <row r="15" spans="2:12" x14ac:dyDescent="0.2">
      <c r="F15" t="str">
        <f>'Stats G2'!A17</f>
        <v>?</v>
      </c>
      <c r="G15" t="str">
        <f>'Stats G2'!B17</f>
        <v>?</v>
      </c>
      <c r="I15">
        <f>'Stats G2'!E17</f>
        <v>0</v>
      </c>
      <c r="J15">
        <f>'Stats G2'!H17</f>
        <v>0</v>
      </c>
      <c r="K15">
        <f t="shared" si="0"/>
        <v>0</v>
      </c>
      <c r="L15">
        <f>'Stats G2'!N17</f>
        <v>0</v>
      </c>
    </row>
    <row r="16" spans="2:12" x14ac:dyDescent="0.2">
      <c r="F16" t="str">
        <f>'Stats G2'!A18</f>
        <v>?</v>
      </c>
      <c r="G16" t="str">
        <f>'Stats G2'!B18</f>
        <v>?</v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G2'!N18</f>
        <v>0</v>
      </c>
    </row>
    <row r="17" spans="6:12" x14ac:dyDescent="0.2">
      <c r="F17" t="str">
        <f>'Stats G2'!A19</f>
        <v>?</v>
      </c>
      <c r="G17" t="str">
        <f>'Stats G2'!B19</f>
        <v>?</v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G2'!N19</f>
        <v>0</v>
      </c>
    </row>
    <row r="18" spans="6:12" x14ac:dyDescent="0.2">
      <c r="H18" s="2" t="s">
        <v>5</v>
      </c>
      <c r="I18">
        <f>SUM(I3:I17)</f>
        <v>7</v>
      </c>
      <c r="J18">
        <f>SUM(J3:J17)</f>
        <v>29</v>
      </c>
      <c r="K18">
        <f>SUM(K3:K17)</f>
        <v>36</v>
      </c>
      <c r="L18">
        <f>SUM(L3:L17)</f>
        <v>11</v>
      </c>
    </row>
    <row r="20" spans="6:12" x14ac:dyDescent="0.2">
      <c r="F20" t="s">
        <v>4</v>
      </c>
      <c r="G20" t="str">
        <f>'Stats G2'!B21</f>
        <v>Arok</v>
      </c>
    </row>
    <row r="21" spans="6:12" x14ac:dyDescent="0.2">
      <c r="F21" t="s">
        <v>1</v>
      </c>
      <c r="G21" t="s">
        <v>2</v>
      </c>
      <c r="H21" t="s">
        <v>0</v>
      </c>
      <c r="I21" t="s">
        <v>247</v>
      </c>
      <c r="J21" t="s">
        <v>248</v>
      </c>
      <c r="K21" t="s">
        <v>249</v>
      </c>
      <c r="L21" t="s">
        <v>246</v>
      </c>
    </row>
    <row r="22" spans="6:12" x14ac:dyDescent="0.2">
      <c r="F22" t="str">
        <f>'Stats G2'!A23</f>
        <v>Dillon</v>
      </c>
      <c r="G22" t="str">
        <f>'Stats G2'!B23</f>
        <v>Jones</v>
      </c>
      <c r="H22">
        <f>'Stats G2'!C23</f>
        <v>1</v>
      </c>
      <c r="I22">
        <f>'Stats G2'!E23</f>
        <v>0</v>
      </c>
      <c r="J22">
        <f>'Stats G2'!H23</f>
        <v>0</v>
      </c>
      <c r="K22">
        <f>J22+I22</f>
        <v>0</v>
      </c>
      <c r="L22">
        <f>'Stats G2'!N23</f>
        <v>0</v>
      </c>
    </row>
    <row r="23" spans="6:12" x14ac:dyDescent="0.2">
      <c r="F23" t="str">
        <f>'Stats G2'!A24</f>
        <v>Mark</v>
      </c>
      <c r="G23" t="str">
        <f>'Stats G2'!B24</f>
        <v>Burton</v>
      </c>
      <c r="H23">
        <f>'Stats G2'!C24</f>
        <v>3</v>
      </c>
      <c r="I23">
        <f>'Stats G2'!E24</f>
        <v>0</v>
      </c>
      <c r="J23">
        <f>'Stats G2'!H24</f>
        <v>0</v>
      </c>
      <c r="K23">
        <f t="shared" ref="K23:K36" si="1">J23+I23</f>
        <v>0</v>
      </c>
      <c r="L23">
        <f>'Stats G2'!N24</f>
        <v>0</v>
      </c>
    </row>
    <row r="24" spans="6:12" x14ac:dyDescent="0.2">
      <c r="F24" t="str">
        <f>'Stats G2'!A25</f>
        <v>Cole</v>
      </c>
      <c r="G24" t="str">
        <f>'Stats G2'!B25</f>
        <v>Kadoguchi</v>
      </c>
      <c r="H24">
        <f>'Stats G2'!C25</f>
        <v>4</v>
      </c>
      <c r="I24">
        <f>'Stats G2'!E25</f>
        <v>2</v>
      </c>
      <c r="J24">
        <f>'Stats G2'!H25</f>
        <v>8</v>
      </c>
      <c r="K24">
        <f t="shared" si="1"/>
        <v>10</v>
      </c>
      <c r="L24">
        <f>'Stats G2'!N25</f>
        <v>1</v>
      </c>
    </row>
    <row r="25" spans="6:12" x14ac:dyDescent="0.2">
      <c r="F25" t="str">
        <f>'Stats G2'!A26</f>
        <v>Deng</v>
      </c>
      <c r="G25" t="str">
        <f>'Stats G2'!B26</f>
        <v>Mayar</v>
      </c>
      <c r="H25">
        <f>'Stats G2'!C26</f>
        <v>5</v>
      </c>
      <c r="I25">
        <f>'Stats G2'!E26</f>
        <v>0</v>
      </c>
      <c r="J25">
        <f>'Stats G2'!H26</f>
        <v>0</v>
      </c>
      <c r="K25">
        <f t="shared" si="1"/>
        <v>0</v>
      </c>
      <c r="L25">
        <f>'Stats G2'!N26</f>
        <v>0</v>
      </c>
    </row>
    <row r="26" spans="6:12" x14ac:dyDescent="0.2">
      <c r="F26" t="str">
        <f>'Stats G2'!A27</f>
        <v>Zach</v>
      </c>
      <c r="G26" t="str">
        <f>'Stats G2'!B27</f>
        <v>Cassita</v>
      </c>
      <c r="H26">
        <f>'Stats G2'!C27</f>
        <v>6</v>
      </c>
      <c r="I26">
        <f>'Stats G2'!E27</f>
        <v>0</v>
      </c>
      <c r="J26">
        <f>'Stats G2'!H27</f>
        <v>2</v>
      </c>
      <c r="K26">
        <f t="shared" si="1"/>
        <v>2</v>
      </c>
      <c r="L26">
        <f>'Stats G2'!N27</f>
        <v>1</v>
      </c>
    </row>
    <row r="27" spans="6:12" x14ac:dyDescent="0.2">
      <c r="F27" t="str">
        <f>'Stats G2'!A28</f>
        <v>Zues</v>
      </c>
      <c r="G27" t="str">
        <f>'Stats G2'!B28</f>
        <v>Martinez</v>
      </c>
      <c r="H27">
        <f>'Stats G2'!C28</f>
        <v>7</v>
      </c>
      <c r="I27">
        <f>'Stats G2'!E28</f>
        <v>6</v>
      </c>
      <c r="J27">
        <f>'Stats G2'!H28</f>
        <v>5</v>
      </c>
      <c r="K27">
        <f t="shared" si="1"/>
        <v>11</v>
      </c>
      <c r="L27">
        <f>'Stats G2'!N28</f>
        <v>4</v>
      </c>
    </row>
    <row r="28" spans="6:12" x14ac:dyDescent="0.2">
      <c r="F28" t="str">
        <f>'Stats G2'!A29</f>
        <v>Dom</v>
      </c>
      <c r="G28" t="str">
        <f>'Stats G2'!B29</f>
        <v>Philip</v>
      </c>
      <c r="H28">
        <f>'Stats G2'!C29</f>
        <v>8</v>
      </c>
      <c r="I28">
        <f>'Stats G2'!E29</f>
        <v>0</v>
      </c>
      <c r="J28">
        <f>'Stats G2'!H29</f>
        <v>0</v>
      </c>
      <c r="K28">
        <f t="shared" si="1"/>
        <v>0</v>
      </c>
      <c r="L28">
        <f>'Stats G2'!N29</f>
        <v>0</v>
      </c>
    </row>
    <row r="29" spans="6:12" x14ac:dyDescent="0.2">
      <c r="F29" t="str">
        <f>'Stats G2'!A30</f>
        <v>Gerad</v>
      </c>
      <c r="G29" t="str">
        <f>'Stats G2'!B30</f>
        <v>David</v>
      </c>
      <c r="H29">
        <f>'Stats G2'!C30</f>
        <v>14</v>
      </c>
      <c r="I29">
        <f>'Stats G2'!E30</f>
        <v>2</v>
      </c>
      <c r="J29">
        <f>'Stats G2'!H30</f>
        <v>3</v>
      </c>
      <c r="K29">
        <f t="shared" si="1"/>
        <v>5</v>
      </c>
      <c r="L29">
        <f>'Stats G2'!N30</f>
        <v>3</v>
      </c>
    </row>
    <row r="30" spans="6:12" x14ac:dyDescent="0.2">
      <c r="F30" t="str">
        <f>'Stats G2'!A31</f>
        <v>Trigga</v>
      </c>
      <c r="G30" t="str">
        <f>'Stats G2'!B31</f>
        <v>Trei</v>
      </c>
      <c r="H30">
        <f>'Stats G2'!C31</f>
        <v>17</v>
      </c>
      <c r="I30">
        <f>'Stats G2'!E31</f>
        <v>2</v>
      </c>
      <c r="J30">
        <f>'Stats G2'!H31</f>
        <v>4</v>
      </c>
      <c r="K30">
        <f t="shared" si="1"/>
        <v>6</v>
      </c>
      <c r="L30">
        <f>'Stats G2'!N31</f>
        <v>1</v>
      </c>
    </row>
    <row r="31" spans="6:12" x14ac:dyDescent="0.2">
      <c r="F31" t="str">
        <f>'Stats G2'!A32</f>
        <v>Lual</v>
      </c>
      <c r="G31" t="str">
        <f>'Stats G2'!B32</f>
        <v>Arok</v>
      </c>
      <c r="H31">
        <f>'Stats G2'!C32</f>
        <v>20</v>
      </c>
      <c r="I31">
        <f>'Stats G2'!E32</f>
        <v>4</v>
      </c>
      <c r="J31">
        <f>'Stats G2'!H32</f>
        <v>9</v>
      </c>
      <c r="K31">
        <f t="shared" si="1"/>
        <v>13</v>
      </c>
      <c r="L31">
        <f>'Stats G2'!N32</f>
        <v>3</v>
      </c>
    </row>
    <row r="32" spans="6:12" x14ac:dyDescent="0.2">
      <c r="F32" t="str">
        <f>'Stats G2'!A33</f>
        <v>Steven</v>
      </c>
      <c r="G32" t="str">
        <f>'Stats G2'!B33</f>
        <v>Adeyemi</v>
      </c>
      <c r="H32">
        <f>'Stats G2'!C33</f>
        <v>24</v>
      </c>
      <c r="I32">
        <f>'Stats G2'!E33</f>
        <v>0</v>
      </c>
      <c r="J32">
        <f>'Stats G2'!H33</f>
        <v>0</v>
      </c>
      <c r="K32">
        <f t="shared" si="1"/>
        <v>0</v>
      </c>
      <c r="L32">
        <f>'Stats G2'!N33</f>
        <v>0</v>
      </c>
    </row>
    <row r="33" spans="6:12" x14ac:dyDescent="0.2">
      <c r="F33" t="str">
        <f>'Stats G2'!A34</f>
        <v>Both</v>
      </c>
      <c r="G33" t="str">
        <f>'Stats G2'!B34</f>
        <v>Gach</v>
      </c>
      <c r="H33">
        <f>'Stats G2'!C34</f>
        <v>11</v>
      </c>
      <c r="I33">
        <f>'Stats G2'!E34</f>
        <v>4</v>
      </c>
      <c r="J33">
        <f>'Stats G2'!H34</f>
        <v>10</v>
      </c>
      <c r="K33">
        <f t="shared" si="1"/>
        <v>14</v>
      </c>
      <c r="L33">
        <f>'Stats G2'!N34</f>
        <v>1</v>
      </c>
    </row>
    <row r="34" spans="6:12" x14ac:dyDescent="0.2">
      <c r="F34" t="str">
        <f>'Stats G2'!A35</f>
        <v>?</v>
      </c>
      <c r="G34" t="str">
        <f>'Stats G2'!B35</f>
        <v>?</v>
      </c>
      <c r="I34">
        <f>'Stats G2'!E35</f>
        <v>0</v>
      </c>
      <c r="J34">
        <f>'Stats G2'!H35</f>
        <v>0</v>
      </c>
      <c r="K34">
        <f t="shared" si="1"/>
        <v>0</v>
      </c>
      <c r="L34">
        <f>'Stats G2'!N35</f>
        <v>0</v>
      </c>
    </row>
    <row r="35" spans="6:12" x14ac:dyDescent="0.2">
      <c r="F35" t="str">
        <f>'Stats G2'!A36</f>
        <v>?</v>
      </c>
      <c r="G35" t="str">
        <f>'Stats G2'!B36</f>
        <v>?</v>
      </c>
      <c r="I35">
        <f>'Stats G2'!E36</f>
        <v>0</v>
      </c>
      <c r="J35">
        <f>'Stats G2'!H36</f>
        <v>0</v>
      </c>
      <c r="K35">
        <f t="shared" si="1"/>
        <v>0</v>
      </c>
      <c r="L35">
        <f>'Stats G2'!N36</f>
        <v>0</v>
      </c>
    </row>
    <row r="36" spans="6:12" x14ac:dyDescent="0.2">
      <c r="F36" t="str">
        <f>'Stats G2'!A37</f>
        <v>?</v>
      </c>
      <c r="G36" t="str">
        <f>'Stats G2'!B37</f>
        <v>?</v>
      </c>
      <c r="I36">
        <f>'Stats G2'!E37</f>
        <v>0</v>
      </c>
      <c r="J36">
        <f>'Stats G2'!H37</f>
        <v>0</v>
      </c>
      <c r="K36">
        <f t="shared" si="1"/>
        <v>0</v>
      </c>
      <c r="L36">
        <f>'Stats G2'!N37</f>
        <v>0</v>
      </c>
    </row>
    <row r="37" spans="6:12" x14ac:dyDescent="0.2">
      <c r="H37" s="2" t="s">
        <v>5</v>
      </c>
      <c r="I37">
        <f>SUM(I22:I36)</f>
        <v>20</v>
      </c>
      <c r="J37">
        <f>SUM(J22:J36)</f>
        <v>41</v>
      </c>
      <c r="K37">
        <f>SUM(K22:K36)</f>
        <v>61</v>
      </c>
      <c r="L37">
        <f>SUM(L22:L36)</f>
        <v>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44" workbookViewId="0">
      <selection activeCell="N32" sqref="N32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19</v>
      </c>
    </row>
    <row r="4" spans="1:21" x14ac:dyDescent="0.2">
      <c r="A4" t="s">
        <v>1</v>
      </c>
      <c r="B4" t="s">
        <v>2</v>
      </c>
      <c r="C4" t="s">
        <v>0</v>
      </c>
      <c r="E4" t="s">
        <v>247</v>
      </c>
      <c r="H4" t="s">
        <v>248</v>
      </c>
      <c r="K4" t="s">
        <v>245</v>
      </c>
      <c r="N4" t="s">
        <v>246</v>
      </c>
    </row>
    <row r="5" spans="1:21" s="6" customFormat="1" x14ac:dyDescent="0.2">
      <c r="A5" s="5" t="str">
        <f>_xlfn.IFNA(VLOOKUP($B$3&amp;ROWS($A$5:A5),Rosters!$B$2:$C$162,2,0),"?")</f>
        <v>Connor</v>
      </c>
      <c r="B5" s="5" t="str">
        <f>_xlfn.IFNA(VLOOKUP($B$3&amp;ROWS($B$5:B5),Rosters!$B$2:$D$162,3,0),"?")</f>
        <v>Fulton</v>
      </c>
      <c r="C5" s="5">
        <f>_xlfn.IFNA(VLOOKUP($B$3&amp;ROWS($C$5:C5),Rosters!$B$2:$E$162,4,0),"")</f>
        <v>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Tanner</v>
      </c>
      <c r="B6" s="6" t="str">
        <f>_xlfn.IFNA(VLOOKUP($B$3&amp;ROWS($B$5:B6),Rosters!$B$2:$D$162,3,0),"?")</f>
        <v>Nygren</v>
      </c>
      <c r="C6" s="6">
        <f>_xlfn.IFNA(VLOOKUP($B$3&amp;ROWS($C$5:C6),Rosters!$B$2:$E$162,4,0),"")</f>
        <v>2</v>
      </c>
      <c r="E6" s="6">
        <v>1</v>
      </c>
      <c r="H6" s="6">
        <v>0</v>
      </c>
      <c r="K6" s="6">
        <v>0</v>
      </c>
      <c r="N6" s="6">
        <v>2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Conner</v>
      </c>
      <c r="B7" s="5" t="str">
        <f>_xlfn.IFNA(VLOOKUP($B$3&amp;ROWS($B$5:B7),Rosters!$B$2:$D$162,3,0),"?")</f>
        <v>Toolson</v>
      </c>
      <c r="C7" s="5">
        <v>0</v>
      </c>
      <c r="D7" s="5"/>
      <c r="E7" s="5">
        <v>0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Dalton</v>
      </c>
      <c r="B8" s="6" t="str">
        <f>_xlfn.IFNA(VLOOKUP($B$3&amp;ROWS($B$5:B8),Rosters!$B$2:$D$162,3,0),"?")</f>
        <v>Nixon</v>
      </c>
      <c r="C8" s="6">
        <f>_xlfn.IFNA(VLOOKUP($B$3&amp;ROWS($C$5:C8),Rosters!$B$2:$E$162,4,0),"")</f>
        <v>6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Connor</v>
      </c>
      <c r="B9" s="5" t="str">
        <f>_xlfn.IFNA(VLOOKUP($B$3&amp;ROWS($B$5:B9),Rosters!$B$2:$D$162,3,0),"?")</f>
        <v>Harding</v>
      </c>
      <c r="C9" s="5">
        <f>_xlfn.IFNA(VLOOKUP($B$3&amp;ROWS($C$5:C9),Rosters!$B$2:$E$162,4,0),"")</f>
        <v>11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Colby</v>
      </c>
      <c r="B10" s="6" t="str">
        <f>_xlfn.IFNA(VLOOKUP($B$3&amp;ROWS($B$5:B10),Rosters!$B$2:$D$162,3,0),"?")</f>
        <v>Leifson</v>
      </c>
      <c r="C10" s="6">
        <f>_xlfn.IFNA(VLOOKUP($B$3&amp;ROWS($C$5:C10),Rosters!$B$2:$E$162,4,0),"")</f>
        <v>13</v>
      </c>
      <c r="E10" s="6">
        <v>1</v>
      </c>
      <c r="H10" s="6">
        <v>3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Ibe</v>
      </c>
      <c r="B11" s="5" t="str">
        <f>_xlfn.IFNA(VLOOKUP($B$3&amp;ROWS($B$5:B11),Rosters!$B$2:$D$162,3,0),"?")</f>
        <v>Gerlach</v>
      </c>
      <c r="C11" s="5">
        <f>_xlfn.IFNA(VLOOKUP($B$3&amp;ROWS($C$5:C11),Rosters!$B$2:$E$162,4,0),"")</f>
        <v>20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Trevor</v>
      </c>
      <c r="B12" s="6" t="str">
        <f>_xlfn.IFNA(VLOOKUP($B$3&amp;ROWS($B$5:B12),Rosters!$B$2:$D$162,3,0),"?")</f>
        <v>Thompson</v>
      </c>
      <c r="C12" s="6">
        <f>_xlfn.IFNA(VLOOKUP($B$3&amp;ROWS($C$5:C12),Rosters!$B$2:$E$162,4,0),"")</f>
        <v>23</v>
      </c>
      <c r="E12" s="6">
        <v>2</v>
      </c>
      <c r="H12" s="6">
        <v>9</v>
      </c>
      <c r="K12" s="6">
        <v>0</v>
      </c>
      <c r="N12" s="6">
        <v>2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Evan</v>
      </c>
      <c r="B13" s="5" t="str">
        <f>_xlfn.IFNA(VLOOKUP($B$3&amp;ROWS($B$5:B13),Rosters!$B$2:$D$162,3,0),"?")</f>
        <v>Troy</v>
      </c>
      <c r="C13" s="5">
        <f>_xlfn.IFNA(VLOOKUP($B$3&amp;ROWS($C$5:C13),Rosters!$B$2:$E$162,4,0),"")</f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t="s">
        <v>269</v>
      </c>
      <c r="B14" t="s">
        <v>270</v>
      </c>
      <c r="C14">
        <v>11</v>
      </c>
      <c r="E14" s="6">
        <v>2</v>
      </c>
      <c r="H14" s="6">
        <v>4</v>
      </c>
      <c r="K14" s="6">
        <v>0</v>
      </c>
      <c r="N14" s="6">
        <v>3</v>
      </c>
      <c r="Q14" s="6">
        <v>0</v>
      </c>
      <c r="T14" s="6">
        <v>0</v>
      </c>
    </row>
    <row r="15" spans="1:21" s="6" customFormat="1" x14ac:dyDescent="0.2">
      <c r="A15" s="5" t="s">
        <v>271</v>
      </c>
      <c r="B15" s="5" t="s">
        <v>40</v>
      </c>
      <c r="C15" s="5">
        <v>10</v>
      </c>
      <c r="D15" s="5"/>
      <c r="E15" s="5">
        <v>0</v>
      </c>
      <c r="F15" s="5"/>
      <c r="G15" s="5"/>
      <c r="H15" s="5">
        <v>3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t="s">
        <v>98</v>
      </c>
      <c r="B16" t="s">
        <v>272</v>
      </c>
      <c r="C16">
        <v>5</v>
      </c>
      <c r="E16" s="6">
        <v>1</v>
      </c>
      <c r="H16" s="6">
        <v>8</v>
      </c>
      <c r="K16" s="6">
        <v>0</v>
      </c>
      <c r="N16" s="6">
        <v>4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7</v>
      </c>
      <c r="H20">
        <f>SUM(H5:H19)</f>
        <v>29</v>
      </c>
      <c r="K20">
        <f>SUM(K5:K19)</f>
        <v>0</v>
      </c>
      <c r="N20">
        <f>SUM(N5:N19)</f>
        <v>11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12</v>
      </c>
    </row>
    <row r="22" spans="1:21" x14ac:dyDescent="0.2">
      <c r="A22" t="s">
        <v>1</v>
      </c>
      <c r="B22" t="s">
        <v>2</v>
      </c>
      <c r="C22" t="s">
        <v>0</v>
      </c>
      <c r="E22" t="s">
        <v>247</v>
      </c>
      <c r="H22" t="s">
        <v>248</v>
      </c>
      <c r="K22" t="s">
        <v>245</v>
      </c>
      <c r="N22" t="s">
        <v>246</v>
      </c>
    </row>
    <row r="23" spans="1:21" s="6" customFormat="1" x14ac:dyDescent="0.2">
      <c r="A23" s="5" t="str">
        <f>_xlfn.IFNA(VLOOKUP($B$21&amp;ROWS($A$23:A23),Rosters!$B$2:$C$162,2,0),"?")</f>
        <v>Dillon</v>
      </c>
      <c r="B23" s="5" t="str">
        <f>_xlfn.IFNA(VLOOKUP($B$21&amp;ROWS($B$23:B23),Rosters!$B$2:$D$162,3,0),"?")</f>
        <v>Jones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Mark</v>
      </c>
      <c r="B24" s="6" t="str">
        <f>_xlfn.IFNA(VLOOKUP($B$21&amp;ROWS($B$23:B24),Rosters!$B$2:$D$162,3,0),"?")</f>
        <v>Burton</v>
      </c>
      <c r="C24" s="6">
        <f>_xlfn.IFNA(VLOOKUP($B$21&amp;ROWS($C$23:C24),Rosters!$B$2:$E$162,4,0),"")</f>
        <v>3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Cole</v>
      </c>
      <c r="B25" s="5" t="str">
        <f>_xlfn.IFNA(VLOOKUP($B$21&amp;ROWS($B$23:B25),Rosters!$B$2:$D$162,3,0),"?")</f>
        <v>Kadoguchi</v>
      </c>
      <c r="C25" s="5">
        <f>_xlfn.IFNA(VLOOKUP($B$21&amp;ROWS($C$23:C25),Rosters!$B$2:$E$162,4,0),"")</f>
        <v>4</v>
      </c>
      <c r="D25" s="5"/>
      <c r="E25" s="5">
        <v>2</v>
      </c>
      <c r="F25" s="5"/>
      <c r="G25" s="5"/>
      <c r="H25" s="5">
        <v>8</v>
      </c>
      <c r="I25" s="5"/>
      <c r="J25" s="5"/>
      <c r="K25" s="5">
        <v>0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Deng</v>
      </c>
      <c r="B26" s="6" t="str">
        <f>_xlfn.IFNA(VLOOKUP($B$21&amp;ROWS($B$23:B26),Rosters!$B$2:$D$162,3,0),"?")</f>
        <v>Mayar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Zach</v>
      </c>
      <c r="B27" s="5" t="str">
        <f>_xlfn.IFNA(VLOOKUP($B$21&amp;ROWS($B$23:B27),Rosters!$B$2:$D$162,3,0),"?")</f>
        <v>Cassita</v>
      </c>
      <c r="C27" s="5">
        <f>_xlfn.IFNA(VLOOKUP($B$21&amp;ROWS($C$23:C27),Rosters!$B$2:$E$162,4,0),"")</f>
        <v>6</v>
      </c>
      <c r="D27" s="5"/>
      <c r="E27" s="5">
        <v>0</v>
      </c>
      <c r="F27" s="5"/>
      <c r="G27" s="5"/>
      <c r="H27" s="5">
        <v>2</v>
      </c>
      <c r="I27" s="5"/>
      <c r="J27" s="5"/>
      <c r="K27" s="5">
        <v>0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Zues</v>
      </c>
      <c r="B28" s="6" t="str">
        <f>_xlfn.IFNA(VLOOKUP($B$21&amp;ROWS($B$23:B28),Rosters!$B$2:$D$162,3,0),"?")</f>
        <v>Martinez</v>
      </c>
      <c r="C28" s="6">
        <f>_xlfn.IFNA(VLOOKUP($B$21&amp;ROWS($C$23:C28),Rosters!$B$2:$E$162,4,0),"")</f>
        <v>7</v>
      </c>
      <c r="E28" s="6">
        <v>6</v>
      </c>
      <c r="H28" s="6">
        <v>5</v>
      </c>
      <c r="K28" s="6">
        <v>0</v>
      </c>
      <c r="N28" s="6">
        <v>4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Dom</v>
      </c>
      <c r="B29" s="5" t="str">
        <f>_xlfn.IFNA(VLOOKUP($B$21&amp;ROWS($B$23:B29),Rosters!$B$2:$D$162,3,0),"?")</f>
        <v>Philip</v>
      </c>
      <c r="C29" s="5">
        <f>_xlfn.IFNA(VLOOKUP($B$21&amp;ROWS($C$23:C29),Rosters!$B$2:$E$162,4,0),"")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Gerad</v>
      </c>
      <c r="B30" s="6" t="str">
        <f>_xlfn.IFNA(VLOOKUP($B$21&amp;ROWS($B$23:B30),Rosters!$B$2:$D$162,3,0),"?")</f>
        <v>David</v>
      </c>
      <c r="C30" s="6">
        <f>_xlfn.IFNA(VLOOKUP($B$21&amp;ROWS($C$23:C30),Rosters!$B$2:$E$162,4,0),"")</f>
        <v>14</v>
      </c>
      <c r="E30" s="6">
        <v>2</v>
      </c>
      <c r="H30" s="6">
        <v>3</v>
      </c>
      <c r="K30" s="6">
        <v>0</v>
      </c>
      <c r="N30" s="6">
        <v>3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Trigga</v>
      </c>
      <c r="B31" s="5" t="str">
        <f>_xlfn.IFNA(VLOOKUP($B$21&amp;ROWS($B$23:B31),Rosters!$B$2:$D$162,3,0),"?")</f>
        <v>Trei</v>
      </c>
      <c r="C31" s="5">
        <f>_xlfn.IFNA(VLOOKUP($B$21&amp;ROWS($C$23:C31),Rosters!$B$2:$E$162,4,0),"")</f>
        <v>17</v>
      </c>
      <c r="D31" s="5"/>
      <c r="E31" s="5">
        <v>2</v>
      </c>
      <c r="F31" s="5"/>
      <c r="G31" s="5"/>
      <c r="H31" s="5">
        <v>4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Lual</v>
      </c>
      <c r="B32" s="6" t="str">
        <f>_xlfn.IFNA(VLOOKUP($B$21&amp;ROWS($B$23:B32),Rosters!$B$2:$D$162,3,0),"?")</f>
        <v>Arok</v>
      </c>
      <c r="C32" s="6">
        <f>_xlfn.IFNA(VLOOKUP($B$21&amp;ROWS($C$23:C32),Rosters!$B$2:$E$162,4,0),"")</f>
        <v>20</v>
      </c>
      <c r="E32" s="6">
        <v>4</v>
      </c>
      <c r="H32" s="6">
        <v>9</v>
      </c>
      <c r="K32" s="6">
        <v>0</v>
      </c>
      <c r="N32" s="6">
        <v>3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Steven</v>
      </c>
      <c r="B33" s="5" t="str">
        <f>_xlfn.IFNA(VLOOKUP($B$21&amp;ROWS($B$23:B33),Rosters!$B$2:$D$162,3,0),"?")</f>
        <v>Adeyemi</v>
      </c>
      <c r="C33" s="5">
        <f>_xlfn.IFNA(VLOOKUP($B$21&amp;ROWS($C$23:C33),Rosters!$B$2:$E$162,4,0),"")</f>
        <v>24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Both</v>
      </c>
      <c r="B34" s="6" t="str">
        <f>_xlfn.IFNA(VLOOKUP($B$21&amp;ROWS($B$23:B34),Rosters!$B$2:$D$162,3,0),"?")</f>
        <v>Gach</v>
      </c>
      <c r="C34" s="6">
        <f>_xlfn.IFNA(VLOOKUP($B$21&amp;ROWS($C$23:C34),Rosters!$B$2:$E$162,4,0),"")</f>
        <v>11</v>
      </c>
      <c r="D34"/>
      <c r="E34" s="6">
        <v>4</v>
      </c>
      <c r="F34"/>
      <c r="G34"/>
      <c r="H34" s="6">
        <v>10</v>
      </c>
      <c r="I34"/>
      <c r="J34"/>
      <c r="K34" s="6">
        <v>0</v>
      </c>
      <c r="L34"/>
      <c r="M34"/>
      <c r="N34" s="6">
        <v>1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20</v>
      </c>
      <c r="H38">
        <f>SUM(H23:H37)</f>
        <v>41</v>
      </c>
      <c r="K38">
        <f>SUM(K23:K37)</f>
        <v>0</v>
      </c>
      <c r="N38">
        <f>SUM(N23:N37)</f>
        <v>14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B5" sqref="B5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242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32</v>
      </c>
      <c r="D4" t="s">
        <v>33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253</v>
      </c>
      <c r="D5" t="s">
        <v>35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36</v>
      </c>
      <c r="D6" t="s">
        <v>37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254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255</v>
      </c>
      <c r="D8" t="s">
        <v>34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252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38</v>
      </c>
      <c r="D12" t="s">
        <v>39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40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55</v>
      </c>
      <c r="D14" t="s">
        <v>56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43</v>
      </c>
      <c r="D15" t="s">
        <v>44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60</v>
      </c>
      <c r="D16" t="s">
        <v>61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53</v>
      </c>
      <c r="D17" t="s">
        <v>54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59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62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63</v>
      </c>
      <c r="D20" t="s">
        <v>64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41</v>
      </c>
      <c r="D21" t="s">
        <v>42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57</v>
      </c>
      <c r="D22" t="s">
        <v>58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47</v>
      </c>
      <c r="D23" t="s">
        <v>48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45</v>
      </c>
      <c r="D24" t="s">
        <v>46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51</v>
      </c>
      <c r="D25" t="s">
        <v>52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49</v>
      </c>
      <c r="D26" t="s">
        <v>50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65</v>
      </c>
      <c r="D27" t="s">
        <v>256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71</v>
      </c>
      <c r="D28" t="s">
        <v>72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80</v>
      </c>
      <c r="D29" t="s">
        <v>81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73</v>
      </c>
      <c r="D30" t="s">
        <v>74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257</v>
      </c>
      <c r="D31" t="s">
        <v>66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67</v>
      </c>
      <c r="D32" t="s">
        <v>68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77</v>
      </c>
      <c r="D33" t="s">
        <v>78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79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75</v>
      </c>
      <c r="D35" t="s">
        <v>76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82</v>
      </c>
      <c r="D36" t="s">
        <v>83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69</v>
      </c>
      <c r="D37" t="s">
        <v>70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84</v>
      </c>
      <c r="D38" t="s">
        <v>85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93</v>
      </c>
      <c r="D39" t="s">
        <v>94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91</v>
      </c>
      <c r="D40" t="s">
        <v>92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95</v>
      </c>
      <c r="D41" t="s">
        <v>96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258</v>
      </c>
      <c r="D42" t="s">
        <v>101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89</v>
      </c>
      <c r="D43" t="s">
        <v>90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102</v>
      </c>
      <c r="D44" t="s">
        <v>103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86</v>
      </c>
      <c r="D45" t="s">
        <v>87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97</v>
      </c>
      <c r="D46" t="s">
        <v>98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104</v>
      </c>
      <c r="D47" t="s">
        <v>105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88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99</v>
      </c>
      <c r="D49" t="s">
        <v>100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259</v>
      </c>
      <c r="D50" t="s">
        <v>260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112</v>
      </c>
      <c r="D51" t="s">
        <v>113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116</v>
      </c>
      <c r="D52" t="s">
        <v>117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47</v>
      </c>
      <c r="D53" t="s">
        <v>118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108</v>
      </c>
      <c r="D54" t="s">
        <v>109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123</v>
      </c>
      <c r="D55" t="s">
        <v>124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110</v>
      </c>
      <c r="D56" t="s">
        <v>111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79</v>
      </c>
      <c r="D57" t="s">
        <v>120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125</v>
      </c>
      <c r="D58" t="s">
        <v>126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114</v>
      </c>
      <c r="D59" t="s">
        <v>115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127</v>
      </c>
      <c r="D60" t="s">
        <v>128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261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106</v>
      </c>
      <c r="D62" t="s">
        <v>107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232</v>
      </c>
      <c r="D63" t="s">
        <v>119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121</v>
      </c>
      <c r="D64" t="s">
        <v>122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133</v>
      </c>
      <c r="D65" t="s">
        <v>134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147</v>
      </c>
      <c r="D66" t="s">
        <v>148</v>
      </c>
      <c r="E66" s="7" t="s">
        <v>244</v>
      </c>
    </row>
    <row r="67" spans="1:5" x14ac:dyDescent="0.2">
      <c r="A67" t="s">
        <v>14</v>
      </c>
      <c r="B67" t="str">
        <f>A67&amp;COUNTIF($A$2:$A67,A67)</f>
        <v>Covington3</v>
      </c>
      <c r="C67" t="s">
        <v>149</v>
      </c>
      <c r="D67" t="s">
        <v>150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130</v>
      </c>
      <c r="D68" t="s">
        <v>131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140</v>
      </c>
      <c r="D69" t="s">
        <v>141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137</v>
      </c>
      <c r="D70" t="s">
        <v>138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129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135</v>
      </c>
      <c r="D72" t="s">
        <v>136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143</v>
      </c>
      <c r="D73" t="s">
        <v>144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139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73</v>
      </c>
      <c r="D75" t="s">
        <v>142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145</v>
      </c>
      <c r="D76" t="s">
        <v>146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47</v>
      </c>
      <c r="D77" t="s">
        <v>132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155</v>
      </c>
      <c r="D78" t="s">
        <v>156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163</v>
      </c>
      <c r="D79" t="s">
        <v>164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153</v>
      </c>
      <c r="D80" t="s">
        <v>154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152</v>
      </c>
      <c r="D81" t="s">
        <v>139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157</v>
      </c>
      <c r="D82" t="s">
        <v>158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165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262</v>
      </c>
      <c r="D84" t="s">
        <v>68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166</v>
      </c>
      <c r="D85" t="s">
        <v>167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263</v>
      </c>
      <c r="D86" t="s">
        <v>151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159</v>
      </c>
      <c r="D87" t="s">
        <v>160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161</v>
      </c>
      <c r="D88" t="s">
        <v>162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178</v>
      </c>
      <c r="D89" t="s">
        <v>179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60</v>
      </c>
      <c r="D90" t="s">
        <v>169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170</v>
      </c>
      <c r="D91" t="s">
        <v>171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89</v>
      </c>
      <c r="D92" t="s">
        <v>174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157</v>
      </c>
      <c r="D93" t="s">
        <v>56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251</v>
      </c>
      <c r="D94" t="s">
        <v>182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180</v>
      </c>
      <c r="D95" t="s">
        <v>181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79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177</v>
      </c>
      <c r="D97" t="s">
        <v>156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175</v>
      </c>
      <c r="D98" t="s">
        <v>176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60</v>
      </c>
      <c r="D99" t="s">
        <v>168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172</v>
      </c>
      <c r="D100" t="s">
        <v>173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185</v>
      </c>
      <c r="D101" t="s">
        <v>72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51</v>
      </c>
      <c r="D102" t="s">
        <v>183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65</v>
      </c>
      <c r="D103" t="s">
        <v>164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184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188</v>
      </c>
      <c r="D105" t="s">
        <v>189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190</v>
      </c>
      <c r="D106" t="s">
        <v>191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182</v>
      </c>
      <c r="D107" t="s">
        <v>187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192</v>
      </c>
      <c r="D108" t="s">
        <v>193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194</v>
      </c>
      <c r="D109" t="s">
        <v>189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186</v>
      </c>
      <c r="D110" t="s">
        <v>92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195</v>
      </c>
      <c r="D111" t="s">
        <v>47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196</v>
      </c>
      <c r="D112" t="s">
        <v>197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163</v>
      </c>
      <c r="D113" t="s">
        <v>198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163</v>
      </c>
      <c r="D114" t="s">
        <v>207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201</v>
      </c>
      <c r="D115" t="s">
        <v>202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203</v>
      </c>
      <c r="D116" t="s">
        <v>204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199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208</v>
      </c>
      <c r="D118" t="s">
        <v>209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264</v>
      </c>
      <c r="D119" t="s">
        <v>33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200</v>
      </c>
      <c r="D120" t="s">
        <v>139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205</v>
      </c>
      <c r="D121" t="s">
        <v>206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215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143</v>
      </c>
      <c r="D123" t="s">
        <v>210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265</v>
      </c>
      <c r="D124" t="s">
        <v>221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211</v>
      </c>
      <c r="D125" t="s">
        <v>212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215</v>
      </c>
      <c r="D126" t="s">
        <v>220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218</v>
      </c>
      <c r="D127" t="s">
        <v>219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222</v>
      </c>
      <c r="D128" t="s">
        <v>223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216</v>
      </c>
      <c r="D129" t="s">
        <v>217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213</v>
      </c>
      <c r="D130" t="s">
        <v>214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230</v>
      </c>
      <c r="D131" t="s">
        <v>231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182</v>
      </c>
      <c r="D132" t="s">
        <v>226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227</v>
      </c>
      <c r="D133" t="s">
        <v>228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235</v>
      </c>
      <c r="D134" t="s">
        <v>236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232</v>
      </c>
      <c r="D135" t="s">
        <v>233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136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224</v>
      </c>
      <c r="D137" t="s">
        <v>225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229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237</v>
      </c>
      <c r="D139" t="s">
        <v>217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234</v>
      </c>
      <c r="D140" t="s">
        <v>94</v>
      </c>
      <c r="E140">
        <v>30</v>
      </c>
    </row>
    <row r="141" spans="1:5" x14ac:dyDescent="0.2">
      <c r="A141" t="s">
        <v>266</v>
      </c>
      <c r="B141" t="str">
        <f>A141&amp;COUNTIF($A$2:$A141,A141)</f>
        <v>Guest1</v>
      </c>
      <c r="C141" t="s">
        <v>238</v>
      </c>
      <c r="D141" t="s">
        <v>239</v>
      </c>
      <c r="E141">
        <v>2</v>
      </c>
    </row>
    <row r="142" spans="1:5" x14ac:dyDescent="0.2">
      <c r="A142" t="s">
        <v>266</v>
      </c>
      <c r="B142" t="str">
        <f>A142&amp;COUNTIF($A$2:$A142,A142)</f>
        <v>Guest2</v>
      </c>
      <c r="C142" t="s">
        <v>73</v>
      </c>
      <c r="D142" t="s">
        <v>240</v>
      </c>
      <c r="E142">
        <v>10</v>
      </c>
    </row>
    <row r="143" spans="1:5" x14ac:dyDescent="0.2">
      <c r="A143" t="s">
        <v>266</v>
      </c>
      <c r="B143" t="str">
        <f>A143&amp;COUNTIF($A$2:$A143,A143)</f>
        <v>Guest3</v>
      </c>
      <c r="C143" t="s">
        <v>267</v>
      </c>
      <c r="D143" t="s">
        <v>241</v>
      </c>
      <c r="E143">
        <v>19</v>
      </c>
    </row>
    <row r="144" spans="1:5" x14ac:dyDescent="0.2">
      <c r="A144" t="s">
        <v>266</v>
      </c>
      <c r="B144" t="str">
        <f>A144&amp;COUNTIF($A$2:$A144,A144)</f>
        <v>Guest4</v>
      </c>
      <c r="C144" t="s">
        <v>243</v>
      </c>
      <c r="D144" t="s">
        <v>268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2021-07-24T17:35:31Z</dcterms:modified>
</cp:coreProperties>
</file>