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21T151951Z-001/"/>
    </mc:Choice>
  </mc:AlternateContent>
  <xr:revisionPtr revIDLastSave="0" documentId="13_ncr:1_{1CDEC633-2CAA-814E-9254-DF13F19FDCA2}" xr6:coauthVersionLast="47" xr6:coauthVersionMax="47" xr10:uidLastSave="{00000000-0000-0000-0000-000000000000}"/>
  <bookViews>
    <workbookView xWindow="908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33" i="1" s="1"/>
  <c r="G32" i="2" s="1"/>
  <c r="B8" i="3"/>
  <c r="B7" i="3"/>
  <c r="B6" i="3"/>
  <c r="B5" i="3"/>
  <c r="B4" i="3"/>
  <c r="B3" i="3"/>
  <c r="B2" i="3"/>
  <c r="C29" i="1" s="1"/>
  <c r="H28" i="2" s="1"/>
  <c r="I23" i="2"/>
  <c r="J23" i="2"/>
  <c r="K23" i="2" s="1"/>
  <c r="L23" i="2"/>
  <c r="I24" i="2"/>
  <c r="J24" i="2"/>
  <c r="K24" i="2" s="1"/>
  <c r="L24" i="2"/>
  <c r="I25" i="2"/>
  <c r="J25" i="2"/>
  <c r="K25" i="2" s="1"/>
  <c r="L25" i="2"/>
  <c r="I26" i="2"/>
  <c r="J26" i="2"/>
  <c r="L26" i="2"/>
  <c r="I27" i="2"/>
  <c r="J27" i="2"/>
  <c r="K27" i="2" s="1"/>
  <c r="L27" i="2"/>
  <c r="I28" i="2"/>
  <c r="J28" i="2"/>
  <c r="K28" i="2" s="1"/>
  <c r="L28" i="2"/>
  <c r="I29" i="2"/>
  <c r="J29" i="2"/>
  <c r="L29" i="2"/>
  <c r="I30" i="2"/>
  <c r="J30" i="2"/>
  <c r="K30" i="2" s="1"/>
  <c r="L30" i="2"/>
  <c r="I31" i="2"/>
  <c r="J31" i="2"/>
  <c r="K31" i="2" s="1"/>
  <c r="L31" i="2"/>
  <c r="I32" i="2"/>
  <c r="J32" i="2"/>
  <c r="K32" i="2" s="1"/>
  <c r="L32" i="2"/>
  <c r="I33" i="2"/>
  <c r="J33" i="2"/>
  <c r="K33" i="2"/>
  <c r="L33" i="2"/>
  <c r="I34" i="2"/>
  <c r="K34" i="2" s="1"/>
  <c r="J34" i="2"/>
  <c r="L34" i="2"/>
  <c r="I35" i="2"/>
  <c r="J35" i="2"/>
  <c r="K35" i="2"/>
  <c r="L35" i="2"/>
  <c r="I36" i="2"/>
  <c r="J36" i="2"/>
  <c r="K36" i="2" s="1"/>
  <c r="L36" i="2"/>
  <c r="L22" i="2"/>
  <c r="J22" i="2"/>
  <c r="I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12" i="2"/>
  <c r="I4" i="2"/>
  <c r="J4" i="2"/>
  <c r="K4" i="2" s="1"/>
  <c r="I5" i="2"/>
  <c r="K5" i="2" s="1"/>
  <c r="J5" i="2"/>
  <c r="I6" i="2"/>
  <c r="J6" i="2"/>
  <c r="I7" i="2"/>
  <c r="J7" i="2"/>
  <c r="I8" i="2"/>
  <c r="J8" i="2"/>
  <c r="K8" i="2" s="1"/>
  <c r="I9" i="2"/>
  <c r="J9" i="2"/>
  <c r="I10" i="2"/>
  <c r="J10" i="2"/>
  <c r="I11" i="2"/>
  <c r="J11" i="2"/>
  <c r="I12" i="2"/>
  <c r="J12" i="2"/>
  <c r="I13" i="2"/>
  <c r="J13" i="2"/>
  <c r="K13" i="2" s="1"/>
  <c r="I14" i="2"/>
  <c r="K14" i="2" s="1"/>
  <c r="J14" i="2"/>
  <c r="I15" i="2"/>
  <c r="J15" i="2"/>
  <c r="K15" i="2" s="1"/>
  <c r="I16" i="2"/>
  <c r="J16" i="2"/>
  <c r="K16" i="2" s="1"/>
  <c r="I17" i="2"/>
  <c r="K17" i="2" s="1"/>
  <c r="J17" i="2"/>
  <c r="C32" i="1"/>
  <c r="H31" i="2" s="1"/>
  <c r="J3" i="2"/>
  <c r="I3" i="2"/>
  <c r="K3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11" i="2" l="1"/>
  <c r="K29" i="2"/>
  <c r="K26" i="2"/>
  <c r="L37" i="2"/>
  <c r="K22" i="2"/>
  <c r="I37" i="2"/>
  <c r="D3" i="2" s="1"/>
  <c r="K10" i="2"/>
  <c r="K9" i="2"/>
  <c r="L18" i="2"/>
  <c r="K7" i="2"/>
  <c r="K6" i="2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G11" i="2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F9" i="2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F11" i="2"/>
  <c r="C11" i="1"/>
  <c r="H9" i="2" s="1"/>
  <c r="A5" i="1"/>
  <c r="G9" i="2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F3" i="2"/>
  <c r="K37" i="2" l="1"/>
  <c r="K18" i="2"/>
</calcChain>
</file>

<file path=xl/sharedStrings.xml><?xml version="1.0" encoding="utf-8"?>
<sst xmlns="http://schemas.openxmlformats.org/spreadsheetml/2006/main" count="485" uniqueCount="272">
  <si>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</si>
  <si>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</si>
  <si>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</si>
  <si>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</si>
  <si>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</si>
  <si>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</si>
  <si>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</si>
  <si>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</si>
  <si>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</si>
  <si>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</si>
  <si>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</si>
  <si>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</si>
  <si>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</si>
  <si>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</si>
  <si>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</si>
  <si>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</si>
  <si>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</si>
  <si>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</si>
  <si>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</si>
  <si>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</si>
  <si>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</si>
  <si>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</si>
  <si>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</si>
  <si>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</si>
  <si>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</si>
  <si>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</si>
  <si>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</si>
  <si>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</si>
  <si>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</si>
  <si>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</si>
  <si>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</si>
  <si>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</si>
  <si>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</si>
  <si>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</si>
  <si>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</si>
  <si>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</si>
  <si>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</si>
  <si>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</si>
  <si>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</si>
  <si>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</si>
  <si>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</si>
  <si>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</si>
  <si>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</si>
  <si>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</si>
  <si>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</si>
  <si>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</si>
  <si>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</si>
  <si>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</si>
  <si>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</si>
  <si>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</si>
  <si>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</si>
  <si>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</si>
  <si>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</si>
  <si>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</si>
  <si>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</si>
  <si>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</si>
  <si>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</si>
  <si>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</si>
  <si>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</si>
  <si>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</si>
  <si>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</si>
  <si>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</si>
  <si>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</si>
  <si>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</si>
  <si>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</si>
  <si>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</si>
  <si>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</si>
  <si>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</si>
  <si>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</si>
  <si>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</si>
  <si>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</si>
  <si>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</si>
  <si>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</si>
  <si>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</si>
  <si>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</si>
  <si>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</si>
  <si>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</si>
  <si>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</si>
  <si>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</si>
  <si>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</si>
  <si>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</si>
  <si>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</si>
  <si>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</si>
  <si>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</si>
  <si>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</si>
  <si>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</si>
  <si>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</si>
  <si>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</si>
  <si>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</si>
  <si>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</si>
  <si>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</si>
  <si>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</si>
  <si>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</si>
  <si>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</si>
  <si>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</si>
  <si>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</si>
  <si>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</si>
  <si>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</si>
  <si>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</si>
  <si>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</si>
  <si>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</si>
  <si>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</si>
  <si>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</si>
  <si>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</si>
  <si>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</si>
  <si>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</si>
  <si>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</si>
  <si>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</si>
  <si>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</si>
  <si>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</si>
  <si>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</si>
  <si>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</si>
  <si>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</si>
  <si>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</si>
  <si>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</si>
  <si>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</si>
  <si>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</si>
  <si>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</si>
  <si>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</si>
  <si>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</si>
  <si>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</si>
  <si>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</si>
  <si>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</si>
  <si>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</si>
  <si>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</si>
  <si>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</si>
  <si>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</si>
  <si>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</si>
  <si>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</si>
  <si>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</si>
  <si>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</si>
  <si>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</si>
  <si>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</si>
  <si>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</si>
  <si>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</si>
  <si>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</si>
  <si>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</si>
  <si>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</si>
  <si>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</si>
  <si>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</si>
  <si>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</si>
  <si>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</si>
  <si>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</si>
  <si>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</si>
  <si>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</si>
  <si>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</si>
  <si>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</si>
  <si>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</si>
  <si>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</si>
  <si>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</si>
  <si>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</si>
  <si>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</si>
  <si>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</si>
  <si>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</si>
  <si>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</si>
  <si>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</si>
  <si>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</si>
  <si>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</si>
  <si>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</si>
  <si>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</si>
  <si>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</si>
  <si>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</si>
  <si>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</si>
  <si>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</si>
  <si>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</si>
  <si>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</si>
  <si>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</si>
  <si>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</si>
  <si>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</si>
  <si>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</si>
  <si>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</si>
  <si>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</si>
  <si>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</si>
  <si>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</si>
  <si>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</si>
  <si>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</si>
  <si>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</si>
  <si>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</si>
  <si>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</si>
  <si>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</si>
  <si>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</si>
  <si>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</si>
  <si>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</si>
  <si>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</si>
  <si>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</si>
  <si>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</si>
  <si>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</si>
  <si>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</si>
  <si>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</si>
  <si>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</si>
  <si>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</si>
  <si>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</si>
  <si>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</si>
  <si>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</si>
  <si>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</si>
  <si>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</si>
  <si>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</si>
  <si>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</si>
  <si>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</si>
  <si>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</si>
  <si>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</si>
  <si>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</si>
  <si>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</si>
  <si>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</si>
  <si>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</si>
  <si>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</si>
  <si>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</si>
  <si>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</si>
  <si>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</si>
  <si>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</si>
  <si>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</si>
  <si>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</si>
  <si>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</si>
  <si>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</si>
  <si>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</si>
  <si>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</si>
  <si>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</si>
  <si>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</si>
  <si>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</si>
  <si>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</si>
  <si>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</si>
  <si>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</si>
  <si>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</si>
  <si>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</si>
  <si>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</si>
  <si>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</si>
  <si>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</si>
  <si>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</si>
  <si>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</si>
  <si>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</si>
  <si>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</si>
  <si>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</si>
  <si>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</si>
  <si>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</si>
  <si>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</si>
  <si>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</si>
  <si>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</si>
  <si>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</si>
  <si>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</si>
  <si>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</si>
  <si>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</si>
  <si>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</si>
  <si>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</si>
  <si>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</si>
  <si>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</si>
  <si>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</si>
  <si>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</si>
  <si>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</si>
  <si>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</si>
  <si>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</si>
  <si>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</si>
  <si>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</si>
  <si>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</si>
  <si>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</si>
  <si>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</si>
  <si>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</si>
  <si>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</si>
  <si>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</si>
  <si>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</si>
  <si>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</si>
  <si>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</si>
  <si>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</si>
  <si>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</si>
  <si>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</si>
  <si>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</si>
  <si>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</si>
  <si>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</si>
  <si>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</si>
  <si>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</si>
  <si>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</si>
  <si>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Peter</t>
  </si>
  <si>
    <t>Nelson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</si>
</sst>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6" sqref="D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G1'!B3</f>
        <v>Berger</v>
      </c>
    </row>
    <row r="2" spans="2:12" x14ac:dyDescent="0.2">
      <c r="B2" t="str">
        <f>G1</f>
        <v>Berger</v>
      </c>
      <c r="D2" t="str">
        <f>G20</f>
        <v>Egan</v>
      </c>
      <c r="F2" t="s">
        <v>1</v>
      </c>
      <c r="G2" t="s">
        <v>2</v>
      </c>
      <c r="H2" t="s">
        <v>0</v>
      </c>
      <c r="I2" t="s">
        <v>266</v>
      </c>
      <c r="J2" t="s">
        <v>267</v>
      </c>
      <c r="K2" t="s">
        <v>268</v>
      </c>
      <c r="L2" t="s">
        <v>265</v>
      </c>
    </row>
    <row r="3" spans="2:12" x14ac:dyDescent="0.2">
      <c r="B3">
        <f>I18</f>
        <v>12</v>
      </c>
      <c r="C3" s="3" t="s">
        <v>6</v>
      </c>
      <c r="D3" s="4">
        <f>I37</f>
        <v>10</v>
      </c>
      <c r="F3" t="str">
        <f>'Stats G1'!A5</f>
        <v>Sam</v>
      </c>
      <c r="G3" t="str">
        <f>'Stats G1'!B5</f>
        <v>Orchard</v>
      </c>
      <c r="H3">
        <f>'Stats G1'!C5</f>
        <v>3</v>
      </c>
      <c r="I3">
        <f>'Stats G1'!E5</f>
        <v>2</v>
      </c>
      <c r="J3">
        <f>'Stats G1'!H5</f>
        <v>4</v>
      </c>
      <c r="K3">
        <f>J3+I3</f>
        <v>6</v>
      </c>
      <c r="L3">
        <f>'Stats G1'!N5</f>
        <v>3</v>
      </c>
    </row>
    <row r="4" spans="2:12" x14ac:dyDescent="0.2">
      <c r="F4" t="str">
        <f>'Stats G1'!A6</f>
        <v>Sam</v>
      </c>
      <c r="G4" t="str">
        <f>'Stats G1'!B6</f>
        <v>Merril</v>
      </c>
      <c r="H4">
        <f>'Stats G1'!C6</f>
        <v>5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G1'!N6</f>
        <v>0</v>
      </c>
    </row>
    <row r="5" spans="2:12" x14ac:dyDescent="0.2">
      <c r="F5" t="str">
        <f>'Stats G1'!A7</f>
        <v>Parker</v>
      </c>
      <c r="G5" t="str">
        <f>'Stats G1'!B7</f>
        <v>Van Dyke</v>
      </c>
      <c r="H5">
        <f>'Stats G1'!C7</f>
        <v>7</v>
      </c>
      <c r="I5">
        <f>'Stats G1'!E7</f>
        <v>0</v>
      </c>
      <c r="J5">
        <f>'Stats G1'!H7</f>
        <v>0</v>
      </c>
      <c r="K5">
        <f t="shared" si="0"/>
        <v>0</v>
      </c>
      <c r="L5">
        <f>'Stats G1'!N7</f>
        <v>0</v>
      </c>
    </row>
    <row r="6" spans="2:12" x14ac:dyDescent="0.2">
      <c r="F6" t="str">
        <f>'Stats G1'!A8</f>
        <v>Riley</v>
      </c>
      <c r="G6" t="str">
        <f>'Stats G1'!B8</f>
        <v>Battin</v>
      </c>
      <c r="H6">
        <f>'Stats G1'!C8</f>
        <v>11</v>
      </c>
      <c r="I6">
        <f>'Stats G1'!E8</f>
        <v>3</v>
      </c>
      <c r="J6">
        <f>'Stats G1'!H8</f>
        <v>3</v>
      </c>
      <c r="K6">
        <f t="shared" si="0"/>
        <v>6</v>
      </c>
      <c r="L6">
        <f>'Stats G1'!N8</f>
        <v>0</v>
      </c>
    </row>
    <row r="7" spans="2:12" x14ac:dyDescent="0.2">
      <c r="F7" t="str">
        <f>'Stats G1'!A9</f>
        <v>Danny</v>
      </c>
      <c r="G7" t="str">
        <f>'Stats G1'!B9</f>
        <v>Berger</v>
      </c>
      <c r="H7">
        <f>'Stats G1'!C9</f>
        <v>12</v>
      </c>
      <c r="I7">
        <f>'Stats G1'!E9</f>
        <v>1</v>
      </c>
      <c r="J7">
        <f>'Stats G1'!H9</f>
        <v>9</v>
      </c>
      <c r="K7">
        <f t="shared" si="0"/>
        <v>10</v>
      </c>
      <c r="L7">
        <f>'Stats G1'!N9</f>
        <v>1</v>
      </c>
    </row>
    <row r="8" spans="2:12" x14ac:dyDescent="0.2">
      <c r="F8" t="str">
        <f>'Stats G1'!A10</f>
        <v>Jalen</v>
      </c>
      <c r="G8" t="str">
        <f>'Stats G1'!B10</f>
        <v>Moore</v>
      </c>
      <c r="H8">
        <f>'Stats G1'!C10</f>
        <v>21</v>
      </c>
      <c r="I8">
        <f>'Stats G1'!E10</f>
        <v>0</v>
      </c>
      <c r="J8">
        <f>'Stats G1'!H10</f>
        <v>0</v>
      </c>
      <c r="K8">
        <f t="shared" si="0"/>
        <v>0</v>
      </c>
      <c r="L8">
        <f>'Stats G1'!N10</f>
        <v>0</v>
      </c>
    </row>
    <row r="9" spans="2:12" x14ac:dyDescent="0.2">
      <c r="F9" t="str">
        <f>'Stats G1'!A11</f>
        <v>Peter</v>
      </c>
      <c r="G9" t="str">
        <f>'Stats G1'!B11</f>
        <v>Brown</v>
      </c>
      <c r="H9">
        <f>'Stats G1'!C11</f>
        <v>21</v>
      </c>
      <c r="I9">
        <f>'Stats G1'!E11</f>
        <v>3</v>
      </c>
      <c r="J9">
        <f>'Stats G1'!H11</f>
        <v>4</v>
      </c>
      <c r="K9">
        <f t="shared" si="0"/>
        <v>7</v>
      </c>
      <c r="L9">
        <f>'Stats G1'!N11</f>
        <v>1</v>
      </c>
    </row>
    <row r="10" spans="2:12" x14ac:dyDescent="0.2">
      <c r="F10" t="str">
        <f>'Stats G1'!A12</f>
        <v>Zavon</v>
      </c>
      <c r="G10" t="str">
        <f>'Stats G1'!B12</f>
        <v>Jackson</v>
      </c>
      <c r="H10">
        <f>'Stats G1'!C12</f>
        <v>24</v>
      </c>
      <c r="I10">
        <f>'Stats G1'!E12</f>
        <v>2</v>
      </c>
      <c r="J10">
        <f>'Stats G1'!H12</f>
        <v>5</v>
      </c>
      <c r="K10">
        <f t="shared" si="0"/>
        <v>7</v>
      </c>
      <c r="L10">
        <f>'Stats G1'!N12</f>
        <v>3</v>
      </c>
    </row>
    <row r="11" spans="2:12" x14ac:dyDescent="0.2">
      <c r="F11" t="str">
        <f>'Stats G1'!A13</f>
        <v>Zach</v>
      </c>
      <c r="G11" t="str">
        <f>'Stats G1'!B13</f>
        <v>Nelson</v>
      </c>
      <c r="H11">
        <f>'Stats G1'!C13</f>
        <v>30</v>
      </c>
      <c r="I11">
        <f>'Stats G1'!E13</f>
        <v>1</v>
      </c>
      <c r="J11">
        <f>'Stats G1'!H13</f>
        <v>0</v>
      </c>
      <c r="K11">
        <f t="shared" si="0"/>
        <v>1</v>
      </c>
      <c r="L11">
        <f>'Stats G1'!N13</f>
        <v>4</v>
      </c>
    </row>
    <row r="12" spans="2:12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G1'!N14</f>
        <v>0</v>
      </c>
    </row>
    <row r="13" spans="2:12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G1'!N15</f>
        <v>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G1'!N16</f>
        <v>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G1'!N17</f>
        <v>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G1'!N18</f>
        <v>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G1'!N19</f>
        <v>0</v>
      </c>
    </row>
    <row r="18" spans="6:12" x14ac:dyDescent="0.2">
      <c r="H18" s="2" t="s">
        <v>5</v>
      </c>
      <c r="I18">
        <f>SUM(I3:I17)</f>
        <v>12</v>
      </c>
      <c r="J18">
        <f>SUM(J3:J17)</f>
        <v>25</v>
      </c>
      <c r="K18">
        <f>SUM(K3:K17)</f>
        <v>37</v>
      </c>
      <c r="L18">
        <f>SUM(L3:L17)</f>
        <v>12</v>
      </c>
    </row>
    <row r="20" spans="6:12" x14ac:dyDescent="0.2">
      <c r="F20" t="s">
        <v>4</v>
      </c>
      <c r="G20" t="str">
        <f>'Stats G1'!B21</f>
        <v>Egan</v>
      </c>
    </row>
    <row r="21" spans="6:12" x14ac:dyDescent="0.2">
      <c r="F21" t="s">
        <v>1</v>
      </c>
      <c r="G21" t="s">
        <v>2</v>
      </c>
      <c r="H21" t="s">
        <v>0</v>
      </c>
      <c r="I21" t="s">
        <v>266</v>
      </c>
      <c r="J21" t="s">
        <v>267</v>
      </c>
      <c r="K21" t="s">
        <v>268</v>
      </c>
      <c r="L21" t="s">
        <v>265</v>
      </c>
    </row>
    <row r="22" spans="6:12" x14ac:dyDescent="0.2">
      <c r="F22" t="str">
        <f>'Stats G1'!A23</f>
        <v>Steve</v>
      </c>
      <c r="G22" t="str">
        <f>'Stats G1'!B23</f>
        <v>Panos</v>
      </c>
      <c r="H22">
        <f>'Stats G1'!C23</f>
        <v>0</v>
      </c>
      <c r="I22">
        <f>'Stats G1'!E23</f>
        <v>5</v>
      </c>
      <c r="J22">
        <f>'Stats G1'!H23</f>
        <v>6</v>
      </c>
      <c r="K22">
        <f>J22+I22</f>
        <v>11</v>
      </c>
      <c r="L22">
        <f>'Stats G1'!N23</f>
        <v>1</v>
      </c>
    </row>
    <row r="23" spans="6:12" x14ac:dyDescent="0.2">
      <c r="F23" t="str">
        <f>'Stats G1'!A24</f>
        <v>James</v>
      </c>
      <c r="G23" t="str">
        <f>'Stats G1'!B24</f>
        <v>Walljasper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G1'!N24</f>
        <v>0</v>
      </c>
    </row>
    <row r="24" spans="6:12" x14ac:dyDescent="0.2">
      <c r="F24" t="str">
        <f>'Stats G1'!A25</f>
        <v>Drew</v>
      </c>
      <c r="G24" t="str">
        <f>'Stats G1'!B25</f>
        <v>Lokeni</v>
      </c>
      <c r="H24">
        <f>'Stats G1'!C25</f>
        <v>7</v>
      </c>
      <c r="I24">
        <f>'Stats G1'!E25</f>
        <v>0</v>
      </c>
      <c r="J24">
        <f>'Stats G1'!H25</f>
        <v>3</v>
      </c>
      <c r="K24">
        <f t="shared" si="1"/>
        <v>3</v>
      </c>
      <c r="L24">
        <f>'Stats G1'!N25</f>
        <v>2</v>
      </c>
    </row>
    <row r="25" spans="6:12" x14ac:dyDescent="0.2">
      <c r="F25" t="str">
        <f>'Stats G1'!A26</f>
        <v>Jeremy</v>
      </c>
      <c r="G25" t="str">
        <f>'Stats G1'!B26</f>
        <v>Dowdell</v>
      </c>
      <c r="H25">
        <f>'Stats G1'!C26</f>
        <v>8</v>
      </c>
      <c r="I25">
        <f>'Stats G1'!E26</f>
        <v>0</v>
      </c>
      <c r="J25">
        <f>'Stats G1'!H26</f>
        <v>0</v>
      </c>
      <c r="K25">
        <f t="shared" si="1"/>
        <v>0</v>
      </c>
      <c r="L25">
        <f>'Stats G1'!N26</f>
        <v>0</v>
      </c>
    </row>
    <row r="26" spans="6:12" x14ac:dyDescent="0.2">
      <c r="F26" t="str">
        <f>'Stats G1'!A27</f>
        <v>Caleb</v>
      </c>
      <c r="G26" t="str">
        <f>'Stats G1'!B27</f>
        <v>Leonhardt</v>
      </c>
      <c r="H26">
        <f>'Stats G1'!C27</f>
        <v>12</v>
      </c>
      <c r="I26">
        <f>'Stats G1'!E27</f>
        <v>2</v>
      </c>
      <c r="J26">
        <f>'Stats G1'!H27</f>
        <v>2</v>
      </c>
      <c r="K26">
        <f t="shared" si="1"/>
        <v>4</v>
      </c>
      <c r="L26">
        <f>'Stats G1'!N27</f>
        <v>2</v>
      </c>
    </row>
    <row r="27" spans="6:12" x14ac:dyDescent="0.2">
      <c r="F27" t="str">
        <f>'Stats G1'!A28</f>
        <v>Adam</v>
      </c>
      <c r="G27" t="str">
        <f>'Stats G1'!B28</f>
        <v>Egan</v>
      </c>
      <c r="H27">
        <f>'Stats G1'!C28</f>
        <v>13</v>
      </c>
      <c r="I27">
        <f>'Stats G1'!E28</f>
        <v>0</v>
      </c>
      <c r="J27">
        <f>'Stats G1'!H28</f>
        <v>1</v>
      </c>
      <c r="K27">
        <f t="shared" si="1"/>
        <v>1</v>
      </c>
      <c r="L27">
        <f>'Stats G1'!N28</f>
        <v>1</v>
      </c>
    </row>
    <row r="28" spans="6:12" x14ac:dyDescent="0.2">
      <c r="F28" t="str">
        <f>'Stats G1'!A29</f>
        <v>Wil</v>
      </c>
      <c r="G28" t="str">
        <f>'Stats G1'!B29</f>
        <v>Carter</v>
      </c>
      <c r="H28">
        <f>'Stats G1'!C29</f>
        <v>15</v>
      </c>
      <c r="I28">
        <f>'Stats G1'!E29</f>
        <v>0</v>
      </c>
      <c r="J28">
        <f>'Stats G1'!H29</f>
        <v>7</v>
      </c>
      <c r="K28">
        <f t="shared" si="1"/>
        <v>7</v>
      </c>
      <c r="L28">
        <f>'Stats G1'!N29</f>
        <v>3</v>
      </c>
    </row>
    <row r="29" spans="6:12" x14ac:dyDescent="0.2">
      <c r="F29" t="str">
        <f>'Stats G1'!A30</f>
        <v>Tony</v>
      </c>
      <c r="G29" t="str">
        <f>'Stats G1'!B30</f>
        <v>Roberts</v>
      </c>
      <c r="H29">
        <f>'Stats G1'!C30</f>
        <v>21</v>
      </c>
      <c r="I29">
        <f>'Stats G1'!E30</f>
        <v>3</v>
      </c>
      <c r="J29">
        <f>'Stats G1'!H30</f>
        <v>7</v>
      </c>
      <c r="K29">
        <f t="shared" si="1"/>
        <v>10</v>
      </c>
      <c r="L29">
        <f>'Stats G1'!N30</f>
        <v>0</v>
      </c>
    </row>
    <row r="30" spans="6:12" x14ac:dyDescent="0.2">
      <c r="F30" t="str">
        <f>'Stats G1'!A31</f>
        <v>Quan</v>
      </c>
      <c r="G30" t="str">
        <f>'Stats G1'!B31</f>
        <v>Thompson</v>
      </c>
      <c r="H30">
        <f>'Stats G1'!C31</f>
        <v>24</v>
      </c>
      <c r="I30">
        <f>'Stats G1'!E31</f>
        <v>0</v>
      </c>
      <c r="J30">
        <f>'Stats G1'!H31</f>
        <v>1</v>
      </c>
      <c r="K30">
        <f t="shared" si="1"/>
        <v>1</v>
      </c>
      <c r="L30">
        <f>'Stats G1'!N31</f>
        <v>1</v>
      </c>
    </row>
    <row r="31" spans="6:12" x14ac:dyDescent="0.2">
      <c r="F31" t="str">
        <f>'Stats G1'!A32</f>
        <v>Rylan</v>
      </c>
      <c r="G31" t="str">
        <f>'Stats G1'!B32</f>
        <v>Jones</v>
      </c>
      <c r="H31">
        <f>'Stats G1'!C32</f>
        <v>30</v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G1'!N32</f>
        <v>0</v>
      </c>
    </row>
    <row r="32" spans="6:12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G1'!N33</f>
        <v>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G1'!N34</f>
        <v>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 t="shared" si="1"/>
        <v>0</v>
      </c>
      <c r="L34">
        <f>'Stats G1'!N35</f>
        <v>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G1'!N36</f>
        <v>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G1'!N37</f>
        <v>0</v>
      </c>
    </row>
    <row r="37" spans="6:12" x14ac:dyDescent="0.2">
      <c r="H37" s="2" t="s">
        <v>5</v>
      </c>
      <c r="I37">
        <f>SUM(I22:I36)</f>
        <v>10</v>
      </c>
      <c r="J37">
        <f>SUM(J22:J36)</f>
        <v>27</v>
      </c>
      <c r="K37">
        <f>SUM(K22:K36)</f>
        <v>37</v>
      </c>
      <c r="L37">
        <f>SUM(L22:L36)</f>
        <v>10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B15" sqref="B15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11</v>
      </c>
    </row>
    <row r="4" spans="1:21" x14ac:dyDescent="0.2">
      <c r="A4" t="s">
        <v>1</v>
      </c>
      <c r="B4" t="s">
        <v>2</v>
      </c>
      <c r="C4" t="s">
        <v>0</v>
      </c>
      <c r="E4" t="s">
        <v>266</v>
      </c>
      <c r="H4" t="s">
        <v>267</v>
      </c>
      <c r="K4" t="s">
        <v>264</v>
      </c>
      <c r="N4" t="s">
        <v>265</v>
      </c>
    </row>
    <row r="5" spans="1:21" s="6" customFormat="1" x14ac:dyDescent="0.2">
      <c r="A5" s="5" t="str">
        <f>_xlfn.IFNA(VLOOKUP($B$3&amp;ROWS($A$5:A5),Rosters!$B$2:$C$162,2,0),"?")</f>
        <v>Sam</v>
      </c>
      <c r="B5" s="5" t="str">
        <f>_xlfn.IFNA(VLOOKUP($B$3&amp;ROWS($B$5:B5),Rosters!$B$2:$D$162,3,0),"?")</f>
        <v>Orchard</v>
      </c>
      <c r="C5" s="5">
        <f>_xlfn.IFNA(VLOOKUP($B$3&amp;ROWS($C$5:C5),Rosters!$B$2:$E$162,4,0),"")</f>
        <v>3</v>
      </c>
      <c r="D5" s="5"/>
      <c r="E5" s="5">
        <v>2</v>
      </c>
      <c r="F5" s="5"/>
      <c r="G5" s="5"/>
      <c r="H5" s="5">
        <v>4</v>
      </c>
      <c r="I5" s="5"/>
      <c r="J5" s="5"/>
      <c r="K5" s="5">
        <v>0</v>
      </c>
      <c r="L5" s="5"/>
      <c r="M5" s="5"/>
      <c r="N5" s="5">
        <v>3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Merril</v>
      </c>
      <c r="C6" s="6">
        <f>_xlfn.IFNA(VLOOKUP($B$3&amp;ROWS($C$5:C6),Rosters!$B$2:$E$162,4,0),"")</f>
        <v>5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Parker</v>
      </c>
      <c r="B7" s="5" t="str">
        <f>_xlfn.IFNA(VLOOKUP($B$3&amp;ROWS($B$5:B7),Rosters!$B$2:$D$162,3,0),"?")</f>
        <v>Van Dyke</v>
      </c>
      <c r="C7" s="5">
        <f>_xlfn.IFNA(VLOOKUP($B$3&amp;ROWS($C$5:C7),Rosters!$B$2:$E$162,4,0),"")</f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Riley</v>
      </c>
      <c r="B8" s="6" t="str">
        <f>_xlfn.IFNA(VLOOKUP($B$3&amp;ROWS($B$5:B8),Rosters!$B$2:$D$162,3,0),"?")</f>
        <v>Battin</v>
      </c>
      <c r="C8" s="6">
        <f>_xlfn.IFNA(VLOOKUP($B$3&amp;ROWS($C$5:C8),Rosters!$B$2:$E$162,4,0),"")</f>
        <v>11</v>
      </c>
      <c r="E8" s="6">
        <v>3</v>
      </c>
      <c r="H8" s="6">
        <v>3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Danny</v>
      </c>
      <c r="B9" s="5" t="str">
        <f>_xlfn.IFNA(VLOOKUP($B$3&amp;ROWS($B$5:B9),Rosters!$B$2:$D$162,3,0),"?")</f>
        <v>Berger</v>
      </c>
      <c r="C9" s="5">
        <f>_xlfn.IFNA(VLOOKUP($B$3&amp;ROWS($C$5:C9),Rosters!$B$2:$E$162,4,0),"")</f>
        <v>12</v>
      </c>
      <c r="D9" s="5"/>
      <c r="E9" s="5">
        <v>1</v>
      </c>
      <c r="F9" s="5"/>
      <c r="G9" s="5"/>
      <c r="H9" s="5">
        <v>9</v>
      </c>
      <c r="I9" s="5"/>
      <c r="J9" s="5"/>
      <c r="K9" s="5">
        <v>0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Jalen</v>
      </c>
      <c r="B10" s="6" t="str">
        <f>_xlfn.IFNA(VLOOKUP($B$3&amp;ROWS($B$5:B10),Rosters!$B$2:$D$162,3,0),"?")</f>
        <v>Moore</v>
      </c>
      <c r="C10" s="6">
        <f>_xlfn.IFNA(VLOOKUP($B$3&amp;ROWS($C$5:C10),Rosters!$B$2:$E$162,4,0),"")</f>
        <v>21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">
        <v>270</v>
      </c>
      <c r="B11" s="5" t="s">
        <v>36</v>
      </c>
      <c r="C11" s="5">
        <f>_xlfn.IFNA(VLOOKUP($B$3&amp;ROWS($C$5:C11),Rosters!$B$2:$E$162,4,0),"")</f>
        <v>21</v>
      </c>
      <c r="D11" s="5"/>
      <c r="E11" s="5">
        <v>3</v>
      </c>
      <c r="F11" s="5"/>
      <c r="G11" s="5"/>
      <c r="H11" s="5">
        <v>4</v>
      </c>
      <c r="I11" s="5"/>
      <c r="J11" s="5"/>
      <c r="K11" s="5">
        <v>0</v>
      </c>
      <c r="L11" s="5"/>
      <c r="M11" s="5"/>
      <c r="N11" s="5">
        <v>1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Zavon</v>
      </c>
      <c r="B12" s="6" t="str">
        <f>_xlfn.IFNA(VLOOKUP($B$3&amp;ROWS($B$5:B12),Rosters!$B$2:$D$162,3,0),"?")</f>
        <v>Jackson</v>
      </c>
      <c r="C12" s="6">
        <f>_xlfn.IFNA(VLOOKUP($B$3&amp;ROWS($C$5:C12),Rosters!$B$2:$E$162,4,0),"")</f>
        <v>24</v>
      </c>
      <c r="E12" s="6">
        <v>2</v>
      </c>
      <c r="H12" s="6">
        <v>5</v>
      </c>
      <c r="K12" s="6">
        <v>0</v>
      </c>
      <c r="N12" s="6">
        <v>3</v>
      </c>
      <c r="Q12" s="6">
        <v>0</v>
      </c>
      <c r="T12" s="6">
        <v>0</v>
      </c>
    </row>
    <row r="13" spans="1:21" s="6" customFormat="1" x14ac:dyDescent="0.2">
      <c r="A13" s="5" t="s">
        <v>97</v>
      </c>
      <c r="B13" s="5" t="s">
        <v>271</v>
      </c>
      <c r="C13" s="5">
        <f>_xlfn.IFNA(VLOOKUP($B$3&amp;ROWS($C$5:C13),Rosters!$B$2:$E$162,4,0),"")</f>
        <v>30</v>
      </c>
      <c r="D13" s="5"/>
      <c r="E13" s="5">
        <v>1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4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12</v>
      </c>
      <c r="H20">
        <f>SUM(H5:H19)</f>
        <v>25</v>
      </c>
      <c r="K20">
        <f>SUM(K5:K19)</f>
        <v>0</v>
      </c>
      <c r="N20">
        <f>SUM(N5:N19)</f>
        <v>12</v>
      </c>
      <c r="Q20">
        <f>SUM(Q5:Q19)</f>
        <v>0</v>
      </c>
      <c r="T20">
        <f>SUM(T5:T19)</f>
        <v>0</v>
      </c>
    </row>
    <row r="21" spans="1:21" x14ac:dyDescent="0.2">
      <c r="A21" s="2" t="s">
        <v>9</v>
      </c>
      <c r="B21" s="1" t="s">
        <v>19</v>
      </c>
    </row>
    <row r="22" spans="1:21" x14ac:dyDescent="0.2">
      <c r="A22" t="s">
        <v>1</v>
      </c>
      <c r="B22" t="s">
        <v>2</v>
      </c>
      <c r="C22" t="s">
        <v>0</v>
      </c>
      <c r="E22" t="s">
        <v>266</v>
      </c>
      <c r="H22" t="s">
        <v>267</v>
      </c>
      <c r="K22" t="s">
        <v>264</v>
      </c>
      <c r="N22" t="s">
        <v>265</v>
      </c>
    </row>
    <row r="23" spans="1:21" s="6" customFormat="1" x14ac:dyDescent="0.2">
      <c r="A23" s="5" t="str">
        <f>_xlfn.IFNA(VLOOKUP($B$21&amp;ROWS($A$23:A23),Rosters!$B$2:$C$162,2,0),"?")</f>
        <v>Steve</v>
      </c>
      <c r="B23" s="5" t="str">
        <f>_xlfn.IFNA(VLOOKUP($B$21&amp;ROWS($B$23:B23),Rosters!$B$2:$D$162,3,0),"?")</f>
        <v>Panos</v>
      </c>
      <c r="C23" s="5">
        <f>_xlfn.IFNA(VLOOKUP($B$21&amp;ROWS($C$23:C23),Rosters!$B$2:$E$162,4,0),"")</f>
        <v>0</v>
      </c>
      <c r="D23" s="5"/>
      <c r="E23" s="5">
        <v>5</v>
      </c>
      <c r="F23" s="5"/>
      <c r="G23" s="5"/>
      <c r="H23" s="5">
        <v>6</v>
      </c>
      <c r="I23" s="5"/>
      <c r="J23" s="5"/>
      <c r="K23" s="5">
        <v>0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James</v>
      </c>
      <c r="B24" s="6" t="str">
        <f>_xlfn.IFNA(VLOOKUP($B$21&amp;ROWS($B$23:B24),Rosters!$B$2:$D$162,3,0),"?")</f>
        <v>Walljasper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Drew</v>
      </c>
      <c r="B25" s="5" t="str">
        <f>_xlfn.IFNA(VLOOKUP($B$21&amp;ROWS($B$23:B25),Rosters!$B$2:$D$162,3,0),"?")</f>
        <v>Lokeni</v>
      </c>
      <c r="C25" s="5">
        <f>_xlfn.IFNA(VLOOKUP($B$21&amp;ROWS($C$23:C25),Rosters!$B$2:$E$162,4,0),"")</f>
        <v>7</v>
      </c>
      <c r="D25" s="5"/>
      <c r="E25" s="5">
        <v>0</v>
      </c>
      <c r="F25" s="5"/>
      <c r="G25" s="5"/>
      <c r="H25" s="5">
        <v>3</v>
      </c>
      <c r="I25" s="5"/>
      <c r="J25" s="5"/>
      <c r="K25" s="5">
        <v>0</v>
      </c>
      <c r="L25" s="5"/>
      <c r="M25" s="5"/>
      <c r="N25" s="5">
        <v>2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Jeremy</v>
      </c>
      <c r="B26" s="6" t="str">
        <f>_xlfn.IFNA(VLOOKUP($B$21&amp;ROWS($B$23:B26),Rosters!$B$2:$D$162,3,0),"?")</f>
        <v>Dowdell</v>
      </c>
      <c r="C26" s="6">
        <f>_xlfn.IFNA(VLOOKUP($B$21&amp;ROWS($C$23:C26),Rosters!$B$2:$E$162,4,0),"")</f>
        <v>8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Caleb</v>
      </c>
      <c r="B27" s="5" t="str">
        <f>_xlfn.IFNA(VLOOKUP($B$21&amp;ROWS($B$23:B27),Rosters!$B$2:$D$162,3,0),"?")</f>
        <v>Leonhardt</v>
      </c>
      <c r="C27" s="5">
        <f>_xlfn.IFNA(VLOOKUP($B$21&amp;ROWS($C$23:C27),Rosters!$B$2:$E$162,4,0),"")</f>
        <v>12</v>
      </c>
      <c r="D27" s="5"/>
      <c r="E27" s="5">
        <v>2</v>
      </c>
      <c r="F27" s="5"/>
      <c r="G27" s="5"/>
      <c r="H27" s="5">
        <v>2</v>
      </c>
      <c r="I27" s="5"/>
      <c r="J27" s="5"/>
      <c r="K27" s="5">
        <v>0</v>
      </c>
      <c r="L27" s="5"/>
      <c r="M27" s="5"/>
      <c r="N27" s="5">
        <v>2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Adam</v>
      </c>
      <c r="B28" s="6" t="str">
        <f>_xlfn.IFNA(VLOOKUP($B$21&amp;ROWS($B$23:B28),Rosters!$B$2:$D$162,3,0),"?")</f>
        <v>Egan</v>
      </c>
      <c r="C28" s="6">
        <f>_xlfn.IFNA(VLOOKUP($B$21&amp;ROWS($C$23:C28),Rosters!$B$2:$E$162,4,0),"")</f>
        <v>13</v>
      </c>
      <c r="E28" s="6">
        <v>0</v>
      </c>
      <c r="H28" s="6">
        <v>1</v>
      </c>
      <c r="K28" s="6">
        <v>0</v>
      </c>
      <c r="N28" s="6">
        <v>1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Wil</v>
      </c>
      <c r="B29" s="5" t="str">
        <f>_xlfn.IFNA(VLOOKUP($B$21&amp;ROWS($B$23:B29),Rosters!$B$2:$D$162,3,0),"?")</f>
        <v>Carter</v>
      </c>
      <c r="C29" s="5">
        <f>_xlfn.IFNA(VLOOKUP($B$21&amp;ROWS($C$23:C29),Rosters!$B$2:$E$162,4,0),"")</f>
        <v>15</v>
      </c>
      <c r="D29" s="5"/>
      <c r="E29" s="5">
        <v>0</v>
      </c>
      <c r="F29" s="5"/>
      <c r="G29" s="5"/>
      <c r="H29" s="5">
        <v>7</v>
      </c>
      <c r="I29" s="5"/>
      <c r="J29" s="5"/>
      <c r="K29" s="5">
        <v>0</v>
      </c>
      <c r="L29" s="5"/>
      <c r="M29" s="5"/>
      <c r="N29" s="5">
        <v>3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Tony</v>
      </c>
      <c r="B30" s="6" t="str">
        <f>_xlfn.IFNA(VLOOKUP($B$21&amp;ROWS($B$23:B30),Rosters!$B$2:$D$162,3,0),"?")</f>
        <v>Roberts</v>
      </c>
      <c r="C30" s="6">
        <f>_xlfn.IFNA(VLOOKUP($B$21&amp;ROWS($C$23:C30),Rosters!$B$2:$E$162,4,0),"")</f>
        <v>21</v>
      </c>
      <c r="E30" s="6">
        <v>3</v>
      </c>
      <c r="H30" s="6">
        <v>7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Quan</v>
      </c>
      <c r="B31" s="5" t="str">
        <f>_xlfn.IFNA(VLOOKUP($B$21&amp;ROWS($B$23:B31),Rosters!$B$2:$D$162,3,0),"?")</f>
        <v>Thompson</v>
      </c>
      <c r="C31" s="5">
        <f>_xlfn.IFNA(VLOOKUP($B$21&amp;ROWS($C$23:C31),Rosters!$B$2:$E$162,4,0),"")</f>
        <v>24</v>
      </c>
      <c r="D31" s="5"/>
      <c r="E31" s="5">
        <v>0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Rylan</v>
      </c>
      <c r="B32" s="6" t="str">
        <f>_xlfn.IFNA(VLOOKUP($B$21&amp;ROWS($B$23:B32),Rosters!$B$2:$D$162,3,0),"?")</f>
        <v>Jones</v>
      </c>
      <c r="C32" s="6">
        <f>_xlfn.IFNA(VLOOKUP($B$21&amp;ROWS($C$23:C32),Rosters!$B$2:$E$162,4,0),"")</f>
        <v>30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10</v>
      </c>
      <c r="H38">
        <f>SUM(H23:H37)</f>
        <v>27</v>
      </c>
      <c r="K38">
        <f>SUM(K23:K37)</f>
        <v>0</v>
      </c>
      <c r="N38">
        <f>SUM(N23:N37)</f>
        <v>10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sqref="A1:E143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2021-07-21T15:37:07Z</dcterms:modified>
</cp:coreProperties>
</file>