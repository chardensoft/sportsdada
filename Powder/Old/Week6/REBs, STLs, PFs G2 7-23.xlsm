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24T164949Z-001/"/>
    </mc:Choice>
  </mc:AlternateContent>
  <xr:revisionPtr revIDLastSave="0" documentId="13_ncr:1_{52E9CC9F-1E7B-D440-9FB8-4CD9B60366C3}" xr6:coauthVersionLast="47" xr6:coauthVersionMax="47" xr10:uidLastSave="{00000000-0000-0000-0000-000000000000}"/>
  <bookViews>
    <workbookView xWindow="0" yWindow="500" windowWidth="12040" windowHeight="1042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6" i="2" l="1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22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3" i="2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33" i="1" s="1"/>
  <c r="G32" i="2" s="1"/>
  <c r="B8" i="3"/>
  <c r="B7" i="3"/>
  <c r="B6" i="3"/>
  <c r="B5" i="3"/>
  <c r="B4" i="3"/>
  <c r="B3" i="3"/>
  <c r="B2" i="3"/>
  <c r="C29" i="1" s="1"/>
  <c r="H28" i="2" s="1"/>
  <c r="I23" i="2"/>
  <c r="J23" i="2"/>
  <c r="K23" i="2"/>
  <c r="L23" i="2"/>
  <c r="M23" i="2"/>
  <c r="I24" i="2"/>
  <c r="J24" i="2"/>
  <c r="K24" i="2" s="1"/>
  <c r="L24" i="2"/>
  <c r="M24" i="2"/>
  <c r="I25" i="2"/>
  <c r="J25" i="2"/>
  <c r="K25" i="2"/>
  <c r="L25" i="2"/>
  <c r="M25" i="2"/>
  <c r="I26" i="2"/>
  <c r="K26" i="2" s="1"/>
  <c r="J26" i="2"/>
  <c r="L26" i="2"/>
  <c r="M26" i="2"/>
  <c r="I27" i="2"/>
  <c r="J27" i="2"/>
  <c r="K27" i="2"/>
  <c r="L27" i="2"/>
  <c r="M27" i="2"/>
  <c r="I28" i="2"/>
  <c r="J28" i="2"/>
  <c r="K28" i="2" s="1"/>
  <c r="L28" i="2"/>
  <c r="M28" i="2"/>
  <c r="M37" i="2" s="1"/>
  <c r="I29" i="2"/>
  <c r="J29" i="2"/>
  <c r="L29" i="2"/>
  <c r="M29" i="2"/>
  <c r="I30" i="2"/>
  <c r="J30" i="2"/>
  <c r="K30" i="2" s="1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L33" i="2"/>
  <c r="M33" i="2"/>
  <c r="I34" i="2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6" i="2"/>
  <c r="K7" i="2"/>
  <c r="K8" i="2"/>
  <c r="K12" i="2"/>
  <c r="K16" i="2"/>
  <c r="I4" i="2"/>
  <c r="J4" i="2"/>
  <c r="L4" i="2"/>
  <c r="I5" i="2"/>
  <c r="K5" i="2" s="1"/>
  <c r="J5" i="2"/>
  <c r="L5" i="2"/>
  <c r="I6" i="2"/>
  <c r="J6" i="2"/>
  <c r="L6" i="2"/>
  <c r="I7" i="2"/>
  <c r="J7" i="2"/>
  <c r="L7" i="2"/>
  <c r="I8" i="2"/>
  <c r="J8" i="2"/>
  <c r="L8" i="2"/>
  <c r="I9" i="2"/>
  <c r="J9" i="2"/>
  <c r="L9" i="2"/>
  <c r="I10" i="2"/>
  <c r="J10" i="2"/>
  <c r="L10" i="2"/>
  <c r="I11" i="2"/>
  <c r="K11" i="2" s="1"/>
  <c r="J11" i="2"/>
  <c r="L11" i="2"/>
  <c r="I12" i="2"/>
  <c r="J12" i="2"/>
  <c r="L12" i="2"/>
  <c r="I13" i="2"/>
  <c r="J13" i="2"/>
  <c r="K13" i="2" s="1"/>
  <c r="L13" i="2"/>
  <c r="I14" i="2"/>
  <c r="J14" i="2"/>
  <c r="L14" i="2"/>
  <c r="I15" i="2"/>
  <c r="J15" i="2"/>
  <c r="L15" i="2"/>
  <c r="I16" i="2"/>
  <c r="J16" i="2"/>
  <c r="L16" i="2"/>
  <c r="I17" i="2"/>
  <c r="J17" i="2"/>
  <c r="K17" i="2" s="1"/>
  <c r="L17" i="2"/>
  <c r="L3" i="2"/>
  <c r="C32" i="1"/>
  <c r="H31" i="2" s="1"/>
  <c r="J3" i="2"/>
  <c r="I3" i="2"/>
  <c r="K3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N37" i="2" l="1"/>
  <c r="N18" i="2"/>
  <c r="K4" i="2"/>
  <c r="K15" i="2"/>
  <c r="K10" i="2"/>
  <c r="K29" i="2"/>
  <c r="K33" i="2"/>
  <c r="K14" i="2"/>
  <c r="M18" i="2"/>
  <c r="K9" i="2"/>
  <c r="K22" i="2"/>
  <c r="I37" i="2"/>
  <c r="D3" i="2" s="1"/>
  <c r="L37" i="2"/>
  <c r="K34" i="2"/>
  <c r="C25" i="1"/>
  <c r="H24" i="2" s="1"/>
  <c r="B6" i="1"/>
  <c r="G4" i="2" s="1"/>
  <c r="I18" i="2"/>
  <c r="B3" i="2" s="1"/>
  <c r="J18" i="2"/>
  <c r="H11" i="2"/>
  <c r="B25" i="1"/>
  <c r="G24" i="2" s="1"/>
  <c r="A14" i="1"/>
  <c r="F12" i="2" s="1"/>
  <c r="A6" i="1"/>
  <c r="F4" i="2" s="1"/>
  <c r="G11" i="2"/>
  <c r="C5" i="1"/>
  <c r="H3" i="2" s="1"/>
  <c r="H10" i="2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G10" i="2"/>
  <c r="C24" i="1"/>
  <c r="H23" i="2" s="1"/>
  <c r="A30" i="1"/>
  <c r="F29" i="2" s="1"/>
  <c r="G17" i="2"/>
  <c r="H8" i="2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G33" i="2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H17" i="2"/>
  <c r="G34" i="2"/>
  <c r="B27" i="1"/>
  <c r="G26" i="2" s="1"/>
  <c r="F10" i="2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F33" i="2"/>
  <c r="B31" i="1"/>
  <c r="G30" i="2" s="1"/>
  <c r="C28" i="1"/>
  <c r="H27" i="2" s="1"/>
  <c r="A26" i="1"/>
  <c r="F25" i="2" s="1"/>
  <c r="A15" i="1"/>
  <c r="F13" i="2" s="1"/>
  <c r="F11" i="2"/>
  <c r="C11" i="1"/>
  <c r="H9" i="2" s="1"/>
  <c r="A5" i="1"/>
  <c r="B11" i="1"/>
  <c r="G9" i="2" s="1"/>
  <c r="C37" i="1"/>
  <c r="H36" i="2" s="1"/>
  <c r="F17" i="2"/>
  <c r="G8" i="2"/>
  <c r="B37" i="1"/>
  <c r="G36" i="2" s="1"/>
  <c r="H33" i="2"/>
  <c r="C26" i="1"/>
  <c r="H25" i="2" s="1"/>
  <c r="F8" i="2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L18" i="2"/>
  <c r="F3" i="2"/>
  <c r="K18" i="2" l="1"/>
  <c r="K37" i="2"/>
</calcChain>
</file>

<file path=xl/sharedStrings.xml><?xml version="1.0" encoding="utf-8"?>
<sst xmlns="http://schemas.openxmlformats.org/spreadsheetml/2006/main" count="500" uniqueCount="281">
  <si>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</si>
  <si>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</si>
  <si>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</si>
  <si>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</si>
  <si>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</si>
  <si>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</si>
  <si>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</si>
  <si>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</si>
  <si>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</si>
  <si>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</si>
  <si>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</si>
  <si>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</si>
  <si>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</si>
  <si>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</si>
  <si>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</si>
  <si>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</si>
  <si>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</si>
  <si>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</si>
  <si>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</si>
  <si>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</si>
  <si>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</si>
  <si>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</si>
  <si>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</si>
  <si>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</si>
  <si>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</si>
  <si>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</si>
  <si>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</si>
  <si>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</si>
  <si>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</si>
  <si>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</si>
  <si>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</si>
  <si>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</si>
  <si>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</si>
  <si>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</si>
  <si>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</si>
  <si>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</si>
  <si>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</si>
  <si>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</si>
  <si>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</si>
  <si>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</si>
  <si>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</si>
  <si>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</si>
  <si>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</si>
  <si>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</si>
  <si>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</si>
  <si>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</si>
  <si>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</si>
  <si>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</si>
  <si>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</si>
  <si>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</si>
  <si>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</si>
  <si>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</si>
  <si>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</si>
  <si>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</si>
  <si>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</si>
  <si>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</si>
  <si>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</si>
  <si>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</si>
  <si>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</si>
  <si>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</si>
  <si>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</si>
  <si>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</si>
  <si>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</si>
  <si>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</si>
  <si>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</si>
  <si>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</si>
  <si>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</si>
  <si>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</si>
  <si>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</si>
  <si>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</si>
  <si>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</si>
  <si>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</si>
  <si>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</si>
  <si>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</si>
  <si>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</si>
  <si>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</si>
  <si>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</si>
  <si>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</si>
  <si>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</si>
  <si>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</si>
  <si>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</si>
  <si>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</si>
  <si>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</si>
  <si>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</si>
  <si>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</si>
  <si>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</si>
  <si>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</si>
  <si>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</si>
  <si>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</si>
  <si>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</si>
  <si>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</si>
  <si>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</si>
  <si>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</si>
  <si>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</si>
  <si>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</si>
  <si>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</si>
  <si>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</si>
  <si>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</si>
  <si>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</si>
  <si>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</si>
  <si>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</si>
  <si>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</si>
  <si>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</si>
  <si>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</si>
  <si>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</si>
  <si>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</si>
  <si>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</si>
  <si>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</si>
  <si>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</si>
  <si>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</si>
  <si>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</si>
  <si>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</si>
  <si>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</si>
  <si>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</si>
  <si>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</si>
  <si>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</si>
  <si>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</si>
  <si>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</si>
  <si>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</si>
  <si>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</si>
  <si>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</si>
  <si>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</si>
  <si>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</si>
  <si>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</si>
  <si>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</si>
  <si>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</si>
  <si>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</si>
  <si>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</si>
  <si>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</si>
  <si>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</si>
  <si>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</si>
  <si>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</si>
  <si>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</si>
  <si>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</si>
  <si>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</si>
  <si>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</si>
  <si>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</si>
  <si>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</si>
  <si>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</si>
  <si>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</si>
  <si>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</si>
  <si>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</si>
  <si>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</si>
  <si>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</si>
  <si>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</si>
  <si>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</si>
  <si>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</si>
  <si>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</si>
  <si>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</si>
  <si>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</si>
  <si>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</si>
  <si>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</si>
  <si>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</si>
  <si>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</si>
  <si>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</si>
  <si>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</si>
  <si>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</si>
  <si>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</si>
  <si>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</si>
  <si>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</si>
  <si>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</si>
  <si>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</si>
  <si>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</si>
  <si>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</si>
  <si>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</si>
  <si>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</si>
  <si>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</si>
  <si>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</si>
  <si>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</si>
  <si>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</si>
  <si>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</si>
  <si>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</si>
  <si>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</si>
  <si>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</si>
  <si>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</si>
  <si>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</si>
  <si>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</si>
  <si>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</si>
  <si>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</si>
  <si>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</si>
  <si>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</si>
  <si>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</si>
  <si>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</si>
  <si>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</si>
  <si>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</si>
  <si>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</si>
  <si>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</si>
  <si>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</si>
  <si>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</si>
  <si>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</si>
  <si>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</si>
  <si>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</si>
  <si>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</si>
  <si>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</si>
  <si>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</si>
  <si>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</si>
  <si>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</si>
  <si>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</si>
  <si>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</si>
  <si>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</si>
  <si>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</si>
  <si>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</si>
  <si>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</si>
  <si>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</si>
  <si>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</si>
  <si>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</si>
  <si>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</si>
  <si>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</si>
  <si>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</si>
  <si>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</si>
  <si>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</si>
  <si>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</si>
  <si>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</si>
  <si>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</si>
  <si>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</si>
  <si>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</si>
  <si>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</si>
  <si>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</si>
  <si>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</si>
  <si>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</si>
  <si>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</si>
  <si>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</si>
  <si>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</si>
  <si>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</si>
  <si>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</si>
  <si>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</si>
  <si>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</si>
  <si>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</si>
  <si>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</si>
  <si>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</si>
  <si>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</si>
  <si>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</si>
  <si>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</si>
  <si>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</si>
  <si>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</si>
  <si>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</si>
  <si>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</si>
  <si>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</si>
  <si>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</si>
  <si>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</si>
  <si>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</si>
  <si>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</si>
  <si>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</si>
  <si>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</si>
  <si>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</si>
  <si>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</si>
  <si>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</si>
  <si>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</si>
  <si>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</si>
  <si>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</si>
  <si>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</si>
  <si>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</si>
  <si>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</si>
  <si>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</si>
  <si>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</si>
  <si>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</si>
  <si>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</si>
  <si>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</si>
  <si>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</si>
  <si>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</si>
  <si>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</si>
  <si>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</si>
  <si>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</si>
  <si>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</si>
  <si>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</si>
  <si>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PF</t>
  </si>
  <si>
    <t>OREB</t>
  </si>
  <si>
    <t>DREB</t>
  </si>
  <si>
    <t>TREB</t>
  </si>
  <si>
    <t>TJ</t>
  </si>
  <si>
    <t>Jake</t>
  </si>
  <si>
    <t>Farrer</t>
  </si>
  <si>
    <t>Dee</t>
  </si>
  <si>
    <t>Barnes</t>
  </si>
  <si>
    <t>Overton</t>
  </si>
  <si>
    <t>JJ</t>
  </si>
  <si>
    <t>0-0</t>
  </si>
  <si>
    <t>McKay</t>
  </si>
  <si>
    <t>Woodbury</t>
  </si>
  <si>
    <t>sec</t>
  </si>
  <si>
    <t>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</si>
</sst>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N37"/>
  <sheetViews>
    <sheetView tabSelected="1" topLeftCell="G24" workbookViewId="0">
      <selection activeCell="L35" sqref="L35"/>
    </sheetView>
  </sheetViews>
  <sheetFormatPr baseColWidth="10" defaultColWidth="10.6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4" x14ac:dyDescent="0.2">
      <c r="B1" s="2" t="s">
        <v>7</v>
      </c>
      <c r="F1" t="s">
        <v>3</v>
      </c>
      <c r="G1" t="str">
        <f>'Stats G1'!B3</f>
        <v>Dastrop</v>
      </c>
    </row>
    <row r="2" spans="2:14" x14ac:dyDescent="0.2">
      <c r="B2" t="str">
        <f>G1</f>
        <v>Dastrop</v>
      </c>
      <c r="D2" t="str">
        <f>G20</f>
        <v>Joyce</v>
      </c>
      <c r="F2" t="s">
        <v>1</v>
      </c>
      <c r="G2" t="s">
        <v>2</v>
      </c>
      <c r="H2" t="s">
        <v>0</v>
      </c>
      <c r="I2" t="s">
        <v>266</v>
      </c>
      <c r="J2" t="s">
        <v>267</v>
      </c>
      <c r="K2" t="s">
        <v>268</v>
      </c>
      <c r="L2" t="s">
        <v>264</v>
      </c>
      <c r="M2" t="s">
        <v>265</v>
      </c>
      <c r="N2" t="s">
        <v>280</v>
      </c>
    </row>
    <row r="3" spans="2:14" x14ac:dyDescent="0.2">
      <c r="B3">
        <f>I18</f>
        <v>15</v>
      </c>
      <c r="C3" s="3" t="s">
        <v>6</v>
      </c>
      <c r="D3" s="4">
        <f>I37</f>
        <v>17</v>
      </c>
      <c r="F3" t="str">
        <f>'Stats G1'!A5</f>
        <v>Taylor</v>
      </c>
      <c r="G3" t="str">
        <f>'Stats G1'!B5</f>
        <v>Miller</v>
      </c>
      <c r="H3">
        <f>'Stats G1'!C5</f>
        <v>0</v>
      </c>
      <c r="I3">
        <f>'Stats G1'!E5</f>
        <v>1</v>
      </c>
      <c r="J3">
        <f>'Stats G1'!H5</f>
        <v>1</v>
      </c>
      <c r="K3">
        <f>J3+I3</f>
        <v>2</v>
      </c>
      <c r="L3">
        <f>'Stats G1'!K5</f>
        <v>1</v>
      </c>
      <c r="M3">
        <f>'Stats G1'!N5</f>
        <v>0</v>
      </c>
      <c r="N3">
        <f>'Stats G1'!Q5/60</f>
        <v>23.166666666666668</v>
      </c>
    </row>
    <row r="4" spans="2:14" x14ac:dyDescent="0.2">
      <c r="F4" t="str">
        <f>'Stats G1'!A6</f>
        <v>Quae</v>
      </c>
      <c r="G4" t="str">
        <f>'Stats G1'!B6</f>
        <v>Furlow</v>
      </c>
      <c r="H4">
        <f>'Stats G1'!C6</f>
        <v>1</v>
      </c>
      <c r="I4">
        <f>'Stats G1'!E6</f>
        <v>1</v>
      </c>
      <c r="J4">
        <f>'Stats G1'!H6</f>
        <v>5</v>
      </c>
      <c r="K4">
        <f t="shared" ref="K4:K17" si="0">J4+I4</f>
        <v>6</v>
      </c>
      <c r="L4">
        <f>'Stats G1'!K6</f>
        <v>1</v>
      </c>
      <c r="M4">
        <f>'Stats G1'!N6</f>
        <v>2</v>
      </c>
      <c r="N4">
        <f>'Stats G1'!Q6/60</f>
        <v>30.083333333333332</v>
      </c>
    </row>
    <row r="5" spans="2:14" x14ac:dyDescent="0.2">
      <c r="F5" t="str">
        <f>'Stats G1'!A7</f>
        <v>Jordan</v>
      </c>
      <c r="G5" t="str">
        <f>'Stats G1'!B7</f>
        <v>Gazdik</v>
      </c>
      <c r="H5">
        <f>'Stats G1'!C7</f>
        <v>2</v>
      </c>
      <c r="I5">
        <f>'Stats G1'!E7</f>
        <v>1</v>
      </c>
      <c r="J5">
        <f>'Stats G1'!H7</f>
        <v>2</v>
      </c>
      <c r="K5">
        <f t="shared" si="0"/>
        <v>3</v>
      </c>
      <c r="L5">
        <f>'Stats G1'!K7</f>
        <v>0</v>
      </c>
      <c r="M5">
        <f>'Stats G1'!N7</f>
        <v>0</v>
      </c>
      <c r="N5">
        <f>'Stats G1'!Q7/60</f>
        <v>24.416666666666668</v>
      </c>
    </row>
    <row r="6" spans="2:14" x14ac:dyDescent="0.2">
      <c r="F6" t="str">
        <f>'Stats G1'!A8</f>
        <v>Cory</v>
      </c>
      <c r="G6" t="str">
        <f>'Stats G1'!B8</f>
        <v>Calvert</v>
      </c>
      <c r="H6">
        <f>'Stats G1'!C8</f>
        <v>3</v>
      </c>
      <c r="I6">
        <f>'Stats G1'!E8</f>
        <v>0</v>
      </c>
      <c r="J6">
        <f>'Stats G1'!H8</f>
        <v>0</v>
      </c>
      <c r="K6">
        <f t="shared" si="0"/>
        <v>0</v>
      </c>
      <c r="L6">
        <f>'Stats G1'!K8</f>
        <v>0</v>
      </c>
      <c r="M6">
        <f>'Stats G1'!N8</f>
        <v>0</v>
      </c>
      <c r="N6">
        <f>'Stats G1'!Q8/60</f>
        <v>0</v>
      </c>
    </row>
    <row r="7" spans="2:14" x14ac:dyDescent="0.2">
      <c r="F7" t="str">
        <f>'Stats G1'!A9</f>
        <v>Chris</v>
      </c>
      <c r="G7" t="str">
        <f>'Stats G1'!B9</f>
        <v>Seeley</v>
      </c>
      <c r="H7">
        <f>'Stats G1'!C9</f>
        <v>4</v>
      </c>
      <c r="I7">
        <f>'Stats G1'!E9</f>
        <v>0</v>
      </c>
      <c r="J7">
        <f>'Stats G1'!H9</f>
        <v>0</v>
      </c>
      <c r="K7">
        <f t="shared" si="0"/>
        <v>0</v>
      </c>
      <c r="L7">
        <f>'Stats G1'!K9</f>
        <v>0</v>
      </c>
      <c r="M7">
        <f>'Stats G1'!N9</f>
        <v>0</v>
      </c>
      <c r="N7">
        <f>'Stats G1'!Q9/60</f>
        <v>0</v>
      </c>
    </row>
    <row r="8" spans="2:14" x14ac:dyDescent="0.2">
      <c r="F8" t="str">
        <f>'Stats G1'!A10</f>
        <v>McKay</v>
      </c>
      <c r="G8" t="str">
        <f>'Stats G1'!B10</f>
        <v>Johnson</v>
      </c>
      <c r="H8">
        <f>'Stats G1'!C10</f>
        <v>13</v>
      </c>
      <c r="I8">
        <f>'Stats G1'!E10</f>
        <v>0</v>
      </c>
      <c r="J8">
        <f>'Stats G1'!H10</f>
        <v>0</v>
      </c>
      <c r="K8">
        <f t="shared" si="0"/>
        <v>0</v>
      </c>
      <c r="L8">
        <f>'Stats G1'!K10</f>
        <v>0</v>
      </c>
      <c r="M8">
        <f>'Stats G1'!N10</f>
        <v>0</v>
      </c>
      <c r="N8">
        <f>'Stats G1'!Q10/60</f>
        <v>0</v>
      </c>
    </row>
    <row r="9" spans="2:14" x14ac:dyDescent="0.2">
      <c r="F9" t="str">
        <f>'Stats G1'!A11</f>
        <v>Hunter</v>
      </c>
      <c r="G9" t="str">
        <f>'Stats G1'!B11</f>
        <v>Erickson</v>
      </c>
      <c r="H9">
        <f>'Stats G1'!C11</f>
        <v>10</v>
      </c>
      <c r="I9">
        <f>'Stats G1'!E11</f>
        <v>2</v>
      </c>
      <c r="J9">
        <f>'Stats G1'!H11</f>
        <v>5</v>
      </c>
      <c r="K9">
        <f t="shared" si="0"/>
        <v>7</v>
      </c>
      <c r="L9">
        <f>'Stats G1'!K11</f>
        <v>1</v>
      </c>
      <c r="M9">
        <f>'Stats G1'!N11</f>
        <v>1</v>
      </c>
      <c r="N9">
        <f>'Stats G1'!Q11/60</f>
        <v>28.416666666666668</v>
      </c>
    </row>
    <row r="10" spans="2:14" x14ac:dyDescent="0.2">
      <c r="F10" t="str">
        <f>'Stats G1'!A12</f>
        <v>Dee</v>
      </c>
      <c r="G10" t="str">
        <f>'Stats G1'!B12</f>
        <v>Barnes</v>
      </c>
      <c r="H10">
        <f>'Stats G1'!C12</f>
        <v>23</v>
      </c>
      <c r="I10">
        <f>'Stats G1'!E12</f>
        <v>1</v>
      </c>
      <c r="J10">
        <f>'Stats G1'!H12</f>
        <v>1</v>
      </c>
      <c r="K10">
        <f t="shared" si="0"/>
        <v>2</v>
      </c>
      <c r="L10">
        <f>'Stats G1'!K12</f>
        <v>0</v>
      </c>
      <c r="M10">
        <f>'Stats G1'!N12</f>
        <v>1</v>
      </c>
      <c r="N10">
        <f>'Stats G1'!Q12/60</f>
        <v>16.833333333333332</v>
      </c>
    </row>
    <row r="11" spans="2:14" x14ac:dyDescent="0.2">
      <c r="F11" t="str">
        <f>'Stats G1'!A13</f>
        <v>JJ</v>
      </c>
      <c r="G11" t="str">
        <f>'Stats G1'!B13</f>
        <v>Overton</v>
      </c>
      <c r="H11" t="str">
        <f>'Stats G1'!C13</f>
        <v>0-0</v>
      </c>
      <c r="I11">
        <f>'Stats G1'!E13</f>
        <v>3</v>
      </c>
      <c r="J11">
        <f>'Stats G1'!H13</f>
        <v>0</v>
      </c>
      <c r="K11">
        <f t="shared" si="0"/>
        <v>3</v>
      </c>
      <c r="L11">
        <f>'Stats G1'!K13</f>
        <v>1</v>
      </c>
      <c r="M11">
        <f>'Stats G1'!N13</f>
        <v>0</v>
      </c>
      <c r="N11">
        <f>'Stats G1'!Q13/60</f>
        <v>20.633333333333333</v>
      </c>
    </row>
    <row r="12" spans="2:14" x14ac:dyDescent="0.2">
      <c r="F12" t="str">
        <f>'Stats G1'!A14</f>
        <v>Khalil</v>
      </c>
      <c r="G12" t="str">
        <f>'Stats G1'!B14</f>
        <v>Ahmad</v>
      </c>
      <c r="H12">
        <f>'Stats G1'!C14</f>
        <v>14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G1'!K14</f>
        <v>0</v>
      </c>
      <c r="M12">
        <f>'Stats G1'!N14</f>
        <v>0</v>
      </c>
      <c r="N12">
        <f>'Stats G1'!Q14/60</f>
        <v>0</v>
      </c>
    </row>
    <row r="13" spans="2:14" x14ac:dyDescent="0.2">
      <c r="F13" t="str">
        <f>'Stats G1'!A15</f>
        <v xml:space="preserve">Payton </v>
      </c>
      <c r="G13" t="str">
        <f>'Stats G1'!B15</f>
        <v>Dastrop</v>
      </c>
      <c r="H13">
        <f>'Stats G1'!C15</f>
        <v>15</v>
      </c>
      <c r="I13">
        <f>'Stats G1'!E15</f>
        <v>0</v>
      </c>
      <c r="J13">
        <f>'Stats G1'!H15</f>
        <v>0</v>
      </c>
      <c r="K13">
        <f t="shared" si="0"/>
        <v>0</v>
      </c>
      <c r="L13">
        <f>'Stats G1'!K15</f>
        <v>0</v>
      </c>
      <c r="M13">
        <f>'Stats G1'!N15</f>
        <v>0</v>
      </c>
      <c r="N13">
        <f>'Stats G1'!Q15/60</f>
        <v>0</v>
      </c>
    </row>
    <row r="14" spans="2:14" x14ac:dyDescent="0.2">
      <c r="F14" t="str">
        <f>'Stats G1'!A16</f>
        <v>John</v>
      </c>
      <c r="G14" t="str">
        <f>'Stats G1'!B16</f>
        <v>Bennett</v>
      </c>
      <c r="H14">
        <f>'Stats G1'!C16</f>
        <v>22</v>
      </c>
      <c r="I14">
        <f>'Stats G1'!E16</f>
        <v>2</v>
      </c>
      <c r="J14">
        <f>'Stats G1'!H16</f>
        <v>1</v>
      </c>
      <c r="K14">
        <f t="shared" si="0"/>
        <v>3</v>
      </c>
      <c r="L14">
        <f>'Stats G1'!K16</f>
        <v>0</v>
      </c>
      <c r="M14">
        <f>'Stats G1'!N16</f>
        <v>0</v>
      </c>
      <c r="N14">
        <f>'Stats G1'!Q16/60</f>
        <v>15.266666666666667</v>
      </c>
    </row>
    <row r="15" spans="2:14" x14ac:dyDescent="0.2">
      <c r="F15" t="str">
        <f>'Stats G1'!A17</f>
        <v xml:space="preserve">Caleb </v>
      </c>
      <c r="G15" t="str">
        <f>'Stats G1'!B17</f>
        <v>Lohner</v>
      </c>
      <c r="H15">
        <f>'Stats G1'!C17</f>
        <v>33</v>
      </c>
      <c r="I15">
        <f>'Stats G1'!E17</f>
        <v>4</v>
      </c>
      <c r="J15">
        <f>'Stats G1'!H17</f>
        <v>5</v>
      </c>
      <c r="K15">
        <f t="shared" si="0"/>
        <v>9</v>
      </c>
      <c r="L15">
        <f>'Stats G1'!K17</f>
        <v>0</v>
      </c>
      <c r="M15">
        <f>'Stats G1'!N17</f>
        <v>0</v>
      </c>
      <c r="N15">
        <f>'Stats G1'!Q17/60</f>
        <v>24.35</v>
      </c>
    </row>
    <row r="16" spans="2:14" x14ac:dyDescent="0.2">
      <c r="F16" t="str">
        <f>'Stats G1'!A18</f>
        <v>Johnny</v>
      </c>
      <c r="G16" t="str">
        <f>'Stats G1'!B18</f>
        <v>Dupre</v>
      </c>
      <c r="H16">
        <f>'Stats G1'!C18</f>
        <v>41</v>
      </c>
      <c r="I16">
        <f>'Stats G1'!E18</f>
        <v>0</v>
      </c>
      <c r="J16">
        <f>'Stats G1'!H18</f>
        <v>0</v>
      </c>
      <c r="K16">
        <f t="shared" si="0"/>
        <v>0</v>
      </c>
      <c r="L16">
        <f>'Stats G1'!K18</f>
        <v>0</v>
      </c>
      <c r="M16">
        <f>'Stats G1'!N18</f>
        <v>3</v>
      </c>
      <c r="N16">
        <f>'Stats G1'!Q18/60</f>
        <v>3.3</v>
      </c>
    </row>
    <row r="17" spans="6:14" x14ac:dyDescent="0.2">
      <c r="F17" t="str">
        <f>'Stats G1'!A19</f>
        <v>Trey</v>
      </c>
      <c r="G17" t="str">
        <f>'Stats G1'!B19</f>
        <v>Farrer</v>
      </c>
      <c r="H17">
        <f>'Stats G1'!C19</f>
        <v>32</v>
      </c>
      <c r="I17">
        <f>'Stats G1'!E19</f>
        <v>0</v>
      </c>
      <c r="J17">
        <f>'Stats G1'!H19</f>
        <v>4</v>
      </c>
      <c r="K17">
        <f t="shared" si="0"/>
        <v>4</v>
      </c>
      <c r="L17">
        <f>'Stats G1'!K19</f>
        <v>1</v>
      </c>
      <c r="M17">
        <f>'Stats G1'!N19</f>
        <v>3</v>
      </c>
      <c r="N17">
        <f>'Stats G1'!Q19/60</f>
        <v>13.533333333333333</v>
      </c>
    </row>
    <row r="18" spans="6:14" x14ac:dyDescent="0.2">
      <c r="H18" s="2" t="s">
        <v>5</v>
      </c>
      <c r="I18">
        <f>SUM(I3:I17)</f>
        <v>15</v>
      </c>
      <c r="J18">
        <f>SUM(J3:J17)</f>
        <v>24</v>
      </c>
      <c r="K18">
        <f>SUM(K3:K17)</f>
        <v>39</v>
      </c>
      <c r="L18">
        <f>SUM(L3:L17)</f>
        <v>5</v>
      </c>
      <c r="M18">
        <f>SUM(M3:M17)</f>
        <v>10</v>
      </c>
      <c r="N18">
        <f>SUM(N3:N17)</f>
        <v>200.00000000000003</v>
      </c>
    </row>
    <row r="20" spans="6:14" x14ac:dyDescent="0.2">
      <c r="F20" t="s">
        <v>4</v>
      </c>
      <c r="G20" t="str">
        <f>'Stats G1'!B21</f>
        <v>Joyce</v>
      </c>
    </row>
    <row r="21" spans="6:14" x14ac:dyDescent="0.2">
      <c r="F21" t="s">
        <v>1</v>
      </c>
      <c r="G21" t="s">
        <v>2</v>
      </c>
      <c r="H21" t="s">
        <v>0</v>
      </c>
      <c r="I21" t="s">
        <v>266</v>
      </c>
      <c r="J21" t="s">
        <v>267</v>
      </c>
      <c r="K21" t="s">
        <v>268</v>
      </c>
      <c r="L21" t="s">
        <v>264</v>
      </c>
      <c r="M21" t="s">
        <v>265</v>
      </c>
      <c r="N21" t="s">
        <v>280</v>
      </c>
    </row>
    <row r="22" spans="6:14" x14ac:dyDescent="0.2">
      <c r="F22" t="str">
        <f>'Stats G1'!A23</f>
        <v>Neema</v>
      </c>
      <c r="G22" t="str">
        <f>'Stats G1'!B23</f>
        <v>Namdar</v>
      </c>
      <c r="H22">
        <f>'Stats G1'!C23</f>
        <v>0</v>
      </c>
      <c r="I22">
        <f>'Stats G1'!E23</f>
        <v>2</v>
      </c>
      <c r="J22">
        <f>'Stats G1'!H23</f>
        <v>5</v>
      </c>
      <c r="K22">
        <f>J22+I22</f>
        <v>7</v>
      </c>
      <c r="L22">
        <f>'Stats G1'!K23</f>
        <v>0</v>
      </c>
      <c r="M22">
        <f>'Stats G1'!N23</f>
        <v>0</v>
      </c>
      <c r="N22">
        <f>'Stats G1'!Q23/60</f>
        <v>27</v>
      </c>
    </row>
    <row r="23" spans="6:14" x14ac:dyDescent="0.2">
      <c r="F23" t="str">
        <f>'Stats G1'!A24</f>
        <v>Sam</v>
      </c>
      <c r="G23" t="str">
        <f>'Stats G1'!B24</f>
        <v>Velez</v>
      </c>
      <c r="H23">
        <f>'Stats G1'!C24</f>
        <v>1</v>
      </c>
      <c r="I23">
        <f>'Stats G1'!E24</f>
        <v>0</v>
      </c>
      <c r="J23">
        <f>'Stats G1'!H24</f>
        <v>0</v>
      </c>
      <c r="K23">
        <f t="shared" ref="K23:K36" si="1">J23+I23</f>
        <v>0</v>
      </c>
      <c r="L23">
        <f>'Stats G1'!K24</f>
        <v>0</v>
      </c>
      <c r="M23">
        <f>'Stats G1'!N24</f>
        <v>0</v>
      </c>
      <c r="N23">
        <f>'Stats G1'!Q24/60</f>
        <v>0</v>
      </c>
    </row>
    <row r="24" spans="6:14" x14ac:dyDescent="0.2">
      <c r="F24" t="str">
        <f>'Stats G1'!A25</f>
        <v>Tyus</v>
      </c>
      <c r="G24" t="str">
        <f>'Stats G1'!B25</f>
        <v>Jefferson</v>
      </c>
      <c r="H24">
        <f>'Stats G1'!C25</f>
        <v>3</v>
      </c>
      <c r="I24">
        <f>'Stats G1'!E25</f>
        <v>0</v>
      </c>
      <c r="J24">
        <f>'Stats G1'!H25</f>
        <v>4</v>
      </c>
      <c r="K24">
        <f t="shared" si="1"/>
        <v>4</v>
      </c>
      <c r="L24">
        <f>'Stats G1'!K25</f>
        <v>3</v>
      </c>
      <c r="M24">
        <f>'Stats G1'!N25</f>
        <v>1</v>
      </c>
      <c r="N24">
        <f>'Stats G1'!Q25/60</f>
        <v>25.133333333333333</v>
      </c>
    </row>
    <row r="25" spans="6:14" x14ac:dyDescent="0.2">
      <c r="F25" t="str">
        <f>'Stats G1'!A26</f>
        <v>Frank</v>
      </c>
      <c r="G25" t="str">
        <f>'Stats G1'!B26</f>
        <v>Jackson</v>
      </c>
      <c r="H25">
        <f>'Stats G1'!C26</f>
        <v>5</v>
      </c>
      <c r="I25">
        <f>'Stats G1'!E26</f>
        <v>0</v>
      </c>
      <c r="J25">
        <f>'Stats G1'!H26</f>
        <v>0</v>
      </c>
      <c r="K25">
        <f t="shared" si="1"/>
        <v>0</v>
      </c>
      <c r="L25">
        <f>'Stats G1'!K26</f>
        <v>0</v>
      </c>
      <c r="M25">
        <f>'Stats G1'!N26</f>
        <v>0</v>
      </c>
      <c r="N25">
        <f>'Stats G1'!Q26/60</f>
        <v>0</v>
      </c>
    </row>
    <row r="26" spans="6:14" x14ac:dyDescent="0.2">
      <c r="F26" t="str">
        <f>'Stats G1'!A27</f>
        <v>Trey</v>
      </c>
      <c r="G26" t="str">
        <f>'Stats G1'!B27</f>
        <v>Kennedy</v>
      </c>
      <c r="H26">
        <f>'Stats G1'!C27</f>
        <v>10</v>
      </c>
      <c r="I26">
        <f>'Stats G1'!E27</f>
        <v>0</v>
      </c>
      <c r="J26">
        <f>'Stats G1'!H27</f>
        <v>0</v>
      </c>
      <c r="K26">
        <f t="shared" si="1"/>
        <v>0</v>
      </c>
      <c r="L26">
        <f>'Stats G1'!K27</f>
        <v>0</v>
      </c>
      <c r="M26">
        <f>'Stats G1'!N27</f>
        <v>0</v>
      </c>
      <c r="N26">
        <f>'Stats G1'!Q27/60</f>
        <v>0</v>
      </c>
    </row>
    <row r="27" spans="6:14" x14ac:dyDescent="0.2">
      <c r="F27" t="str">
        <f>'Stats G1'!A28</f>
        <v>Will</v>
      </c>
      <c r="G27" t="str">
        <f>'Stats G1'!B28</f>
        <v>Joyce</v>
      </c>
      <c r="H27">
        <f>'Stats G1'!C28</f>
        <v>11</v>
      </c>
      <c r="I27">
        <f>'Stats G1'!E28</f>
        <v>0</v>
      </c>
      <c r="J27">
        <f>'Stats G1'!H28</f>
        <v>0</v>
      </c>
      <c r="K27">
        <f t="shared" si="1"/>
        <v>0</v>
      </c>
      <c r="L27">
        <f>'Stats G1'!K28</f>
        <v>0</v>
      </c>
      <c r="M27">
        <f>'Stats G1'!N28</f>
        <v>0</v>
      </c>
      <c r="N27">
        <f>'Stats G1'!Q28/60</f>
        <v>0</v>
      </c>
    </row>
    <row r="28" spans="6:14" x14ac:dyDescent="0.2">
      <c r="F28" t="str">
        <f>'Stats G1'!A29</f>
        <v xml:space="preserve">Jael </v>
      </c>
      <c r="G28" t="str">
        <f>'Stats G1'!B29</f>
        <v>Vaughn</v>
      </c>
      <c r="H28">
        <f>'Stats G1'!C29</f>
        <v>12</v>
      </c>
      <c r="I28">
        <f>'Stats G1'!E29</f>
        <v>1</v>
      </c>
      <c r="J28">
        <f>'Stats G1'!H29</f>
        <v>5</v>
      </c>
      <c r="K28">
        <f t="shared" si="1"/>
        <v>6</v>
      </c>
      <c r="L28">
        <f>'Stats G1'!K29</f>
        <v>2</v>
      </c>
      <c r="M28">
        <f>'Stats G1'!N29</f>
        <v>2</v>
      </c>
      <c r="N28">
        <f>'Stats G1'!Q29/60</f>
        <v>20.483333333333334</v>
      </c>
    </row>
    <row r="29" spans="6:14" x14ac:dyDescent="0.2">
      <c r="F29" t="str">
        <f>'Stats G1'!A30</f>
        <v>Fardaws</v>
      </c>
      <c r="G29" t="str">
        <f>'Stats G1'!B30</f>
        <v>Aimaq</v>
      </c>
      <c r="H29">
        <f>'Stats G1'!C30</f>
        <v>21</v>
      </c>
      <c r="I29">
        <f>'Stats G1'!E30</f>
        <v>11</v>
      </c>
      <c r="J29">
        <f>'Stats G1'!H30</f>
        <v>5</v>
      </c>
      <c r="K29">
        <f t="shared" si="1"/>
        <v>16</v>
      </c>
      <c r="L29">
        <f>'Stats G1'!K30</f>
        <v>0</v>
      </c>
      <c r="M29">
        <f>'Stats G1'!N30</f>
        <v>0</v>
      </c>
      <c r="N29">
        <f>'Stats G1'!Q30/60</f>
        <v>35.466666666666669</v>
      </c>
    </row>
    <row r="30" spans="6:14" x14ac:dyDescent="0.2">
      <c r="F30" t="str">
        <f>'Stats G1'!A31</f>
        <v xml:space="preserve">Yoeli </v>
      </c>
      <c r="G30" t="str">
        <f>'Stats G1'!B31</f>
        <v>Childs</v>
      </c>
      <c r="H30">
        <f>'Stats G1'!C31</f>
        <v>22</v>
      </c>
      <c r="I30">
        <f>'Stats G1'!E31</f>
        <v>1</v>
      </c>
      <c r="J30">
        <f>'Stats G1'!H31</f>
        <v>8</v>
      </c>
      <c r="K30">
        <f t="shared" si="1"/>
        <v>9</v>
      </c>
      <c r="L30">
        <f>'Stats G1'!K31</f>
        <v>0</v>
      </c>
      <c r="M30">
        <f>'Stats G1'!N31</f>
        <v>0</v>
      </c>
      <c r="N30">
        <f>'Stats G1'!Q31/60</f>
        <v>33.116666666666667</v>
      </c>
    </row>
    <row r="31" spans="6:14" x14ac:dyDescent="0.2">
      <c r="F31" t="str">
        <f>'Stats G1'!A32</f>
        <v>Nicholas</v>
      </c>
      <c r="G31" t="str">
        <f>'Stats G1'!B32</f>
        <v>Paulos</v>
      </c>
      <c r="H31">
        <f>'Stats G1'!C32</f>
        <v>31</v>
      </c>
      <c r="I31">
        <f>'Stats G1'!E32</f>
        <v>0</v>
      </c>
      <c r="J31">
        <f>'Stats G1'!H32</f>
        <v>0</v>
      </c>
      <c r="K31">
        <f t="shared" si="1"/>
        <v>0</v>
      </c>
      <c r="L31">
        <f>'Stats G1'!K32</f>
        <v>0</v>
      </c>
      <c r="M31">
        <f>'Stats G1'!N32</f>
        <v>0</v>
      </c>
      <c r="N31">
        <f>'Stats G1'!Q32/60</f>
        <v>0</v>
      </c>
    </row>
    <row r="32" spans="6:14" x14ac:dyDescent="0.2">
      <c r="F32" t="str">
        <f>'Stats G1'!A33</f>
        <v>Zac</v>
      </c>
      <c r="G32" t="str">
        <f>'Stats G1'!B33</f>
        <v>Seljaas</v>
      </c>
      <c r="H32">
        <f>'Stats G1'!C33</f>
        <v>99</v>
      </c>
      <c r="I32">
        <f>'Stats G1'!E33</f>
        <v>0</v>
      </c>
      <c r="J32">
        <f>'Stats G1'!H33</f>
        <v>0</v>
      </c>
      <c r="K32">
        <f t="shared" si="1"/>
        <v>0</v>
      </c>
      <c r="L32">
        <f>'Stats G1'!K33</f>
        <v>0</v>
      </c>
      <c r="M32">
        <f>'Stats G1'!N33</f>
        <v>0</v>
      </c>
      <c r="N32">
        <f>'Stats G1'!Q33/60</f>
        <v>0</v>
      </c>
    </row>
    <row r="33" spans="6:14" x14ac:dyDescent="0.2">
      <c r="F33" t="str">
        <f>'Stats G1'!A34</f>
        <v>Jake</v>
      </c>
      <c r="G33" t="str">
        <f>'Stats G1'!B34</f>
        <v>Toolson</v>
      </c>
      <c r="H33">
        <f>'Stats G1'!C34</f>
        <v>45</v>
      </c>
      <c r="I33">
        <f>'Stats G1'!E34</f>
        <v>1</v>
      </c>
      <c r="J33">
        <f>'Stats G1'!H34</f>
        <v>10</v>
      </c>
      <c r="K33">
        <f t="shared" si="1"/>
        <v>11</v>
      </c>
      <c r="L33">
        <f>'Stats G1'!K34</f>
        <v>2</v>
      </c>
      <c r="M33">
        <f>'Stats G1'!N34</f>
        <v>2</v>
      </c>
      <c r="N33">
        <f>'Stats G1'!Q34/60</f>
        <v>24.416666666666668</v>
      </c>
    </row>
    <row r="34" spans="6:14" x14ac:dyDescent="0.2">
      <c r="F34" t="str">
        <f>'Stats G1'!A35</f>
        <v>Trey</v>
      </c>
      <c r="G34" t="str">
        <f>'Stats G1'!B35</f>
        <v>Woodbury</v>
      </c>
      <c r="H34">
        <f>'Stats G1'!C35</f>
        <v>4</v>
      </c>
      <c r="I34">
        <f>'Stats G1'!E35</f>
        <v>1</v>
      </c>
      <c r="J34">
        <f>'Stats G1'!H35</f>
        <v>6</v>
      </c>
      <c r="K34">
        <f t="shared" si="1"/>
        <v>7</v>
      </c>
      <c r="L34">
        <f>'Stats G1'!K35</f>
        <v>0</v>
      </c>
      <c r="M34">
        <f>'Stats G1'!N35</f>
        <v>0</v>
      </c>
      <c r="N34">
        <f>'Stats G1'!Q35/60</f>
        <v>34.383333333333333</v>
      </c>
    </row>
    <row r="35" spans="6:14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1"/>
        <v>0</v>
      </c>
      <c r="L35">
        <f>'Stats G1'!K36</f>
        <v>0</v>
      </c>
      <c r="M35">
        <f>'Stats G1'!N36</f>
        <v>0</v>
      </c>
      <c r="N35">
        <f>'Stats G1'!Q36/60</f>
        <v>0</v>
      </c>
    </row>
    <row r="36" spans="6:14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  <c r="L36">
        <f>'Stats G1'!K37</f>
        <v>0</v>
      </c>
      <c r="M36">
        <f>'Stats G1'!N37</f>
        <v>0</v>
      </c>
      <c r="N36">
        <f>'Stats G1'!Q37/60</f>
        <v>0</v>
      </c>
    </row>
    <row r="37" spans="6:14" x14ac:dyDescent="0.2">
      <c r="H37" s="2" t="s">
        <v>5</v>
      </c>
      <c r="I37">
        <f>SUM(I22:I36)</f>
        <v>17</v>
      </c>
      <c r="J37">
        <f>SUM(J22:J36)</f>
        <v>43</v>
      </c>
      <c r="K37">
        <f>SUM(K22:K36)</f>
        <v>60</v>
      </c>
      <c r="L37">
        <f>SUM(L22:L36)</f>
        <v>7</v>
      </c>
      <c r="M37">
        <f>SUM(M22:M36)</f>
        <v>5</v>
      </c>
      <c r="N37">
        <f>SUM(N22:N36)</f>
        <v>200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B3" zoomScaleNormal="100" workbookViewId="0">
      <selection activeCell="Q11" sqref="Q11"/>
    </sheetView>
  </sheetViews>
  <sheetFormatPr baseColWidth="10" defaultColWidth="10.6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8</v>
      </c>
      <c r="B3" s="1" t="s">
        <v>16</v>
      </c>
    </row>
    <row r="4" spans="1:21" x14ac:dyDescent="0.2">
      <c r="A4" t="s">
        <v>1</v>
      </c>
      <c r="B4" t="s">
        <v>2</v>
      </c>
      <c r="C4" t="s">
        <v>0</v>
      </c>
      <c r="E4" t="s">
        <v>266</v>
      </c>
      <c r="H4" t="s">
        <v>267</v>
      </c>
      <c r="K4" t="s">
        <v>264</v>
      </c>
      <c r="N4" t="s">
        <v>265</v>
      </c>
      <c r="Q4" t="s">
        <v>279</v>
      </c>
    </row>
    <row r="5" spans="1:21" s="6" customFormat="1" x14ac:dyDescent="0.2">
      <c r="A5" s="5" t="str">
        <f>_xlfn.IFNA(VLOOKUP($B$3&amp;ROWS($A$5:A5),Rosters!$B$2:$C$162,2,0),"?")</f>
        <v>Taylor</v>
      </c>
      <c r="B5" s="5" t="str">
        <f>_xlfn.IFNA(VLOOKUP($B$3&amp;ROWS($B$5:B5),Rosters!$B$2:$D$162,3,0),"?")</f>
        <v>Miller</v>
      </c>
      <c r="C5" s="5">
        <f>_xlfn.IFNA(VLOOKUP($B$3&amp;ROWS($C$5:C5),Rosters!$B$2:$E$162,4,0),"")</f>
        <v>0</v>
      </c>
      <c r="D5" s="5"/>
      <c r="E5" s="5">
        <v>1</v>
      </c>
      <c r="F5" s="5"/>
      <c r="G5" s="5"/>
      <c r="H5" s="5">
        <v>1</v>
      </c>
      <c r="I5" s="5"/>
      <c r="J5" s="5"/>
      <c r="K5" s="5">
        <v>1</v>
      </c>
      <c r="L5" s="5"/>
      <c r="M5" s="5"/>
      <c r="N5" s="5">
        <v>0</v>
      </c>
      <c r="O5" s="5"/>
      <c r="P5" s="5"/>
      <c r="Q5" s="5">
        <v>1390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Quae</v>
      </c>
      <c r="B6" s="6" t="str">
        <f>_xlfn.IFNA(VLOOKUP($B$3&amp;ROWS($B$5:B6),Rosters!$B$2:$D$162,3,0),"?")</f>
        <v>Furlow</v>
      </c>
      <c r="C6" s="6">
        <f>_xlfn.IFNA(VLOOKUP($B$3&amp;ROWS($C$5:C6),Rosters!$B$2:$E$162,4,0),"")</f>
        <v>1</v>
      </c>
      <c r="E6" s="6">
        <v>1</v>
      </c>
      <c r="H6" s="6">
        <v>5</v>
      </c>
      <c r="K6" s="6">
        <v>1</v>
      </c>
      <c r="N6" s="6">
        <v>2</v>
      </c>
      <c r="Q6" s="6">
        <v>1805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Jordan</v>
      </c>
      <c r="B7" s="5" t="str">
        <f>_xlfn.IFNA(VLOOKUP($B$3&amp;ROWS($B$5:B7),Rosters!$B$2:$D$162,3,0),"?")</f>
        <v>Gazdik</v>
      </c>
      <c r="C7" s="5">
        <f>_xlfn.IFNA(VLOOKUP($B$3&amp;ROWS($C$5:C7),Rosters!$B$2:$E$162,4,0),"")</f>
        <v>2</v>
      </c>
      <c r="D7" s="5"/>
      <c r="E7" s="5">
        <v>1</v>
      </c>
      <c r="F7" s="5"/>
      <c r="G7" s="5"/>
      <c r="H7" s="5">
        <v>2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1465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Cory</v>
      </c>
      <c r="B8" s="6" t="str">
        <f>_xlfn.IFNA(VLOOKUP($B$3&amp;ROWS($B$5:B8),Rosters!$B$2:$D$162,3,0),"?")</f>
        <v>Calvert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Chris</v>
      </c>
      <c r="B9" s="5" t="str">
        <f>_xlfn.IFNA(VLOOKUP($B$3&amp;ROWS($B$5:B9),Rosters!$B$2:$D$162,3,0),"?")</f>
        <v>Seeley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">
        <v>277</v>
      </c>
      <c r="B10" s="6" t="s">
        <v>125</v>
      </c>
      <c r="C10" s="6">
        <v>13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Hunter</v>
      </c>
      <c r="B11" s="5" t="str">
        <f>_xlfn.IFNA(VLOOKUP($B$3&amp;ROWS($B$5:B11),Rosters!$B$2:$D$162,3,0),"?")</f>
        <v>Erickson</v>
      </c>
      <c r="C11" s="5">
        <f>_xlfn.IFNA(VLOOKUP($B$3&amp;ROWS($C$5:C11),Rosters!$B$2:$E$162,4,0),"")</f>
        <v>10</v>
      </c>
      <c r="D11" s="5"/>
      <c r="E11" s="5">
        <v>2</v>
      </c>
      <c r="F11" s="5"/>
      <c r="G11" s="5"/>
      <c r="H11" s="5">
        <v>5</v>
      </c>
      <c r="I11" s="5"/>
      <c r="J11" s="5"/>
      <c r="K11" s="5">
        <v>1</v>
      </c>
      <c r="L11" s="5"/>
      <c r="M11" s="5"/>
      <c r="N11" s="5">
        <v>1</v>
      </c>
      <c r="O11" s="5"/>
      <c r="P11" s="5"/>
      <c r="Q11" s="5">
        <v>1705</v>
      </c>
      <c r="R11" s="5"/>
      <c r="S11" s="5"/>
      <c r="T11" s="5">
        <v>0</v>
      </c>
      <c r="U11" s="5"/>
    </row>
    <row r="12" spans="1:21" s="6" customFormat="1" x14ac:dyDescent="0.2">
      <c r="A12" s="6" t="s">
        <v>272</v>
      </c>
      <c r="B12" s="6" t="s">
        <v>273</v>
      </c>
      <c r="C12" s="6">
        <v>23</v>
      </c>
      <c r="E12" s="6">
        <v>1</v>
      </c>
      <c r="H12" s="6">
        <v>1</v>
      </c>
      <c r="K12" s="6">
        <v>0</v>
      </c>
      <c r="N12" s="6">
        <v>1</v>
      </c>
      <c r="Q12" s="6">
        <v>1010</v>
      </c>
      <c r="T12" s="6">
        <v>0</v>
      </c>
    </row>
    <row r="13" spans="1:21" s="6" customFormat="1" x14ac:dyDescent="0.2">
      <c r="A13" s="5" t="s">
        <v>275</v>
      </c>
      <c r="B13" s="5" t="s">
        <v>274</v>
      </c>
      <c r="C13" s="5" t="s">
        <v>276</v>
      </c>
      <c r="D13" s="5"/>
      <c r="E13" s="5">
        <v>3</v>
      </c>
      <c r="F13" s="5"/>
      <c r="G13" s="5"/>
      <c r="H13" s="5">
        <v>0</v>
      </c>
      <c r="I13" s="5"/>
      <c r="J13" s="5"/>
      <c r="K13" s="5">
        <v>1</v>
      </c>
      <c r="L13" s="5"/>
      <c r="M13" s="5"/>
      <c r="N13" s="5">
        <v>0</v>
      </c>
      <c r="O13" s="5"/>
      <c r="P13" s="5"/>
      <c r="Q13" s="5">
        <v>1238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Khalil</v>
      </c>
      <c r="B14" s="6" t="str">
        <f>_xlfn.IFNA(VLOOKUP($B$3&amp;ROWS($B$5:B14),Rosters!$B$2:$D$162,3,0),"?")</f>
        <v>Ahmad</v>
      </c>
      <c r="C14" s="6">
        <f>_xlfn.IFNA(VLOOKUP($B$3&amp;ROWS($C$5:C14),Rosters!$B$2:$E$162,4,0),"")</f>
        <v>14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 xml:space="preserve">Payton </v>
      </c>
      <c r="B15" s="5" t="str">
        <f>_xlfn.IFNA(VLOOKUP($B$3&amp;ROWS($B$5:B15),Rosters!$B$2:$D$162,3,0),"?")</f>
        <v>Dastrop</v>
      </c>
      <c r="C15" s="5">
        <f>_xlfn.IFNA(VLOOKUP($B$3&amp;ROWS($C$5:C15),Rosters!$B$2:$E$162,4,0),"")</f>
        <v>15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John</v>
      </c>
      <c r="B16" s="6" t="str">
        <f>_xlfn.IFNA(VLOOKUP($B$3&amp;ROWS($B$5:B16),Rosters!$B$2:$D$162,3,0),"?")</f>
        <v>Bennett</v>
      </c>
      <c r="C16" s="6">
        <f>_xlfn.IFNA(VLOOKUP($B$3&amp;ROWS($C$5:C16),Rosters!$B$2:$E$162,4,0),"")</f>
        <v>22</v>
      </c>
      <c r="E16" s="6">
        <v>2</v>
      </c>
      <c r="H16" s="6">
        <v>1</v>
      </c>
      <c r="K16" s="6">
        <v>0</v>
      </c>
      <c r="N16" s="6">
        <v>0</v>
      </c>
      <c r="Q16" s="6">
        <v>916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 xml:space="preserve">Caleb </v>
      </c>
      <c r="B17" s="5" t="str">
        <f>_xlfn.IFNA(VLOOKUP($B$3&amp;ROWS($B$5:B17),Rosters!$B$2:$D$162,3,0),"?")</f>
        <v>Lohner</v>
      </c>
      <c r="C17" s="5">
        <f>_xlfn.IFNA(VLOOKUP($B$3&amp;ROWS($C$5:C17),Rosters!$B$2:$E$162,4,0),"")</f>
        <v>33</v>
      </c>
      <c r="D17" s="5"/>
      <c r="E17" s="5">
        <v>4</v>
      </c>
      <c r="F17" s="5"/>
      <c r="G17" s="5"/>
      <c r="H17" s="5">
        <v>5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1461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Johnny</v>
      </c>
      <c r="B18" s="6" t="str">
        <f>_xlfn.IFNA(VLOOKUP($B$3&amp;ROWS($B$5:B18),Rosters!$B$2:$D$162,3,0),"?")</f>
        <v>Dupre</v>
      </c>
      <c r="C18" s="6">
        <f>_xlfn.IFNA(VLOOKUP($B$3&amp;ROWS($C$5:C18),Rosters!$B$2:$E$162,4,0),"")</f>
        <v>41</v>
      </c>
      <c r="E18" s="6">
        <v>0</v>
      </c>
      <c r="H18" s="6">
        <v>0</v>
      </c>
      <c r="K18" s="6">
        <v>0</v>
      </c>
      <c r="N18" s="6">
        <v>3</v>
      </c>
      <c r="Q18" s="6">
        <v>198</v>
      </c>
      <c r="T18" s="6">
        <v>0</v>
      </c>
    </row>
    <row r="19" spans="1:21" s="6" customFormat="1" x14ac:dyDescent="0.2">
      <c r="A19" s="5" t="s">
        <v>171</v>
      </c>
      <c r="B19" s="5" t="s">
        <v>271</v>
      </c>
      <c r="C19" s="5">
        <v>32</v>
      </c>
      <c r="D19" s="5"/>
      <c r="E19" s="5">
        <v>0</v>
      </c>
      <c r="F19" s="5"/>
      <c r="G19" s="5"/>
      <c r="H19" s="5">
        <v>4</v>
      </c>
      <c r="I19" s="5"/>
      <c r="J19" s="5"/>
      <c r="K19" s="5">
        <v>1</v>
      </c>
      <c r="L19" s="5"/>
      <c r="M19" s="5"/>
      <c r="N19" s="5">
        <v>3</v>
      </c>
      <c r="O19" s="5"/>
      <c r="P19" s="5"/>
      <c r="Q19" s="5">
        <v>812</v>
      </c>
      <c r="R19" s="5"/>
      <c r="S19" s="5"/>
      <c r="T19" s="5">
        <v>0</v>
      </c>
      <c r="U19" s="5"/>
    </row>
    <row r="20" spans="1:21" x14ac:dyDescent="0.2">
      <c r="E20">
        <f>SUM(E5:E19)</f>
        <v>15</v>
      </c>
      <c r="H20">
        <f>SUM(H5:H19)</f>
        <v>24</v>
      </c>
      <c r="K20">
        <f>SUM(K5:K19)</f>
        <v>5</v>
      </c>
      <c r="N20">
        <f>SUM(N5:N19)</f>
        <v>10</v>
      </c>
      <c r="Q20">
        <f>SUM(Q5:Q19)</f>
        <v>12000</v>
      </c>
      <c r="T20">
        <f>SUM(T5:T19)</f>
        <v>0</v>
      </c>
    </row>
    <row r="21" spans="1:21" x14ac:dyDescent="0.2">
      <c r="A21" s="2" t="s">
        <v>9</v>
      </c>
      <c r="B21" s="1" t="s">
        <v>21</v>
      </c>
    </row>
    <row r="22" spans="1:21" x14ac:dyDescent="0.2">
      <c r="A22" t="s">
        <v>1</v>
      </c>
      <c r="B22" t="s">
        <v>2</v>
      </c>
      <c r="C22" t="s">
        <v>0</v>
      </c>
      <c r="E22" t="s">
        <v>266</v>
      </c>
      <c r="H22" t="s">
        <v>267</v>
      </c>
      <c r="K22" t="s">
        <v>264</v>
      </c>
      <c r="N22" t="s">
        <v>265</v>
      </c>
      <c r="Q22" t="s">
        <v>279</v>
      </c>
    </row>
    <row r="23" spans="1:21" s="6" customFormat="1" x14ac:dyDescent="0.2">
      <c r="A23" s="5" t="str">
        <f>_xlfn.IFNA(VLOOKUP($B$21&amp;ROWS($A$23:A23),Rosters!$B$2:$C$162,2,0),"?")</f>
        <v>Neema</v>
      </c>
      <c r="B23" s="5" t="str">
        <f>_xlfn.IFNA(VLOOKUP($B$21&amp;ROWS($B$23:B23),Rosters!$B$2:$D$162,3,0),"?")</f>
        <v>Namdar</v>
      </c>
      <c r="C23" s="5">
        <f>_xlfn.IFNA(VLOOKUP($B$21&amp;ROWS($C$23:C23),Rosters!$B$2:$E$162,4,0),"")</f>
        <v>0</v>
      </c>
      <c r="D23" s="5"/>
      <c r="E23" s="5">
        <v>2</v>
      </c>
      <c r="F23" s="5"/>
      <c r="G23" s="5"/>
      <c r="H23" s="5">
        <v>5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1620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Velez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Tyus</v>
      </c>
      <c r="B25" s="5" t="str">
        <f>_xlfn.IFNA(VLOOKUP($B$21&amp;ROWS($B$23:B25),Rosters!$B$2:$D$162,3,0),"?")</f>
        <v>Jefferson</v>
      </c>
      <c r="C25" s="5">
        <f>_xlfn.IFNA(VLOOKUP($B$21&amp;ROWS($C$23:C25),Rosters!$B$2:$E$162,4,0),"")</f>
        <v>3</v>
      </c>
      <c r="D25" s="5"/>
      <c r="E25" s="5">
        <v>0</v>
      </c>
      <c r="F25" s="5"/>
      <c r="G25" s="5"/>
      <c r="H25" s="5">
        <v>4</v>
      </c>
      <c r="I25" s="5"/>
      <c r="J25" s="5"/>
      <c r="K25" s="5">
        <v>3</v>
      </c>
      <c r="L25" s="5"/>
      <c r="M25" s="5"/>
      <c r="N25" s="5">
        <v>1</v>
      </c>
      <c r="O25" s="5"/>
      <c r="P25" s="5"/>
      <c r="Q25" s="5">
        <v>1508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Frank</v>
      </c>
      <c r="B26" s="6" t="str">
        <f>_xlfn.IFNA(VLOOKUP($B$21&amp;ROWS($B$23:B26),Rosters!$B$2:$D$162,3,0),"?")</f>
        <v>Jackson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Kennedy</v>
      </c>
      <c r="C27" s="5">
        <f>_xlfn.IFNA(VLOOKUP($B$21&amp;ROWS($C$23:C27),Rosters!$B$2:$E$162,4,0),"")</f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Will</v>
      </c>
      <c r="B28" s="6" t="str">
        <f>_xlfn.IFNA(VLOOKUP($B$21&amp;ROWS($B$23:B28),Rosters!$B$2:$D$162,3,0),"?")</f>
        <v>Joyce</v>
      </c>
      <c r="C28" s="6">
        <f>_xlfn.IFNA(VLOOKUP($B$21&amp;ROWS($C$23:C28),Rosters!$B$2:$E$162,4,0),"")</f>
        <v>11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 xml:space="preserve">Jael </v>
      </c>
      <c r="B29" s="5" t="str">
        <f>_xlfn.IFNA(VLOOKUP($B$21&amp;ROWS($B$23:B29),Rosters!$B$2:$D$162,3,0),"?")</f>
        <v>Vaughn</v>
      </c>
      <c r="C29" s="5">
        <f>_xlfn.IFNA(VLOOKUP($B$21&amp;ROWS($C$23:C29),Rosters!$B$2:$E$162,4,0),"")</f>
        <v>12</v>
      </c>
      <c r="D29" s="5"/>
      <c r="E29" s="5">
        <v>1</v>
      </c>
      <c r="F29" s="5"/>
      <c r="G29" s="5"/>
      <c r="H29" s="5">
        <v>5</v>
      </c>
      <c r="I29" s="5"/>
      <c r="J29" s="5"/>
      <c r="K29" s="5">
        <v>2</v>
      </c>
      <c r="L29" s="5"/>
      <c r="M29" s="5"/>
      <c r="N29" s="5">
        <v>2</v>
      </c>
      <c r="O29" s="5"/>
      <c r="P29" s="5"/>
      <c r="Q29" s="5">
        <v>1229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Fardaws</v>
      </c>
      <c r="B30" s="6" t="str">
        <f>_xlfn.IFNA(VLOOKUP($B$21&amp;ROWS($B$23:B30),Rosters!$B$2:$D$162,3,0),"?")</f>
        <v>Aimaq</v>
      </c>
      <c r="C30" s="6">
        <f>_xlfn.IFNA(VLOOKUP($B$21&amp;ROWS($C$23:C30),Rosters!$B$2:$E$162,4,0),"")</f>
        <v>21</v>
      </c>
      <c r="E30" s="6">
        <v>11</v>
      </c>
      <c r="H30" s="6">
        <v>5</v>
      </c>
      <c r="K30" s="6">
        <v>0</v>
      </c>
      <c r="N30" s="6">
        <v>0</v>
      </c>
      <c r="Q30" s="6">
        <v>2128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 xml:space="preserve">Yoeli </v>
      </c>
      <c r="B31" s="5" t="str">
        <f>_xlfn.IFNA(VLOOKUP($B$21&amp;ROWS($B$23:B31),Rosters!$B$2:$D$162,3,0),"?")</f>
        <v>Childs</v>
      </c>
      <c r="C31" s="5">
        <f>_xlfn.IFNA(VLOOKUP($B$21&amp;ROWS($C$23:C31),Rosters!$B$2:$E$162,4,0),"")</f>
        <v>22</v>
      </c>
      <c r="D31" s="5"/>
      <c r="E31" s="5">
        <v>1</v>
      </c>
      <c r="F31" s="5"/>
      <c r="G31" s="5"/>
      <c r="H31" s="5">
        <v>8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1987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Nicholas</v>
      </c>
      <c r="B32" s="6" t="str">
        <f>_xlfn.IFNA(VLOOKUP($B$21&amp;ROWS($B$23:B32),Rosters!$B$2:$D$162,3,0),"?")</f>
        <v>Paulos</v>
      </c>
      <c r="C32" s="6">
        <f>_xlfn.IFNA(VLOOKUP($B$21&amp;ROWS($C$23:C32),Rosters!$B$2:$E$162,4,0),"")</f>
        <v>31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Zac</v>
      </c>
      <c r="B33" s="5" t="str">
        <f>_xlfn.IFNA(VLOOKUP($B$21&amp;ROWS($B$23:B33),Rosters!$B$2:$D$162,3,0),"?")</f>
        <v>Seljaas</v>
      </c>
      <c r="C33" s="5">
        <f>_xlfn.IFNA(VLOOKUP($B$21&amp;ROWS($C$23:C33),Rosters!$B$2:$E$162,4,0),"")</f>
        <v>99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">
        <v>270</v>
      </c>
      <c r="B34" s="6" t="s">
        <v>237</v>
      </c>
      <c r="C34" s="6">
        <v>45</v>
      </c>
      <c r="D34"/>
      <c r="E34" s="6">
        <v>1</v>
      </c>
      <c r="F34"/>
      <c r="G34"/>
      <c r="H34" s="6">
        <v>10</v>
      </c>
      <c r="I34"/>
      <c r="J34"/>
      <c r="K34" s="6">
        <v>2</v>
      </c>
      <c r="L34"/>
      <c r="M34"/>
      <c r="N34" s="6">
        <v>2</v>
      </c>
      <c r="O34"/>
      <c r="P34"/>
      <c r="Q34" s="6">
        <v>1465</v>
      </c>
      <c r="R34"/>
      <c r="S34"/>
      <c r="T34" s="6">
        <v>0</v>
      </c>
      <c r="U34"/>
    </row>
    <row r="35" spans="1:21" s="6" customFormat="1" x14ac:dyDescent="0.2">
      <c r="A35" s="5" t="s">
        <v>171</v>
      </c>
      <c r="B35" s="5" t="s">
        <v>278</v>
      </c>
      <c r="C35" s="5">
        <v>4</v>
      </c>
      <c r="D35" s="5"/>
      <c r="E35" s="5">
        <v>1</v>
      </c>
      <c r="F35" s="5"/>
      <c r="G35" s="5"/>
      <c r="H35" s="5">
        <v>6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2063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17</v>
      </c>
      <c r="H38">
        <f>SUM(H23:H37)</f>
        <v>43</v>
      </c>
      <c r="K38">
        <f>SUM(K23:K37)</f>
        <v>7</v>
      </c>
      <c r="N38">
        <f>SUM(N23:N37)</f>
        <v>5</v>
      </c>
      <c r="Q38">
        <f>SUM(Q23:Q37)</f>
        <v>12000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49" workbookViewId="0">
      <selection activeCell="C58" sqref="C58"/>
    </sheetView>
  </sheetViews>
  <sheetFormatPr baseColWidth="10" defaultColWidth="10.6640625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260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46</v>
      </c>
      <c r="B14" t="str">
        <f>A14&amp;COUNTIF($A$2:$A14,A14)</f>
        <v>Roberts 1</v>
      </c>
      <c r="C14" t="s">
        <v>61</v>
      </c>
      <c r="D14" t="s">
        <v>62</v>
      </c>
      <c r="E14">
        <v>0</v>
      </c>
    </row>
    <row r="15" spans="1:5" x14ac:dyDescent="0.2">
      <c r="A15" t="s">
        <v>46</v>
      </c>
      <c r="B15" t="str">
        <f>A15&amp;COUNTIF($A$2:$A15,A15)</f>
        <v>Roberts 2</v>
      </c>
      <c r="C15" t="s">
        <v>49</v>
      </c>
      <c r="D15" t="s">
        <v>50</v>
      </c>
      <c r="E15">
        <v>1</v>
      </c>
    </row>
    <row r="16" spans="1:5" x14ac:dyDescent="0.2">
      <c r="A16" t="s">
        <v>46</v>
      </c>
      <c r="B16" t="str">
        <f>A16&amp;COUNTIF($A$2:$A16,A16)</f>
        <v>Roberts 3</v>
      </c>
      <c r="C16" t="s">
        <v>66</v>
      </c>
      <c r="D16" t="s">
        <v>67</v>
      </c>
      <c r="E16">
        <v>2</v>
      </c>
    </row>
    <row r="17" spans="1:5" x14ac:dyDescent="0.2">
      <c r="A17" t="s">
        <v>46</v>
      </c>
      <c r="B17" t="str">
        <f>A17&amp;COUNTIF($A$2:$A17,A17)</f>
        <v>Roberts 4</v>
      </c>
      <c r="C17" t="s">
        <v>59</v>
      </c>
      <c r="D17" t="s">
        <v>60</v>
      </c>
      <c r="E17">
        <v>5</v>
      </c>
    </row>
    <row r="18" spans="1:5" x14ac:dyDescent="0.2">
      <c r="A18" t="s">
        <v>46</v>
      </c>
      <c r="B18" t="str">
        <f>A18&amp;COUNTIF($A$2:$A18,A18)</f>
        <v>Roberts 5</v>
      </c>
      <c r="C18" t="s">
        <v>65</v>
      </c>
      <c r="D18" t="s">
        <v>22</v>
      </c>
      <c r="E18">
        <v>9</v>
      </c>
    </row>
    <row r="19" spans="1:5" x14ac:dyDescent="0.2">
      <c r="A19" t="s">
        <v>46</v>
      </c>
      <c r="B19" t="str">
        <f>A19&amp;COUNTIF($A$2:$A19,A19)</f>
        <v>Roberts 6</v>
      </c>
      <c r="C19" t="s">
        <v>68</v>
      </c>
      <c r="D19" t="s">
        <v>32</v>
      </c>
      <c r="E19">
        <v>9</v>
      </c>
    </row>
    <row r="20" spans="1:5" x14ac:dyDescent="0.2">
      <c r="A20" t="s">
        <v>46</v>
      </c>
      <c r="B20" t="str">
        <f>A20&amp;COUNTIF($A$2:$A20,A20)</f>
        <v>Roberts 7</v>
      </c>
      <c r="C20" t="s">
        <v>69</v>
      </c>
      <c r="D20" t="s">
        <v>70</v>
      </c>
      <c r="E20">
        <v>12</v>
      </c>
    </row>
    <row r="21" spans="1:5" x14ac:dyDescent="0.2">
      <c r="A21" t="s">
        <v>46</v>
      </c>
      <c r="B21" t="str">
        <f>A21&amp;COUNTIF($A$2:$A21,A21)</f>
        <v>Roberts 8</v>
      </c>
      <c r="C21" t="s">
        <v>47</v>
      </c>
      <c r="D21" t="s">
        <v>48</v>
      </c>
      <c r="E21">
        <v>13</v>
      </c>
    </row>
    <row r="22" spans="1:5" x14ac:dyDescent="0.2">
      <c r="A22" t="s">
        <v>46</v>
      </c>
      <c r="B22" t="str">
        <f>A22&amp;COUNTIF($A$2:$A22,A22)</f>
        <v>Roberts 9</v>
      </c>
      <c r="C22" t="s">
        <v>63</v>
      </c>
      <c r="D22" t="s">
        <v>64</v>
      </c>
      <c r="E22">
        <v>15</v>
      </c>
    </row>
    <row r="23" spans="1:5" x14ac:dyDescent="0.2">
      <c r="A23" t="s">
        <v>46</v>
      </c>
      <c r="B23" t="str">
        <f>A23&amp;COUNTIF($A$2:$A23,A23)</f>
        <v>Roberts 10</v>
      </c>
      <c r="C23" t="s">
        <v>53</v>
      </c>
      <c r="D23" t="s">
        <v>54</v>
      </c>
      <c r="E23">
        <v>21</v>
      </c>
    </row>
    <row r="24" spans="1:5" x14ac:dyDescent="0.2">
      <c r="A24" t="s">
        <v>46</v>
      </c>
      <c r="B24" t="str">
        <f>A24&amp;COUNTIF($A$2:$A24,A24)</f>
        <v>Roberts 11</v>
      </c>
      <c r="C24" t="s">
        <v>51</v>
      </c>
      <c r="D24" t="s">
        <v>52</v>
      </c>
      <c r="E24">
        <v>22</v>
      </c>
    </row>
    <row r="25" spans="1:5" x14ac:dyDescent="0.2">
      <c r="A25" t="s">
        <v>46</v>
      </c>
      <c r="B25" t="str">
        <f>A25&amp;COUNTIF($A$2:$A25,A25)</f>
        <v>Roberts 12</v>
      </c>
      <c r="C25" t="s">
        <v>57</v>
      </c>
      <c r="D25" t="s">
        <v>58</v>
      </c>
      <c r="E25">
        <v>23</v>
      </c>
    </row>
    <row r="26" spans="1:5" x14ac:dyDescent="0.2">
      <c r="A26" t="s">
        <v>46</v>
      </c>
      <c r="B26" t="str">
        <f>A26&amp;COUNTIF($A$2:$A26,A26)</f>
        <v>Roberts 13</v>
      </c>
      <c r="C26" t="s">
        <v>55</v>
      </c>
      <c r="D26" t="s">
        <v>56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71</v>
      </c>
      <c r="D27" t="s">
        <v>72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79</v>
      </c>
      <c r="D28" t="s">
        <v>80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88</v>
      </c>
      <c r="D29" t="s">
        <v>89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81</v>
      </c>
      <c r="D30" t="s">
        <v>82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73</v>
      </c>
      <c r="D31" t="s">
        <v>74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75</v>
      </c>
      <c r="D32" t="s">
        <v>76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85</v>
      </c>
      <c r="D33" t="s">
        <v>86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87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83</v>
      </c>
      <c r="D35" t="s">
        <v>84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90</v>
      </c>
      <c r="D36" t="s">
        <v>91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77</v>
      </c>
      <c r="D37" t="s">
        <v>78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92</v>
      </c>
      <c r="D38" t="s">
        <v>93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101</v>
      </c>
      <c r="D39" t="s">
        <v>102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99</v>
      </c>
      <c r="D40" t="s">
        <v>100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103</v>
      </c>
      <c r="D41" t="s">
        <v>104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109</v>
      </c>
      <c r="D42" t="s">
        <v>110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97</v>
      </c>
      <c r="D43" t="s">
        <v>98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94</v>
      </c>
      <c r="D45" t="s">
        <v>95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105</v>
      </c>
      <c r="D46" t="s">
        <v>106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96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107</v>
      </c>
      <c r="D49" t="s">
        <v>108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122</v>
      </c>
      <c r="D50" t="s">
        <v>123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126</v>
      </c>
      <c r="D51" t="s">
        <v>127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53</v>
      </c>
      <c r="D52" t="s">
        <v>128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118</v>
      </c>
      <c r="D53" t="s">
        <v>119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134</v>
      </c>
      <c r="D54" t="s">
        <v>135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120</v>
      </c>
      <c r="D55" t="s">
        <v>121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87</v>
      </c>
      <c r="D56" t="s">
        <v>131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136</v>
      </c>
      <c r="D57" t="s">
        <v>137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124</v>
      </c>
      <c r="D58" t="s">
        <v>125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138</v>
      </c>
      <c r="D59" t="s">
        <v>139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115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116</v>
      </c>
      <c r="D61" t="s">
        <v>117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129</v>
      </c>
      <c r="D62" t="s">
        <v>130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132</v>
      </c>
      <c r="D63" t="s">
        <v>133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144</v>
      </c>
      <c r="D64" t="s">
        <v>145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159</v>
      </c>
      <c r="D65" t="s">
        <v>160</v>
      </c>
      <c r="E65" s="7" t="s">
        <v>263</v>
      </c>
    </row>
    <row r="66" spans="1:5" x14ac:dyDescent="0.2">
      <c r="A66" t="s">
        <v>15</v>
      </c>
      <c r="B66" t="str">
        <f>A66&amp;COUNTIF($A$2:$A66,A66)</f>
        <v>Covington3</v>
      </c>
      <c r="C66" t="s">
        <v>161</v>
      </c>
      <c r="D66" t="s">
        <v>162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141</v>
      </c>
      <c r="D67" t="s">
        <v>142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151</v>
      </c>
      <c r="D68" t="s">
        <v>152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148</v>
      </c>
      <c r="D69" t="s">
        <v>149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140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146</v>
      </c>
      <c r="D71" t="s">
        <v>147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155</v>
      </c>
      <c r="D72" t="s">
        <v>156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150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153</v>
      </c>
      <c r="D74" t="s">
        <v>154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157</v>
      </c>
      <c r="D75" t="s">
        <v>158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53</v>
      </c>
      <c r="D76" t="s">
        <v>143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168</v>
      </c>
      <c r="D77" t="s">
        <v>169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177</v>
      </c>
      <c r="D78" t="s">
        <v>178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166</v>
      </c>
      <c r="D79" t="s">
        <v>167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165</v>
      </c>
      <c r="D80" t="s">
        <v>150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171</v>
      </c>
      <c r="D81" t="s">
        <v>172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179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170</v>
      </c>
      <c r="D83" t="s">
        <v>76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180</v>
      </c>
      <c r="D84" t="s">
        <v>181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163</v>
      </c>
      <c r="D85" t="s">
        <v>164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173</v>
      </c>
      <c r="D86" t="s">
        <v>174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175</v>
      </c>
      <c r="D87" t="s">
        <v>176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192</v>
      </c>
      <c r="D88" t="s">
        <v>193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66</v>
      </c>
      <c r="D89" t="s">
        <v>183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184</v>
      </c>
      <c r="D90" t="s">
        <v>185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97</v>
      </c>
      <c r="D91" t="s">
        <v>188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171</v>
      </c>
      <c r="D92" t="s">
        <v>62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269</v>
      </c>
      <c r="D93" t="s">
        <v>196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194</v>
      </c>
      <c r="D94" t="s">
        <v>195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87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191</v>
      </c>
      <c r="D96" t="s">
        <v>169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189</v>
      </c>
      <c r="D97" t="s">
        <v>190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66</v>
      </c>
      <c r="D98" t="s">
        <v>182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186</v>
      </c>
      <c r="D99" t="s">
        <v>187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200</v>
      </c>
      <c r="D100" t="s">
        <v>80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197</v>
      </c>
      <c r="D101" t="s">
        <v>198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71</v>
      </c>
      <c r="D102" t="s">
        <v>178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199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203</v>
      </c>
      <c r="D104" t="s">
        <v>204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205</v>
      </c>
      <c r="D105" t="s">
        <v>206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196</v>
      </c>
      <c r="D106" t="s">
        <v>202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207</v>
      </c>
      <c r="D107" t="s">
        <v>208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209</v>
      </c>
      <c r="D108" t="s">
        <v>204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201</v>
      </c>
      <c r="D109" t="s">
        <v>100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210</v>
      </c>
      <c r="D110" t="s">
        <v>53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211</v>
      </c>
      <c r="D111" t="s">
        <v>212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177</v>
      </c>
      <c r="D112" t="s">
        <v>213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177</v>
      </c>
      <c r="D113" t="s">
        <v>222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216</v>
      </c>
      <c r="D114" t="s">
        <v>217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218</v>
      </c>
      <c r="D115" t="s">
        <v>219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214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223</v>
      </c>
      <c r="D117" t="s">
        <v>224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215</v>
      </c>
      <c r="D119" t="s">
        <v>150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220</v>
      </c>
      <c r="D120" t="s">
        <v>221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230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155</v>
      </c>
      <c r="D122" t="s">
        <v>225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236</v>
      </c>
      <c r="D123" t="s">
        <v>237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226</v>
      </c>
      <c r="D124" t="s">
        <v>227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230</v>
      </c>
      <c r="D125" t="s">
        <v>235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233</v>
      </c>
      <c r="D126" t="s">
        <v>234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238</v>
      </c>
      <c r="D127" t="s">
        <v>239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231</v>
      </c>
      <c r="D128" t="s">
        <v>232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228</v>
      </c>
      <c r="D129" t="s">
        <v>229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246</v>
      </c>
      <c r="D130" t="s">
        <v>247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196</v>
      </c>
      <c r="D131" t="s">
        <v>242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243</v>
      </c>
      <c r="D132" t="s">
        <v>244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251</v>
      </c>
      <c r="D133" t="s">
        <v>252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248</v>
      </c>
      <c r="D134" t="s">
        <v>249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147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240</v>
      </c>
      <c r="D136" t="s">
        <v>241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245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253</v>
      </c>
      <c r="D138" t="s">
        <v>232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250</v>
      </c>
      <c r="D139" t="s">
        <v>102</v>
      </c>
      <c r="E139">
        <v>30</v>
      </c>
    </row>
    <row r="140" spans="1:5" x14ac:dyDescent="0.2">
      <c r="A140" t="s">
        <v>254</v>
      </c>
      <c r="B140" t="str">
        <f>A140&amp;COUNTIF($A$2:$A140,A140)</f>
        <v>Guest 1</v>
      </c>
      <c r="C140" t="s">
        <v>255</v>
      </c>
      <c r="D140" t="s">
        <v>256</v>
      </c>
      <c r="E140">
        <v>2</v>
      </c>
    </row>
    <row r="141" spans="1:5" x14ac:dyDescent="0.2">
      <c r="A141" t="s">
        <v>254</v>
      </c>
      <c r="B141" t="str">
        <f>A141&amp;COUNTIF($A$2:$A141,A141)</f>
        <v>Guest 2</v>
      </c>
      <c r="C141" t="s">
        <v>81</v>
      </c>
      <c r="D141" t="s">
        <v>257</v>
      </c>
      <c r="E141">
        <v>10</v>
      </c>
    </row>
    <row r="142" spans="1:5" x14ac:dyDescent="0.2">
      <c r="A142" t="s">
        <v>254</v>
      </c>
      <c r="B142" t="str">
        <f>A142&amp;COUNTIF($A$2:$A142,A142)</f>
        <v>Guest 3</v>
      </c>
      <c r="C142" t="s">
        <v>258</v>
      </c>
      <c r="D142" t="s">
        <v>259</v>
      </c>
      <c r="E142">
        <v>19</v>
      </c>
    </row>
    <row r="143" spans="1:5" x14ac:dyDescent="0.2">
      <c r="A143" t="s">
        <v>254</v>
      </c>
      <c r="B143" t="str">
        <f>A143&amp;COUNTIF($A$2:$A143,A143)</f>
        <v>Guest 4</v>
      </c>
      <c r="C143" t="s">
        <v>261</v>
      </c>
      <c r="D143" t="s">
        <v>262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2021-07-24T17:22:52Z</dcterms:modified>
</cp:coreProperties>
</file>