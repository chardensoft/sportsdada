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EB267809-FCA7-DC4C-AEEA-AF0707BB3FE4}" xr6:coauthVersionLast="47" xr6:coauthVersionMax="47" xr10:uidLastSave="{00000000-0000-0000-0000-000000000000}"/>
  <bookViews>
    <workbookView xWindow="18800" yWindow="500" windowWidth="100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I37" i="2"/>
  <c r="J37" i="2"/>
  <c r="K37" i="2"/>
  <c r="K23" i="2"/>
  <c r="J23" i="2"/>
  <c r="I2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9" i="2" l="1"/>
  <c r="I38" i="2"/>
  <c r="L38" i="2"/>
  <c r="L19" i="2"/>
  <c r="B6" i="1"/>
  <c r="G4" i="2" s="1"/>
  <c r="B33" i="1"/>
  <c r="G33" i="2" s="1"/>
  <c r="H32" i="2"/>
  <c r="C25" i="1"/>
  <c r="H25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9" i="2" s="1"/>
  <c r="G21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8" i="2" l="1"/>
  <c r="D3" i="2" s="1"/>
  <c r="J19" i="2"/>
  <c r="I19" i="2"/>
  <c r="B3" i="2" s="1"/>
  <c r="C13" i="1"/>
  <c r="H11" i="2" s="1"/>
  <c r="B25" i="1"/>
  <c r="G25" i="2" s="1"/>
  <c r="A14" i="1"/>
  <c r="F12" i="2" s="1"/>
  <c r="A6" i="1"/>
  <c r="F4" i="2" s="1"/>
  <c r="B13" i="1"/>
  <c r="G11" i="2" s="1"/>
  <c r="C5" i="1"/>
  <c r="C12" i="1"/>
  <c r="H10" i="2" s="1"/>
  <c r="B24" i="1"/>
  <c r="G24" i="2" s="1"/>
  <c r="H35" i="2"/>
  <c r="A33" i="1"/>
  <c r="F33" i="2" s="1"/>
  <c r="B30" i="1"/>
  <c r="G30" i="2" s="1"/>
  <c r="C27" i="1"/>
  <c r="H27" i="2" s="1"/>
  <c r="A25" i="1"/>
  <c r="F25" i="2" s="1"/>
  <c r="A7" i="1"/>
  <c r="F5" i="2" s="1"/>
  <c r="A36" i="1"/>
  <c r="F36" i="2" s="1"/>
  <c r="C30" i="1"/>
  <c r="H30" i="2" s="1"/>
  <c r="B12" i="1"/>
  <c r="G10" i="2" s="1"/>
  <c r="C24" i="1"/>
  <c r="H24" i="2" s="1"/>
  <c r="A30" i="1"/>
  <c r="F30" i="2" s="1"/>
  <c r="G17" i="2"/>
  <c r="C10" i="1"/>
  <c r="H8" i="2" s="1"/>
  <c r="A35" i="1"/>
  <c r="F35" i="2" s="1"/>
  <c r="G16" i="2"/>
  <c r="C9" i="1"/>
  <c r="H7" i="2" s="1"/>
  <c r="B29" i="1"/>
  <c r="G29" i="2" s="1"/>
  <c r="A18" i="1"/>
  <c r="F16" i="2" s="1"/>
  <c r="B9" i="1"/>
  <c r="G7" i="2" s="1"/>
  <c r="C16" i="1"/>
  <c r="H14" i="2" s="1"/>
  <c r="C8" i="1"/>
  <c r="H6" i="2" s="1"/>
  <c r="A23" i="1"/>
  <c r="F23" i="2" s="1"/>
  <c r="A37" i="1"/>
  <c r="F37" i="2" s="1"/>
  <c r="B34" i="1"/>
  <c r="C31" i="1"/>
  <c r="H31" i="2" s="1"/>
  <c r="A29" i="1"/>
  <c r="F29" i="2" s="1"/>
  <c r="B26" i="1"/>
  <c r="G26" i="2" s="1"/>
  <c r="B14" i="1"/>
  <c r="G12" i="2" s="1"/>
  <c r="A24" i="1"/>
  <c r="F24" i="2" s="1"/>
  <c r="A28" i="1"/>
  <c r="F28" i="2" s="1"/>
  <c r="B5" i="1"/>
  <c r="G3" i="2" s="1"/>
  <c r="H17" i="2"/>
  <c r="B35" i="1"/>
  <c r="G35" i="2" s="1"/>
  <c r="B27" i="1"/>
  <c r="G27" i="2" s="1"/>
  <c r="A12" i="1"/>
  <c r="F10" i="2" s="1"/>
  <c r="H16" i="2"/>
  <c r="B32" i="1"/>
  <c r="G32" i="2" s="1"/>
  <c r="A27" i="1"/>
  <c r="F27" i="2" s="1"/>
  <c r="A11" i="1"/>
  <c r="F9" i="2" s="1"/>
  <c r="H15" i="2"/>
  <c r="A32" i="1"/>
  <c r="F32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3" i="2" s="1"/>
  <c r="C36" i="1"/>
  <c r="H36" i="2" s="1"/>
  <c r="A34" i="1"/>
  <c r="B31" i="1"/>
  <c r="G31" i="2" s="1"/>
  <c r="C28" i="1"/>
  <c r="H28" i="2" s="1"/>
  <c r="A26" i="1"/>
  <c r="F26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7" i="2" s="1"/>
  <c r="A19" i="1"/>
  <c r="F17" i="2" s="1"/>
  <c r="B10" i="1"/>
  <c r="G8" i="2" s="1"/>
  <c r="B37" i="1"/>
  <c r="G37" i="2" s="1"/>
  <c r="H34" i="2"/>
  <c r="C26" i="1"/>
  <c r="H26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3" i="2" s="1"/>
  <c r="B36" i="1"/>
  <c r="G36" i="2" s="1"/>
  <c r="A31" i="1"/>
  <c r="F31" i="2" s="1"/>
  <c r="B28" i="1"/>
  <c r="G28" i="2" s="1"/>
  <c r="K38" i="2"/>
  <c r="H3" i="2"/>
</calcChain>
</file>

<file path=xl/sharedStrings.xml><?xml version="1.0" encoding="utf-8"?>
<sst xmlns="http://schemas.openxmlformats.org/spreadsheetml/2006/main" count="488" uniqueCount="273">
  <si>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</si>
  <si>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</si>
  <si>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</si>
  <si>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</si>
  <si>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</si>
  <si>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</si>
  <si>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</si>
  <si>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</si>
  <si>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</si>
  <si>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</si>
  <si>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</si>
  <si>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</si>
  <si>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</si>
  <si>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</si>
  <si>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</si>
  <si>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</si>
  <si>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</si>
  <si>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</si>
  <si>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</si>
  <si>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</si>
  <si>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</si>
  <si>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</si>
  <si>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</si>
  <si>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</si>
  <si>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</si>
  <si>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</si>
  <si>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</si>
  <si>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</si>
  <si>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</si>
  <si>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</si>
  <si>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</si>
  <si>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</si>
  <si>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</si>
  <si>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</si>
  <si>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</si>
  <si>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</si>
  <si>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</si>
  <si>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</si>
  <si>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</si>
  <si>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</si>
  <si>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</si>
  <si>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</si>
  <si>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</si>
  <si>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</si>
  <si>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</si>
  <si>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</si>
  <si>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</si>
  <si>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</si>
  <si>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</si>
  <si>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</si>
  <si>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</si>
  <si>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</si>
  <si>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</si>
  <si>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</si>
  <si>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</si>
  <si>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</si>
  <si>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</si>
  <si>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</si>
  <si>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</si>
  <si>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</si>
  <si>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</si>
  <si>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</si>
  <si>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</si>
  <si>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</si>
  <si>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</si>
  <si>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</si>
  <si>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</si>
  <si>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</si>
  <si>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</si>
  <si>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</si>
  <si>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</si>
  <si>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</si>
  <si>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</si>
  <si>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</si>
  <si>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</si>
  <si>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</si>
  <si>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</si>
  <si>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</si>
  <si>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</si>
  <si>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</si>
  <si>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</si>
  <si>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</si>
  <si>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</si>
  <si>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</si>
  <si>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</si>
  <si>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</si>
  <si>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</si>
  <si>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</si>
  <si>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</si>
  <si>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</si>
  <si>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</si>
  <si>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</si>
  <si>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</si>
  <si>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</si>
  <si>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</si>
  <si>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</si>
  <si>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</si>
  <si>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</si>
  <si>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</si>
  <si>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</si>
  <si>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</si>
  <si>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</si>
  <si>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</si>
  <si>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</si>
  <si>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</si>
  <si>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</si>
  <si>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</si>
  <si>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</si>
  <si>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</si>
  <si>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</si>
  <si>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</si>
  <si>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</si>
  <si>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</si>
  <si>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</si>
  <si>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</si>
  <si>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</si>
  <si>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</si>
  <si>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</si>
  <si>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</si>
  <si>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</si>
  <si>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</si>
  <si>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</si>
  <si>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</si>
  <si>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</si>
  <si>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</si>
  <si>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</si>
  <si>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</si>
  <si>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</si>
  <si>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</si>
  <si>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</si>
  <si>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</si>
  <si>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</si>
  <si>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</si>
  <si>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</si>
  <si>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</si>
  <si>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</si>
  <si>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</si>
  <si>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</si>
  <si>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</si>
  <si>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</si>
  <si>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</si>
  <si>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</si>
  <si>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</si>
  <si>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</si>
  <si>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</si>
  <si>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</si>
  <si>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</si>
  <si>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</si>
  <si>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</si>
  <si>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</si>
  <si>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</si>
  <si>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</si>
  <si>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</si>
  <si>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</si>
  <si>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</si>
  <si>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</si>
  <si>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</si>
  <si>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</si>
  <si>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</si>
  <si>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</si>
  <si>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</si>
  <si>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</si>
  <si>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</si>
  <si>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</si>
  <si>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</si>
  <si>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</si>
  <si>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</si>
  <si>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</si>
  <si>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</si>
  <si>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</si>
  <si>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</si>
  <si>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</si>
  <si>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</si>
  <si>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</si>
  <si>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</si>
  <si>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</si>
  <si>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</si>
  <si>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</si>
  <si>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</si>
  <si>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</si>
  <si>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</si>
  <si>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</si>
  <si>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</si>
  <si>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</si>
  <si>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</si>
  <si>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</si>
  <si>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</si>
  <si>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</si>
  <si>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</si>
  <si>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</si>
  <si>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</si>
  <si>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</si>
  <si>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</si>
  <si>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</si>
  <si>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</si>
  <si>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</si>
  <si>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</si>
  <si>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</si>
  <si>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</si>
  <si>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</si>
  <si>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</si>
  <si>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</si>
  <si>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</si>
  <si>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</si>
  <si>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</si>
  <si>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</si>
  <si>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</si>
  <si>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</si>
  <si>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</si>
  <si>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</si>
  <si>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</si>
  <si>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</si>
  <si>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</si>
  <si>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</si>
  <si>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</si>
  <si>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</si>
  <si>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</si>
  <si>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</si>
  <si>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</si>
  <si>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</si>
  <si>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</si>
  <si>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</si>
  <si>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</si>
  <si>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</si>
  <si>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</si>
  <si>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</si>
  <si>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</si>
  <si>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</si>
  <si>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</si>
  <si>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</si>
  <si>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</si>
  <si>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</si>
  <si>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</si>
  <si>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</si>
  <si>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</si>
  <si>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</si>
  <si>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</si>
  <si>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</si>
  <si>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</si>
  <si>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</si>
  <si>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</si>
  <si>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</si>
  <si>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</si>
  <si>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</si>
  <si>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</si>
  <si>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</si>
  <si>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</si>
  <si>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</si>
  <si>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</si>
  <si>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</si>
  <si>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</si>
  <si>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</si>
  <si>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</si>
  <si>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</si>
  <si>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</si>
  <si>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</si>
  <si>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</si>
  <si>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</si>
  <si>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</si>
  <si>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</si>
  <si>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</si>
  <si>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</si>
  <si>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</si>
  <si>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</si>
  <si>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</si>
  <si>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</si>
  <si>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</si>
  <si>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</si>
  <si>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</si>
  <si>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</si>
  <si>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blue tshirt</t>
  </si>
  <si>
    <t>white guy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</si>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</sst>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49" fontId="0" fillId="2" borderId="0" xfId="0" quotePrefix="1" applyNumberFormat="1" applyFill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8"/>
  <sheetViews>
    <sheetView tabSelected="1" workbookViewId="0">
      <selection activeCell="G15" sqref="G15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Draney</v>
      </c>
    </row>
    <row r="2" spans="2:12" x14ac:dyDescent="0.2">
      <c r="B2" t="str">
        <f>G1</f>
        <v>Draney</v>
      </c>
      <c r="D2" t="str">
        <f>G21</f>
        <v>Fulton</v>
      </c>
      <c r="F2" t="s">
        <v>1</v>
      </c>
      <c r="G2" t="s">
        <v>2</v>
      </c>
      <c r="H2" t="s">
        <v>0</v>
      </c>
      <c r="I2" t="s">
        <v>268</v>
      </c>
      <c r="J2" t="s">
        <v>264</v>
      </c>
      <c r="K2" t="s">
        <v>265</v>
      </c>
      <c r="L2" t="s">
        <v>267</v>
      </c>
    </row>
    <row r="3" spans="2:12" x14ac:dyDescent="0.2">
      <c r="B3">
        <f>I19</f>
        <v>10</v>
      </c>
      <c r="C3" s="3" t="s">
        <v>6</v>
      </c>
      <c r="D3" s="4">
        <f>J38</f>
        <v>23</v>
      </c>
      <c r="F3" t="str">
        <f>'Stats G1'!A5</f>
        <v>Roman</v>
      </c>
      <c r="G3" t="str">
        <f>'Stats G1'!B5</f>
        <v>McKnight</v>
      </c>
      <c r="H3">
        <f>'Stats G1'!C5</f>
        <v>0</v>
      </c>
      <c r="I3">
        <f>'Stats G1'!E5</f>
        <v>1</v>
      </c>
      <c r="J3">
        <f>'Stats G1'!H5</f>
        <v>5</v>
      </c>
      <c r="K3">
        <f>'Stats G1'!K5</f>
        <v>0</v>
      </c>
    </row>
    <row r="4" spans="2:12" x14ac:dyDescent="0.2">
      <c r="F4" t="str">
        <f>'Stats G1'!A6</f>
        <v xml:space="preserve">Brendan </v>
      </c>
      <c r="G4" t="str">
        <f>'Stats G1'!B6</f>
        <v>Bailey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</row>
    <row r="5" spans="2:12" x14ac:dyDescent="0.2">
      <c r="F5" t="str">
        <f>'Stats G1'!A7</f>
        <v>Marquis</v>
      </c>
      <c r="G5" t="str">
        <f>'Stats G1'!B7</f>
        <v>Velez</v>
      </c>
      <c r="H5">
        <f>'Stats G1'!C7</f>
        <v>2</v>
      </c>
      <c r="I5">
        <f>'Stats G1'!E7</f>
        <v>2</v>
      </c>
      <c r="J5">
        <f>'Stats G1'!H7</f>
        <v>1</v>
      </c>
      <c r="K5">
        <f>'Stats G1'!K7</f>
        <v>0</v>
      </c>
    </row>
    <row r="6" spans="2:12" x14ac:dyDescent="0.2">
      <c r="F6" t="str">
        <f>'Stats G1'!A8</f>
        <v>Marcus</v>
      </c>
      <c r="G6" t="str">
        <f>'Stats G1'!B8</f>
        <v>Draney</v>
      </c>
      <c r="H6">
        <f>'Stats G1'!C8</f>
        <v>4</v>
      </c>
      <c r="I6">
        <f>'Stats G1'!E8</f>
        <v>2</v>
      </c>
      <c r="J6">
        <f>'Stats G1'!H8</f>
        <v>5</v>
      </c>
      <c r="K6">
        <f>'Stats G1'!K8</f>
        <v>0</v>
      </c>
    </row>
    <row r="7" spans="2:12" x14ac:dyDescent="0.2">
      <c r="F7" t="str">
        <f>'Stats G1'!A9</f>
        <v>Stefan</v>
      </c>
      <c r="G7" t="str">
        <f>'Stats G1'!B9</f>
        <v>Briggs</v>
      </c>
      <c r="H7">
        <f>'Stats G1'!C9</f>
        <v>8</v>
      </c>
      <c r="I7">
        <f>'Stats G1'!E9</f>
        <v>0</v>
      </c>
      <c r="J7">
        <f>'Stats G1'!H9</f>
        <v>2</v>
      </c>
      <c r="K7">
        <f>'Stats G1'!K9</f>
        <v>0</v>
      </c>
    </row>
    <row r="8" spans="2:12" x14ac:dyDescent="0.2">
      <c r="F8" t="str">
        <f>'Stats G1'!A10</f>
        <v>Derrick</v>
      </c>
      <c r="G8" t="str">
        <f>'Stats G1'!B10</f>
        <v>Buys</v>
      </c>
      <c r="H8">
        <f>'Stats G1'!C10</f>
        <v>11</v>
      </c>
      <c r="I8">
        <f>'Stats G1'!E10</f>
        <v>0</v>
      </c>
      <c r="J8">
        <f>'Stats G1'!H10</f>
        <v>0</v>
      </c>
      <c r="K8">
        <f>'Stats G1'!K10</f>
        <v>0</v>
      </c>
    </row>
    <row r="9" spans="2:12" x14ac:dyDescent="0.2">
      <c r="F9" t="str">
        <f>'Stats G1'!A11</f>
        <v>James</v>
      </c>
      <c r="G9" t="str">
        <f>'Stats G1'!B11</f>
        <v>Kamich</v>
      </c>
      <c r="H9">
        <f>'Stats G1'!C11</f>
        <v>22</v>
      </c>
      <c r="I9">
        <f>'Stats G1'!E11</f>
        <v>0</v>
      </c>
      <c r="J9">
        <f>'Stats G1'!H11</f>
        <v>0</v>
      </c>
      <c r="K9">
        <f>'Stats G1'!K11</f>
        <v>0</v>
      </c>
    </row>
    <row r="10" spans="2:12" x14ac:dyDescent="0.2">
      <c r="F10" t="str">
        <f>'Stats G1'!A12</f>
        <v>Duncan</v>
      </c>
      <c r="G10" t="str">
        <f>'Stats G1'!B12</f>
        <v>Reid</v>
      </c>
      <c r="H10">
        <f>'Stats G1'!C12</f>
        <v>22</v>
      </c>
      <c r="I10">
        <f>'Stats G1'!E12</f>
        <v>0</v>
      </c>
      <c r="J10">
        <f>'Stats G1'!H12</f>
        <v>0</v>
      </c>
      <c r="K10">
        <f>'Stats G1'!K12</f>
        <v>0</v>
      </c>
    </row>
    <row r="11" spans="2:12" x14ac:dyDescent="0.2">
      <c r="F11" t="str">
        <f>'Stats G1'!A13</f>
        <v>Darrian</v>
      </c>
      <c r="G11" t="str">
        <f>'Stats G1'!B13</f>
        <v>Briggs</v>
      </c>
      <c r="H11">
        <f>'Stats G1'!C13</f>
        <v>22</v>
      </c>
      <c r="I11">
        <f>'Stats G1'!E13</f>
        <v>1</v>
      </c>
      <c r="J11">
        <f>'Stats G1'!H13</f>
        <v>2</v>
      </c>
      <c r="K11">
        <f>'Stats G1'!K13</f>
        <v>0</v>
      </c>
    </row>
    <row r="12" spans="2:12" x14ac:dyDescent="0.2">
      <c r="F12" t="str">
        <f>'Stats G1'!A14</f>
        <v>Deonte</v>
      </c>
      <c r="G12" t="str">
        <f>'Stats G1'!B14</f>
        <v>Burton</v>
      </c>
      <c r="H12">
        <f>'Stats G1'!C14</f>
        <v>24</v>
      </c>
      <c r="I12">
        <f>'Stats G1'!E14</f>
        <v>2</v>
      </c>
      <c r="J12">
        <f>'Stats G1'!H14</f>
        <v>2</v>
      </c>
      <c r="K12">
        <f>'Stats G1'!K14</f>
        <v>0</v>
      </c>
    </row>
    <row r="13" spans="2:12" x14ac:dyDescent="0.2">
      <c r="F13" t="str">
        <f>'Stats G1'!A15</f>
        <v>Jarret</v>
      </c>
      <c r="G13" t="str">
        <f>'Stats G1'!B15</f>
        <v>Jordan</v>
      </c>
      <c r="H13">
        <f>'Stats G1'!C15</f>
        <v>25</v>
      </c>
      <c r="I13">
        <f>'Stats G1'!E15</f>
        <v>0</v>
      </c>
      <c r="J13">
        <f>'Stats G1'!H15</f>
        <v>0</v>
      </c>
      <c r="K13">
        <f>'Stats G1'!K15</f>
        <v>0</v>
      </c>
    </row>
    <row r="14" spans="2:12" x14ac:dyDescent="0.2">
      <c r="F14" t="str">
        <f>'Stats G1'!A16</f>
        <v>Ousmaine</v>
      </c>
      <c r="G14" t="str">
        <f>'Stats G1'!B16</f>
        <v>Dia</v>
      </c>
      <c r="H14">
        <f>'Stats G1'!C16</f>
        <v>30</v>
      </c>
      <c r="I14">
        <f>'Stats G1'!E16</f>
        <v>0</v>
      </c>
      <c r="J14">
        <f>'Stats G1'!H16</f>
        <v>0</v>
      </c>
      <c r="K14">
        <f>'Stats G1'!K16</f>
        <v>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>00</v>
      </c>
      <c r="I15">
        <f>'Stats G1'!E17</f>
        <v>1</v>
      </c>
      <c r="J15">
        <f>'Stats G1'!H17</f>
        <v>1</v>
      </c>
      <c r="K15">
        <f>'Stats G1'!K17</f>
        <v>1</v>
      </c>
    </row>
    <row r="16" spans="2:12" x14ac:dyDescent="0.2">
      <c r="F16" t="str">
        <f>'Stats G1'!A18</f>
        <v>?</v>
      </c>
      <c r="G16" t="str">
        <f>'Stats G1'!B18</f>
        <v>blue tshirt</v>
      </c>
      <c r="H16">
        <f>'Stats G1'!C18</f>
        <v>4</v>
      </c>
      <c r="I16">
        <f>'Stats G1'!E18</f>
        <v>1</v>
      </c>
      <c r="J16">
        <f>'Stats G1'!H18</f>
        <v>2</v>
      </c>
      <c r="K16">
        <f>'Stats G1'!K18</f>
        <v>0</v>
      </c>
    </row>
    <row r="17" spans="6:12" x14ac:dyDescent="0.2">
      <c r="F17" t="str">
        <f>'Stats G1'!A19</f>
        <v>?</v>
      </c>
      <c r="G17" t="str">
        <f>'Stats G1'!B19</f>
        <v>white guy</v>
      </c>
      <c r="H17">
        <f>'Stats G1'!C19</f>
        <v>1</v>
      </c>
      <c r="I17">
        <f>'Stats G1'!E19</f>
        <v>0</v>
      </c>
      <c r="J17">
        <f>'Stats G1'!H19</f>
        <v>1</v>
      </c>
      <c r="K17">
        <f>'Stats G1'!K19</f>
        <v>0</v>
      </c>
    </row>
    <row r="18" spans="6:12" x14ac:dyDescent="0.2">
      <c r="F18" t="s">
        <v>272</v>
      </c>
      <c r="G18" t="s">
        <v>272</v>
      </c>
      <c r="H18">
        <v>5</v>
      </c>
      <c r="I18">
        <v>0</v>
      </c>
      <c r="J18">
        <v>0</v>
      </c>
      <c r="K18">
        <v>0</v>
      </c>
    </row>
    <row r="19" spans="6:12" x14ac:dyDescent="0.2">
      <c r="H19" s="2" t="s">
        <v>5</v>
      </c>
      <c r="I19">
        <f>SUM(I3:I17)</f>
        <v>10</v>
      </c>
      <c r="J19">
        <f>SUM(J3:J17)</f>
        <v>21</v>
      </c>
      <c r="K19">
        <f>SUM(K3:K17)</f>
        <v>1</v>
      </c>
      <c r="L19">
        <f>'Stats G1'!W5</f>
        <v>4</v>
      </c>
    </row>
    <row r="21" spans="6:12" x14ac:dyDescent="0.2">
      <c r="F21" t="s">
        <v>4</v>
      </c>
      <c r="G21" t="str">
        <f>'Stats G1'!B21</f>
        <v>Fulton</v>
      </c>
    </row>
    <row r="22" spans="6:12" x14ac:dyDescent="0.2">
      <c r="F22" t="s">
        <v>1</v>
      </c>
      <c r="G22" t="s">
        <v>2</v>
      </c>
      <c r="H22" t="s">
        <v>0</v>
      </c>
      <c r="I22" t="s">
        <v>268</v>
      </c>
      <c r="J22" t="s">
        <v>264</v>
      </c>
      <c r="K22" t="s">
        <v>265</v>
      </c>
      <c r="L22" t="s">
        <v>267</v>
      </c>
    </row>
    <row r="23" spans="6:12" x14ac:dyDescent="0.2">
      <c r="F23" t="str">
        <f>'Stats G1'!A23</f>
        <v>Connor</v>
      </c>
      <c r="G23" t="str">
        <f>'Stats G1'!B23</f>
        <v>Fulton</v>
      </c>
      <c r="H23">
        <f>'Stats G1'!C23</f>
        <v>1</v>
      </c>
      <c r="I23">
        <f>'Stats G1'!E23</f>
        <v>1</v>
      </c>
      <c r="J23">
        <f>'Stats G1'!H23</f>
        <v>3</v>
      </c>
      <c r="K23">
        <f>'Stats G1'!K23</f>
        <v>0</v>
      </c>
    </row>
    <row r="24" spans="6:12" x14ac:dyDescent="0.2">
      <c r="F24" t="str">
        <f>'Stats G1'!A24</f>
        <v>Tanner</v>
      </c>
      <c r="G24" t="str">
        <f>'Stats G1'!B24</f>
        <v>Nygren</v>
      </c>
      <c r="H24">
        <f>'Stats G1'!C24</f>
        <v>2</v>
      </c>
      <c r="I24">
        <f>'Stats G1'!E24</f>
        <v>0</v>
      </c>
      <c r="J24">
        <f>'Stats G1'!H24</f>
        <v>1</v>
      </c>
      <c r="K24">
        <f>'Stats G1'!K24</f>
        <v>0</v>
      </c>
    </row>
    <row r="25" spans="6:12" x14ac:dyDescent="0.2">
      <c r="F25" t="str">
        <f>'Stats G1'!A25</f>
        <v xml:space="preserve">Conner </v>
      </c>
      <c r="G25" t="str">
        <f>'Stats G1'!B25</f>
        <v>Toolson</v>
      </c>
      <c r="H25">
        <f>'Stats G1'!C25</f>
        <v>5</v>
      </c>
      <c r="I25">
        <f>'Stats G1'!E25</f>
        <v>0</v>
      </c>
      <c r="J25">
        <f>'Stats G1'!H25</f>
        <v>0</v>
      </c>
      <c r="K25">
        <f>'Stats G1'!K25</f>
        <v>0</v>
      </c>
    </row>
    <row r="26" spans="6:12" x14ac:dyDescent="0.2">
      <c r="F26" t="str">
        <f>'Stats G1'!A26</f>
        <v>Dalton</v>
      </c>
      <c r="G26" t="str">
        <f>'Stats G1'!B26</f>
        <v>Nixon</v>
      </c>
      <c r="H26">
        <f>'Stats G1'!C26</f>
        <v>6</v>
      </c>
      <c r="I26">
        <f>'Stats G1'!E26</f>
        <v>0</v>
      </c>
      <c r="J26">
        <f>'Stats G1'!H26</f>
        <v>0</v>
      </c>
      <c r="K26">
        <f>'Stats G1'!K26</f>
        <v>0</v>
      </c>
    </row>
    <row r="27" spans="6:12" x14ac:dyDescent="0.2">
      <c r="F27" t="str">
        <f>'Stats G1'!A27</f>
        <v>Connor</v>
      </c>
      <c r="G27" t="str">
        <f>'Stats G1'!B27</f>
        <v>Harding</v>
      </c>
      <c r="H27">
        <f>'Stats G1'!C27</f>
        <v>11</v>
      </c>
      <c r="I27">
        <f>'Stats G1'!E27</f>
        <v>4</v>
      </c>
      <c r="J27">
        <f>'Stats G1'!H27</f>
        <v>3</v>
      </c>
      <c r="K27">
        <f>'Stats G1'!K27</f>
        <v>2</v>
      </c>
    </row>
    <row r="28" spans="6:12" x14ac:dyDescent="0.2">
      <c r="F28" t="str">
        <f>'Stats G1'!A28</f>
        <v>Colby</v>
      </c>
      <c r="G28" t="str">
        <f>'Stats G1'!B28</f>
        <v>Leifson</v>
      </c>
      <c r="H28">
        <f>'Stats G1'!C28</f>
        <v>13</v>
      </c>
      <c r="I28">
        <f>'Stats G1'!E28</f>
        <v>0</v>
      </c>
      <c r="J28">
        <f>'Stats G1'!H28</f>
        <v>2</v>
      </c>
      <c r="K28">
        <f>'Stats G1'!K28</f>
        <v>0</v>
      </c>
    </row>
    <row r="29" spans="6:12" x14ac:dyDescent="0.2">
      <c r="F29" t="str">
        <f>'Stats G1'!A29</f>
        <v>Ibe</v>
      </c>
      <c r="G29" t="str">
        <f>'Stats G1'!B29</f>
        <v>Gerlach</v>
      </c>
      <c r="H29">
        <f>'Stats G1'!C29</f>
        <v>20</v>
      </c>
      <c r="I29">
        <f>'Stats G1'!E29</f>
        <v>1</v>
      </c>
      <c r="J29">
        <f>'Stats G1'!H29</f>
        <v>4</v>
      </c>
      <c r="K29">
        <f>'Stats G1'!K29</f>
        <v>0</v>
      </c>
    </row>
    <row r="30" spans="6:12" x14ac:dyDescent="0.2">
      <c r="F30" t="str">
        <f>'Stats G1'!A30</f>
        <v>Trevor</v>
      </c>
      <c r="G30" t="str">
        <f>'Stats G1'!B30</f>
        <v>Thompson</v>
      </c>
      <c r="H30">
        <f>'Stats G1'!C30</f>
        <v>23</v>
      </c>
      <c r="I30">
        <f>'Stats G1'!E30</f>
        <v>0</v>
      </c>
      <c r="J30">
        <f>'Stats G1'!H30</f>
        <v>0</v>
      </c>
      <c r="K30">
        <f>'Stats G1'!K30</f>
        <v>0</v>
      </c>
    </row>
    <row r="31" spans="6:12" x14ac:dyDescent="0.2">
      <c r="F31" t="str">
        <f>'Stats G1'!A31</f>
        <v>Evan</v>
      </c>
      <c r="G31" t="str">
        <f>'Stats G1'!B31</f>
        <v>Troy</v>
      </c>
      <c r="H31">
        <f>'Stats G1'!C31</f>
        <v>24</v>
      </c>
      <c r="I31">
        <f>'Stats G1'!E31</f>
        <v>0</v>
      </c>
      <c r="J31">
        <f>'Stats G1'!H31</f>
        <v>0</v>
      </c>
      <c r="K31">
        <f>'Stats G1'!K31</f>
        <v>0</v>
      </c>
    </row>
    <row r="32" spans="6:12" x14ac:dyDescent="0.2">
      <c r="F32" t="str">
        <f>'Stats G1'!A32</f>
        <v>?</v>
      </c>
      <c r="G32" t="str">
        <f>'Stats G1'!B32</f>
        <v>?</v>
      </c>
      <c r="H32">
        <f>'Stats G1'!C32</f>
        <v>0</v>
      </c>
      <c r="I32">
        <f>'Stats G1'!E32</f>
        <v>1</v>
      </c>
      <c r="J32">
        <f>'Stats G1'!H32</f>
        <v>2</v>
      </c>
      <c r="K32">
        <f>'Stats G1'!K32</f>
        <v>0</v>
      </c>
    </row>
    <row r="33" spans="6:12" x14ac:dyDescent="0.2">
      <c r="F33" t="str">
        <f>'Stats G1'!A33</f>
        <v>?</v>
      </c>
      <c r="G33" t="str">
        <f>'Stats G1'!B33</f>
        <v>?</v>
      </c>
      <c r="I33">
        <f>'Stats G1'!E33</f>
        <v>0</v>
      </c>
      <c r="J33">
        <f>'Stats G1'!H33</f>
        <v>0</v>
      </c>
      <c r="K33">
        <f>'Stats G1'!K33</f>
        <v>0</v>
      </c>
    </row>
    <row r="34" spans="6:12" x14ac:dyDescent="0.2">
      <c r="F34" t="s">
        <v>101</v>
      </c>
      <c r="G34" t="s">
        <v>102</v>
      </c>
      <c r="H34">
        <f>'Stats G1'!C34</f>
        <v>8</v>
      </c>
      <c r="I34">
        <f>'Stats G1'!E34</f>
        <v>5</v>
      </c>
      <c r="J34">
        <f>'Stats G1'!H34</f>
        <v>3</v>
      </c>
      <c r="K34">
        <f>'Stats G1'!K34</f>
        <v>0</v>
      </c>
    </row>
    <row r="35" spans="6:12" x14ac:dyDescent="0.2">
      <c r="F35" t="str">
        <f>'Stats G1'!A35</f>
        <v>?</v>
      </c>
      <c r="G35" t="str">
        <f>'Stats G1'!B35</f>
        <v>?</v>
      </c>
      <c r="H35">
        <f>'Stats G1'!C35</f>
        <v>10</v>
      </c>
      <c r="I35">
        <f>'Stats G1'!E35</f>
        <v>1</v>
      </c>
      <c r="J35">
        <f>'Stats G1'!H35</f>
        <v>5</v>
      </c>
      <c r="K35">
        <f>'Stats G1'!K35</f>
        <v>0</v>
      </c>
    </row>
    <row r="36" spans="6:12" x14ac:dyDescent="0.2">
      <c r="F36" t="str">
        <f>'Stats G1'!A36</f>
        <v>?</v>
      </c>
      <c r="G36" t="str">
        <f>'Stats G1'!B36</f>
        <v>?</v>
      </c>
      <c r="H36" t="str">
        <f>'Stats G1'!C36</f>
        <v/>
      </c>
      <c r="I36">
        <f>'Stats G1'!E36</f>
        <v>0</v>
      </c>
      <c r="J36">
        <f>'Stats G1'!H36</f>
        <v>0</v>
      </c>
      <c r="K36">
        <f>'Stats G1'!K36</f>
        <v>0</v>
      </c>
    </row>
    <row r="37" spans="6:12" x14ac:dyDescent="0.2">
      <c r="F37" t="str">
        <f>'Stats G1'!A37</f>
        <v>?</v>
      </c>
      <c r="G37" t="str">
        <f>'Stats G1'!B37</f>
        <v>?</v>
      </c>
      <c r="H37" t="str">
        <f>'Stats G1'!C37</f>
        <v/>
      </c>
      <c r="I37">
        <f>'Stats G1'!E37</f>
        <v>0</v>
      </c>
      <c r="J37">
        <f>'Stats G1'!H37</f>
        <v>0</v>
      </c>
      <c r="K37">
        <f>'Stats G1'!K37</f>
        <v>0</v>
      </c>
    </row>
    <row r="38" spans="6:12" x14ac:dyDescent="0.2">
      <c r="H38" s="2" t="s">
        <v>5</v>
      </c>
      <c r="I38">
        <f>SUM(I23:I37)</f>
        <v>13</v>
      </c>
      <c r="J38">
        <f>SUM(J23:J37)</f>
        <v>23</v>
      </c>
      <c r="K38">
        <f>SUM(K23:K37)</f>
        <v>2</v>
      </c>
      <c r="L38">
        <f>'Stats G1'!W23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10" workbookViewId="0">
      <selection activeCell="C34" sqref="C3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17</v>
      </c>
    </row>
    <row r="4" spans="1:23" x14ac:dyDescent="0.2">
      <c r="A4" t="s">
        <v>1</v>
      </c>
      <c r="B4" t="s">
        <v>2</v>
      </c>
      <c r="C4" t="s">
        <v>0</v>
      </c>
      <c r="E4" t="s">
        <v>268</v>
      </c>
      <c r="H4" t="s">
        <v>264</v>
      </c>
      <c r="K4" t="s">
        <v>265</v>
      </c>
    </row>
    <row r="5" spans="1:23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5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266</v>
      </c>
      <c r="W5" s="6">
        <v>4</v>
      </c>
    </row>
    <row r="6" spans="1:23" s="6" customFormat="1" x14ac:dyDescent="0.2">
      <c r="A6" s="6" t="str">
        <f>_xlfn.IFNA(VLOOKUP($B$3&amp;ROWS($A$5:A6),Rosters!$B$2:$C$162,2,0),"?")</f>
        <v xml:space="preserve">Brendan 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2</v>
      </c>
      <c r="F7" s="5"/>
      <c r="G7" s="5"/>
      <c r="H7" s="5">
        <v>1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2</v>
      </c>
      <c r="H8" s="6">
        <v>5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0</v>
      </c>
      <c r="F9" s="5"/>
      <c r="G9" s="5"/>
      <c r="H9" s="5">
        <v>2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1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2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8" t="s">
        <v>263</v>
      </c>
      <c r="D17" s="5"/>
      <c r="E17" s="5">
        <v>1</v>
      </c>
      <c r="F17" s="5"/>
      <c r="G17" s="5"/>
      <c r="H17" s="5">
        <v>1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">
        <v>270</v>
      </c>
      <c r="C18" s="6">
        <v>4</v>
      </c>
      <c r="E18" s="6">
        <v>1</v>
      </c>
      <c r="H18" s="6">
        <v>2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">
        <v>271</v>
      </c>
      <c r="C19" s="5">
        <v>1</v>
      </c>
      <c r="D19" s="5"/>
      <c r="E19" s="5">
        <v>0</v>
      </c>
      <c r="F19" s="5"/>
      <c r="G19" s="5"/>
      <c r="H19" s="5">
        <v>1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10</v>
      </c>
      <c r="H20">
        <f>SUM(H5:H19)</f>
        <v>21</v>
      </c>
      <c r="K20">
        <f>SUM(K5:K19)</f>
        <v>1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9</v>
      </c>
      <c r="B21" s="1" t="s">
        <v>20</v>
      </c>
    </row>
    <row r="22" spans="1:23" x14ac:dyDescent="0.2">
      <c r="A22" t="s">
        <v>1</v>
      </c>
      <c r="B22" t="s">
        <v>2</v>
      </c>
      <c r="C22" t="s">
        <v>0</v>
      </c>
      <c r="E22" t="s">
        <v>268</v>
      </c>
      <c r="H22" t="s">
        <v>264</v>
      </c>
      <c r="K22" t="s">
        <v>265</v>
      </c>
    </row>
    <row r="23" spans="1:23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1</v>
      </c>
      <c r="F23" s="5"/>
      <c r="G23" s="5"/>
      <c r="H23" s="5">
        <v>3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266</v>
      </c>
      <c r="W23" s="6">
        <v>3</v>
      </c>
    </row>
    <row r="24" spans="1:23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0</v>
      </c>
      <c r="H24" s="6">
        <v>1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 xml:space="preserve">Conner 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4</v>
      </c>
      <c r="F27" s="5"/>
      <c r="G27" s="5"/>
      <c r="H27" s="5">
        <v>3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2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1</v>
      </c>
      <c r="F29" s="5"/>
      <c r="G29" s="5"/>
      <c r="H29" s="5">
        <v>4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>
        <v>0</v>
      </c>
      <c r="E32" s="6">
        <v>1</v>
      </c>
      <c r="H32" s="6">
        <v>2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/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>
        <v>8</v>
      </c>
      <c r="D34"/>
      <c r="E34" s="6">
        <v>5</v>
      </c>
      <c r="F34"/>
      <c r="G34"/>
      <c r="H34" s="6">
        <v>3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>
        <v>10</v>
      </c>
      <c r="D35" s="5"/>
      <c r="E35" s="5">
        <v>1</v>
      </c>
      <c r="F35" s="5"/>
      <c r="G35" s="5"/>
      <c r="H35" s="5">
        <v>5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13</v>
      </c>
      <c r="H38">
        <f>SUM(H23:H37)</f>
        <v>23</v>
      </c>
      <c r="K38">
        <f>SUM(K23:K37)</f>
        <v>2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B6" sqref="B6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2021-07-02T18:16:22Z</dcterms:modified>
</cp:coreProperties>
</file>