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C71D68FB-1BFB-7347-AFC7-521B4BFA703D}" xr6:coauthVersionLast="47" xr6:coauthVersionMax="47" xr10:uidLastSave="{00000000-0000-0000-0000-000000000000}"/>
  <bookViews>
    <workbookView xWindow="7980" yWindow="5180" windowWidth="19420" windowHeight="104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4" i="2" l="1"/>
  <c r="N33" i="2"/>
  <c r="N32" i="2"/>
  <c r="N28" i="2"/>
  <c r="N27" i="2"/>
  <c r="N24" i="2"/>
  <c r="N38" i="2"/>
  <c r="N29" i="2"/>
  <c r="N23" i="2"/>
  <c r="N19" i="2"/>
  <c r="N17" i="2"/>
  <c r="N6" i="2" l="1"/>
  <c r="N15" i="2"/>
  <c r="N12" i="2"/>
  <c r="N11" i="2"/>
  <c r="N16" i="2" l="1"/>
  <c r="N8" i="2"/>
  <c r="N7" i="2"/>
  <c r="N18" i="2"/>
  <c r="N5" i="2"/>
  <c r="N4" i="2"/>
  <c r="N3" i="2"/>
  <c r="B16" i="1"/>
  <c r="A16" i="1"/>
  <c r="B15" i="1"/>
  <c r="A15" i="1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2" i="2"/>
  <c r="B2" i="2"/>
  <c r="T38" i="1"/>
  <c r="Q38" i="1"/>
  <c r="N38" i="1"/>
  <c r="K38" i="1"/>
  <c r="H38" i="1"/>
  <c r="E38" i="1"/>
  <c r="T20" i="1"/>
  <c r="Q20" i="1"/>
  <c r="N20" i="1"/>
  <c r="K20" i="1"/>
  <c r="H20" i="1"/>
  <c r="E20" i="1"/>
  <c r="D3" i="2" l="1"/>
  <c r="A36" i="1"/>
  <c r="B19" i="1"/>
  <c r="A35" i="1"/>
  <c r="B18" i="1"/>
  <c r="A18" i="1"/>
  <c r="C19" i="1"/>
  <c r="B35" i="1"/>
  <c r="C18" i="1"/>
  <c r="C17" i="1"/>
  <c r="B17" i="1"/>
  <c r="A17" i="1"/>
  <c r="A19" i="1"/>
  <c r="B36" i="1"/>
  <c r="B3" i="2"/>
</calcChain>
</file>

<file path=xl/sharedStrings.xml><?xml version="1.0" encoding="utf-8"?>
<sst xmlns="http://schemas.openxmlformats.org/spreadsheetml/2006/main" count="613" uniqueCount="286">
  <si>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</si>
  <si>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</si>
  <si>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</si>
  <si>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</si>
  <si>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</si>
  <si>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</si>
  <si>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</si>
  <si>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</si>
  <si>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</si>
  <si>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</si>
  <si>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</si>
  <si>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</si>
  <si>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</si>
  <si>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</si>
  <si>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</si>
  <si>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</si>
  <si>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</si>
  <si>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</si>
  <si>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</si>
  <si>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</si>
  <si>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</si>
  <si>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</si>
  <si>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</si>
  <si>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</si>
  <si>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</si>
  <si>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</si>
  <si>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</si>
  <si>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</si>
  <si>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</si>
  <si>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</si>
  <si>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</si>
  <si>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</si>
  <si>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</si>
  <si>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</si>
  <si>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</si>
  <si>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</si>
  <si>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</si>
  <si>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</si>
  <si>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</si>
  <si>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</si>
  <si>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</si>
  <si>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</si>
  <si>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</si>
  <si>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</si>
  <si>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</si>
  <si>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</si>
  <si>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</si>
  <si>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</si>
  <si>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</si>
  <si>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</si>
  <si>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</si>
  <si>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</si>
  <si>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</si>
  <si>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</si>
  <si>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</si>
  <si>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</si>
  <si>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</si>
  <si>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</si>
  <si>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</si>
  <si>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</si>
  <si>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</si>
  <si>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</si>
  <si>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</si>
  <si>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</si>
  <si>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</si>
  <si>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</si>
  <si>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</si>
  <si>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</si>
  <si>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</si>
  <si>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</si>
  <si>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</si>
  <si>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</si>
  <si>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</si>
  <si>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</si>
  <si>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</si>
  <si>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</si>
  <si>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</si>
  <si>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</si>
  <si>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</si>
  <si>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</si>
  <si>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</si>
  <si>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</si>
  <si>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</si>
  <si>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</si>
  <si>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</si>
  <si>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</si>
  <si>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</si>
  <si>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</si>
  <si>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</si>
  <si>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</si>
  <si>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</si>
  <si>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</si>
  <si>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</si>
  <si>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</si>
  <si>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</si>
  <si>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</si>
  <si>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</si>
  <si>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</si>
  <si>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</si>
  <si>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</si>
  <si>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</si>
  <si>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</si>
  <si>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</si>
  <si>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</si>
  <si>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</si>
  <si>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</si>
  <si>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</si>
  <si>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</si>
  <si>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</si>
  <si>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</si>
  <si>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</si>
  <si>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</si>
  <si>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</si>
  <si>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</si>
  <si>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</si>
  <si>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</si>
  <si>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</si>
  <si>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</si>
  <si>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</si>
  <si>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</si>
  <si>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</si>
  <si>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</si>
  <si>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</si>
  <si>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</si>
  <si>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</si>
  <si>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</si>
  <si>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</si>
  <si>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</si>
  <si>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</si>
  <si>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</si>
  <si>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</si>
  <si>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</si>
  <si>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</si>
  <si>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</si>
  <si>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</si>
  <si>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</si>
  <si>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</si>
  <si>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</si>
  <si>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</si>
  <si>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</si>
  <si>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</si>
  <si>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</si>
  <si>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</si>
  <si>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</si>
  <si>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</si>
  <si>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</si>
  <si>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</si>
  <si>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</si>
  <si>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</si>
  <si>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</si>
  <si>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</si>
  <si>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</si>
  <si>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</si>
  <si>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</si>
  <si>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</si>
  <si>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</si>
  <si>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</si>
  <si>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</si>
  <si>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</si>
  <si>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</si>
  <si>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</si>
  <si>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</si>
  <si>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</si>
  <si>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</si>
  <si>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</si>
  <si>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</si>
  <si>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</si>
  <si>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</si>
  <si>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</si>
  <si>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</si>
  <si>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</si>
  <si>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</si>
  <si>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</si>
  <si>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</si>
  <si>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</si>
  <si>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</si>
  <si>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</si>
  <si>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</si>
  <si>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</si>
  <si>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</si>
  <si>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</si>
  <si>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</si>
  <si>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</si>
  <si>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</si>
  <si>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</si>
  <si>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</si>
  <si>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</si>
  <si>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</si>
  <si>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</si>
  <si>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</si>
  <si>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</si>
  <si>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</si>
  <si>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</si>
  <si>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</si>
  <si>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</si>
  <si>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</si>
  <si>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</si>
  <si>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</si>
  <si>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</si>
  <si>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</si>
  <si>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</si>
  <si>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</si>
  <si>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</si>
  <si>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</si>
  <si>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</si>
  <si>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</si>
  <si>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</si>
  <si>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</si>
  <si>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</si>
  <si>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</si>
  <si>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</si>
  <si>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</si>
  <si>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</si>
  <si>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</si>
  <si>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</si>
  <si>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</si>
  <si>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</si>
  <si>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</si>
  <si>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</si>
  <si>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</si>
  <si>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</si>
  <si>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</si>
  <si>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</si>
  <si>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</si>
  <si>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</si>
  <si>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</si>
  <si>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</si>
  <si>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</si>
  <si>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</si>
  <si>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</si>
  <si>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</si>
  <si>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</si>
  <si>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</si>
  <si>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</si>
  <si>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</si>
  <si>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</si>
  <si>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</si>
  <si>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</si>
  <si>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</si>
  <si>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</si>
  <si>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</si>
  <si>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</si>
  <si>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</si>
  <si>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</si>
  <si>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</si>
  <si>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</si>
  <si>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</si>
  <si>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</si>
  <si>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</si>
  <si>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</si>
  <si>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</si>
  <si>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</si>
  <si>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</si>
  <si>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</si>
  <si>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</si>
  <si>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</si>
  <si>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</si>
  <si>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</si>
  <si>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</si>
  <si>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</si>
  <si>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</si>
  <si>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</si>
  <si>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</si>
  <si>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</si>
  <si>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</si>
  <si>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</si>
  <si>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</si>
  <si>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</si>
  <si>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</si>
  <si>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</si>
  <si>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0-0</t>
  </si>
  <si>
    <t>Old</t>
  </si>
  <si>
    <t>Steal</t>
  </si>
  <si>
    <t>(Big)</t>
  </si>
  <si>
    <t>Delay of Game White</t>
  </si>
  <si>
    <t>Delay of Game Black</t>
  </si>
  <si>
    <t xml:space="preserve">Technical Foul </t>
  </si>
  <si>
    <t>Gray 0</t>
  </si>
  <si>
    <t xml:space="preserve">Gray 8 </t>
  </si>
  <si>
    <t>Black 11</t>
  </si>
  <si>
    <t>?</t>
  </si>
  <si>
    <t/>
  </si>
  <si>
    <t>white guy</t>
  </si>
  <si>
    <t>blue tshirt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</si>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</sst>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8"/>
  <sheetViews>
    <sheetView tabSelected="1" topLeftCell="A33" zoomScaleNormal="100" workbookViewId="0">
      <selection activeCell="L37" sqref="L37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7</v>
      </c>
      <c r="F1" t="s">
        <v>3</v>
      </c>
      <c r="G1" t="s">
        <v>17</v>
      </c>
    </row>
    <row r="2" spans="2:14" x14ac:dyDescent="0.2">
      <c r="B2" t="str">
        <f>G1</f>
        <v>Draney</v>
      </c>
      <c r="D2" t="str">
        <f>G21</f>
        <v>Fulton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264</v>
      </c>
      <c r="M2" t="s">
        <v>265</v>
      </c>
      <c r="N2" t="s">
        <v>285</v>
      </c>
    </row>
    <row r="3" spans="2:14" x14ac:dyDescent="0.2">
      <c r="B3">
        <f>I19</f>
        <v>10</v>
      </c>
      <c r="C3" s="3" t="s">
        <v>6</v>
      </c>
      <c r="D3" s="4" t="e">
        <f>#REF!</f>
        <v>#REF!</v>
      </c>
      <c r="F3" t="s">
        <v>200</v>
      </c>
      <c r="G3" t="s">
        <v>80</v>
      </c>
      <c r="H3">
        <v>0</v>
      </c>
      <c r="I3">
        <v>0</v>
      </c>
      <c r="J3">
        <v>5</v>
      </c>
      <c r="K3">
        <v>5</v>
      </c>
      <c r="L3">
        <v>4</v>
      </c>
      <c r="M3">
        <v>6</v>
      </c>
      <c r="N3">
        <f>1382/60</f>
        <v>23.033333333333335</v>
      </c>
    </row>
    <row r="4" spans="2:14" x14ac:dyDescent="0.2">
      <c r="F4" t="s">
        <v>197</v>
      </c>
      <c r="G4" t="s">
        <v>198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f>584/60</f>
        <v>9.7333333333333325</v>
      </c>
    </row>
    <row r="5" spans="2:14" x14ac:dyDescent="0.2">
      <c r="F5" t="s">
        <v>71</v>
      </c>
      <c r="G5" t="s">
        <v>178</v>
      </c>
      <c r="H5">
        <v>2</v>
      </c>
      <c r="I5">
        <v>2</v>
      </c>
      <c r="J5">
        <v>2</v>
      </c>
      <c r="K5">
        <v>4</v>
      </c>
      <c r="L5">
        <v>3</v>
      </c>
      <c r="M5">
        <v>5</v>
      </c>
      <c r="N5">
        <f>1226/60</f>
        <v>20.433333333333334</v>
      </c>
    </row>
    <row r="6" spans="2:14" x14ac:dyDescent="0.2">
      <c r="F6" t="s">
        <v>199</v>
      </c>
      <c r="G6" t="s">
        <v>17</v>
      </c>
      <c r="H6">
        <v>4</v>
      </c>
      <c r="I6">
        <v>2</v>
      </c>
      <c r="J6">
        <v>7</v>
      </c>
      <c r="K6">
        <v>9</v>
      </c>
      <c r="L6">
        <v>4</v>
      </c>
      <c r="M6">
        <v>2</v>
      </c>
      <c r="N6">
        <f>1413/60</f>
        <v>23.55</v>
      </c>
    </row>
    <row r="7" spans="2:14" x14ac:dyDescent="0.2">
      <c r="F7" t="s">
        <v>203</v>
      </c>
      <c r="G7" t="s">
        <v>204</v>
      </c>
      <c r="H7">
        <v>8</v>
      </c>
      <c r="I7">
        <v>4</v>
      </c>
      <c r="J7">
        <v>4</v>
      </c>
      <c r="K7">
        <v>8</v>
      </c>
      <c r="L7">
        <v>2</v>
      </c>
      <c r="M7">
        <v>3</v>
      </c>
      <c r="N7">
        <f>1827/60</f>
        <v>30.45</v>
      </c>
    </row>
    <row r="8" spans="2:14" x14ac:dyDescent="0.2">
      <c r="F8" t="s">
        <v>205</v>
      </c>
      <c r="G8" t="s">
        <v>206</v>
      </c>
      <c r="H8">
        <v>11</v>
      </c>
      <c r="I8">
        <v>0</v>
      </c>
      <c r="J8">
        <v>0</v>
      </c>
      <c r="K8">
        <v>0</v>
      </c>
      <c r="L8">
        <v>0</v>
      </c>
      <c r="M8">
        <v>1</v>
      </c>
      <c r="N8">
        <f>195/60</f>
        <v>3.25</v>
      </c>
    </row>
    <row r="9" spans="2:14" x14ac:dyDescent="0.2">
      <c r="F9" t="s">
        <v>196</v>
      </c>
      <c r="G9" t="s">
        <v>202</v>
      </c>
      <c r="H9">
        <v>22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2:14" x14ac:dyDescent="0.2">
      <c r="F10" t="s">
        <v>207</v>
      </c>
      <c r="G10" t="s">
        <v>208</v>
      </c>
      <c r="H10">
        <v>22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2:14" x14ac:dyDescent="0.2">
      <c r="F11" t="s">
        <v>209</v>
      </c>
      <c r="G11" t="s">
        <v>204</v>
      </c>
      <c r="H11">
        <v>22</v>
      </c>
      <c r="I11">
        <v>1</v>
      </c>
      <c r="J11">
        <v>5</v>
      </c>
      <c r="K11">
        <v>6</v>
      </c>
      <c r="L11">
        <v>0</v>
      </c>
      <c r="M11">
        <v>1</v>
      </c>
      <c r="N11">
        <f>1539/60</f>
        <v>25.65</v>
      </c>
    </row>
    <row r="12" spans="2:14" x14ac:dyDescent="0.2">
      <c r="F12" t="s">
        <v>201</v>
      </c>
      <c r="G12" t="s">
        <v>100</v>
      </c>
      <c r="H12">
        <v>24</v>
      </c>
      <c r="I12">
        <v>1</v>
      </c>
      <c r="J12">
        <v>8</v>
      </c>
      <c r="K12">
        <v>9</v>
      </c>
      <c r="L12">
        <v>0</v>
      </c>
      <c r="M12">
        <v>1</v>
      </c>
      <c r="N12">
        <f>1753/60</f>
        <v>29.216666666666665</v>
      </c>
    </row>
    <row r="13" spans="2:14" x14ac:dyDescent="0.2">
      <c r="F13" t="s">
        <v>210</v>
      </c>
      <c r="G13" t="s">
        <v>53</v>
      </c>
      <c r="H13">
        <v>25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2:14" x14ac:dyDescent="0.2">
      <c r="F14" t="s">
        <v>211</v>
      </c>
      <c r="G14" t="s">
        <v>212</v>
      </c>
      <c r="H14">
        <v>30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2:14" x14ac:dyDescent="0.2">
      <c r="F15" t="s">
        <v>280</v>
      </c>
      <c r="G15" t="s">
        <v>280</v>
      </c>
      <c r="H15" s="8" t="s">
        <v>263</v>
      </c>
      <c r="I15">
        <v>0</v>
      </c>
      <c r="J15">
        <v>3</v>
      </c>
      <c r="K15">
        <v>3</v>
      </c>
      <c r="L15">
        <v>0</v>
      </c>
      <c r="M15">
        <v>3</v>
      </c>
      <c r="N15">
        <f>809/60</f>
        <v>13.483333333333333</v>
      </c>
    </row>
    <row r="16" spans="2:14" x14ac:dyDescent="0.2">
      <c r="F16" t="s">
        <v>280</v>
      </c>
      <c r="G16" t="s">
        <v>280</v>
      </c>
      <c r="H16">
        <v>5</v>
      </c>
      <c r="I16">
        <v>0</v>
      </c>
      <c r="J16">
        <v>1</v>
      </c>
      <c r="K16">
        <v>1</v>
      </c>
      <c r="L16">
        <v>1</v>
      </c>
      <c r="M16">
        <v>0</v>
      </c>
      <c r="N16">
        <f>147/60</f>
        <v>2.4500000000000002</v>
      </c>
    </row>
    <row r="17" spans="6:14" x14ac:dyDescent="0.2">
      <c r="F17" t="s">
        <v>280</v>
      </c>
      <c r="G17" t="s">
        <v>282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f>214/60</f>
        <v>3.5666666666666669</v>
      </c>
    </row>
    <row r="18" spans="6:14" x14ac:dyDescent="0.2">
      <c r="F18" t="s">
        <v>280</v>
      </c>
      <c r="G18" t="s">
        <v>283</v>
      </c>
      <c r="H18">
        <v>4</v>
      </c>
      <c r="I18">
        <v>0</v>
      </c>
      <c r="J18">
        <v>3</v>
      </c>
      <c r="K18">
        <v>3</v>
      </c>
      <c r="L18">
        <v>4</v>
      </c>
      <c r="M18">
        <v>2</v>
      </c>
      <c r="N18">
        <f>1811/60</f>
        <v>30.183333333333334</v>
      </c>
    </row>
    <row r="19" spans="6:14" x14ac:dyDescent="0.2">
      <c r="H19" s="2" t="s">
        <v>5</v>
      </c>
      <c r="I19">
        <v>10</v>
      </c>
      <c r="J19">
        <v>39</v>
      </c>
      <c r="K19">
        <v>49</v>
      </c>
      <c r="L19">
        <v>19</v>
      </c>
      <c r="M19">
        <v>25</v>
      </c>
      <c r="N19">
        <f>SUM(N3:N18)</f>
        <v>214.99999999999997</v>
      </c>
    </row>
    <row r="21" spans="6:14" x14ac:dyDescent="0.2">
      <c r="F21" t="s">
        <v>4</v>
      </c>
      <c r="G21" t="s">
        <v>20</v>
      </c>
    </row>
    <row r="22" spans="6:14" x14ac:dyDescent="0.2">
      <c r="F22" t="s">
        <v>1</v>
      </c>
      <c r="G22" t="s">
        <v>2</v>
      </c>
      <c r="H22" t="s">
        <v>0</v>
      </c>
      <c r="I22" t="s">
        <v>266</v>
      </c>
      <c r="J22" t="s">
        <v>267</v>
      </c>
      <c r="K22" t="s">
        <v>268</v>
      </c>
      <c r="L22" t="s">
        <v>264</v>
      </c>
      <c r="M22" t="s">
        <v>265</v>
      </c>
      <c r="N22" t="s">
        <v>285</v>
      </c>
    </row>
    <row r="23" spans="6:14" x14ac:dyDescent="0.2">
      <c r="F23" t="s">
        <v>230</v>
      </c>
      <c r="G23" t="s">
        <v>20</v>
      </c>
      <c r="H23">
        <v>1</v>
      </c>
      <c r="I23">
        <v>1</v>
      </c>
      <c r="J23">
        <v>1</v>
      </c>
      <c r="K23">
        <v>2</v>
      </c>
      <c r="L23">
        <v>2</v>
      </c>
      <c r="M23">
        <v>4</v>
      </c>
      <c r="N23">
        <f>1524/60</f>
        <v>25.4</v>
      </c>
    </row>
    <row r="24" spans="6:14" x14ac:dyDescent="0.2">
      <c r="F24" t="s">
        <v>155</v>
      </c>
      <c r="G24" t="s">
        <v>225</v>
      </c>
      <c r="H24">
        <v>2</v>
      </c>
      <c r="I24">
        <v>1</v>
      </c>
      <c r="J24">
        <v>4</v>
      </c>
      <c r="K24">
        <v>5</v>
      </c>
      <c r="L24">
        <v>2</v>
      </c>
      <c r="M24">
        <v>3</v>
      </c>
      <c r="N24">
        <f>1296/60</f>
        <v>21.6</v>
      </c>
    </row>
    <row r="25" spans="6:14" x14ac:dyDescent="0.2">
      <c r="F25" t="s">
        <v>236</v>
      </c>
      <c r="G25" t="s">
        <v>237</v>
      </c>
      <c r="H25">
        <v>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6:14" x14ac:dyDescent="0.2">
      <c r="F26" t="s">
        <v>226</v>
      </c>
      <c r="G26" t="s">
        <v>227</v>
      </c>
      <c r="H26">
        <v>6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6:14" x14ac:dyDescent="0.2">
      <c r="F27" t="s">
        <v>230</v>
      </c>
      <c r="G27" t="s">
        <v>235</v>
      </c>
      <c r="H27">
        <v>11</v>
      </c>
      <c r="I27">
        <v>1</v>
      </c>
      <c r="J27">
        <v>1</v>
      </c>
      <c r="K27">
        <v>2</v>
      </c>
      <c r="L27">
        <v>4</v>
      </c>
      <c r="M27">
        <v>3</v>
      </c>
      <c r="N27">
        <f>1989/60</f>
        <v>33.15</v>
      </c>
    </row>
    <row r="28" spans="6:14" x14ac:dyDescent="0.2">
      <c r="F28" t="s">
        <v>233</v>
      </c>
      <c r="G28" t="s">
        <v>234</v>
      </c>
      <c r="H28">
        <v>13</v>
      </c>
      <c r="I28">
        <v>0</v>
      </c>
      <c r="J28">
        <v>1</v>
      </c>
      <c r="K28">
        <v>1</v>
      </c>
      <c r="L28">
        <v>0</v>
      </c>
      <c r="M28">
        <v>3</v>
      </c>
      <c r="N28">
        <f>2088/60</f>
        <v>34.799999999999997</v>
      </c>
    </row>
    <row r="29" spans="6:14" x14ac:dyDescent="0.2">
      <c r="F29" t="s">
        <v>238</v>
      </c>
      <c r="G29" t="s">
        <v>239</v>
      </c>
      <c r="H29">
        <v>20</v>
      </c>
      <c r="I29">
        <v>1</v>
      </c>
      <c r="J29">
        <v>2</v>
      </c>
      <c r="K29">
        <v>3</v>
      </c>
      <c r="L29">
        <v>2</v>
      </c>
      <c r="M29">
        <v>3</v>
      </c>
      <c r="N29">
        <f>1483/60</f>
        <v>24.716666666666665</v>
      </c>
    </row>
    <row r="30" spans="6:14" x14ac:dyDescent="0.2">
      <c r="F30" t="s">
        <v>231</v>
      </c>
      <c r="G30" t="s">
        <v>232</v>
      </c>
      <c r="H30">
        <v>23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6:14" x14ac:dyDescent="0.2">
      <c r="F31" t="s">
        <v>228</v>
      </c>
      <c r="G31" t="s">
        <v>229</v>
      </c>
      <c r="H31">
        <v>24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6:14" x14ac:dyDescent="0.2">
      <c r="F32" t="s">
        <v>101</v>
      </c>
      <c r="G32" t="s">
        <v>102</v>
      </c>
      <c r="H32">
        <v>8</v>
      </c>
      <c r="I32">
        <v>3</v>
      </c>
      <c r="J32">
        <v>7</v>
      </c>
      <c r="K32">
        <v>10</v>
      </c>
      <c r="L32">
        <v>2</v>
      </c>
      <c r="M32">
        <v>5</v>
      </c>
      <c r="N32">
        <f>1907/60</f>
        <v>31.783333333333335</v>
      </c>
    </row>
    <row r="33" spans="6:14" x14ac:dyDescent="0.2">
      <c r="F33" t="s">
        <v>280</v>
      </c>
      <c r="G33" t="s">
        <v>280</v>
      </c>
      <c r="H33">
        <v>0</v>
      </c>
      <c r="I33">
        <v>0</v>
      </c>
      <c r="J33">
        <v>3</v>
      </c>
      <c r="K33">
        <v>3</v>
      </c>
      <c r="L33">
        <v>3</v>
      </c>
      <c r="M33">
        <v>3</v>
      </c>
      <c r="N33">
        <f>1704/60</f>
        <v>28.4</v>
      </c>
    </row>
    <row r="34" spans="6:14" x14ac:dyDescent="0.2">
      <c r="F34" t="s">
        <v>280</v>
      </c>
      <c r="G34" t="s">
        <v>280</v>
      </c>
      <c r="H34">
        <v>10</v>
      </c>
      <c r="I34">
        <v>1</v>
      </c>
      <c r="J34">
        <v>7</v>
      </c>
      <c r="K34">
        <v>8</v>
      </c>
      <c r="L34">
        <v>0</v>
      </c>
      <c r="M34">
        <v>3</v>
      </c>
      <c r="N34">
        <f>909/60</f>
        <v>15.15</v>
      </c>
    </row>
    <row r="35" spans="6:14" x14ac:dyDescent="0.2">
      <c r="F35" t="s">
        <v>280</v>
      </c>
      <c r="G35" t="s">
        <v>280</v>
      </c>
      <c r="H35" t="s">
        <v>281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6:14" x14ac:dyDescent="0.2">
      <c r="F36" t="s">
        <v>280</v>
      </c>
      <c r="G36" t="s">
        <v>280</v>
      </c>
      <c r="H36" t="s">
        <v>281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6:14" x14ac:dyDescent="0.2">
      <c r="F37" t="s">
        <v>280</v>
      </c>
      <c r="G37" t="s">
        <v>280</v>
      </c>
      <c r="H37" t="s">
        <v>281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6:14" x14ac:dyDescent="0.2">
      <c r="H38" t="s">
        <v>5</v>
      </c>
      <c r="I38">
        <v>8</v>
      </c>
      <c r="J38">
        <v>26</v>
      </c>
      <c r="K38">
        <v>34</v>
      </c>
      <c r="L38">
        <v>15</v>
      </c>
      <c r="M38">
        <v>27</v>
      </c>
      <c r="N38">
        <f>SUM(N23:N37)</f>
        <v>215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49"/>
  <sheetViews>
    <sheetView topLeftCell="A28" workbookViewId="0">
      <selection activeCell="Q5" sqref="Q5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9</v>
      </c>
      <c r="B3" s="1" t="s">
        <v>20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  <c r="Q4" t="s">
        <v>284</v>
      </c>
    </row>
    <row r="5" spans="1:21" s="6" customFormat="1" x14ac:dyDescent="0.2">
      <c r="A5" t="s">
        <v>230</v>
      </c>
      <c r="B5" t="s">
        <v>20</v>
      </c>
      <c r="C5">
        <v>1</v>
      </c>
      <c r="D5" s="5"/>
      <c r="E5" s="5">
        <v>1</v>
      </c>
      <c r="F5" s="5"/>
      <c r="G5" s="5"/>
      <c r="H5" s="5">
        <v>1</v>
      </c>
      <c r="I5" s="5"/>
      <c r="J5" s="5"/>
      <c r="K5" s="5">
        <v>2</v>
      </c>
      <c r="L5" s="5"/>
      <c r="M5" s="5"/>
      <c r="N5" s="5">
        <v>4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t="s">
        <v>155</v>
      </c>
      <c r="B6" t="s">
        <v>225</v>
      </c>
      <c r="C6">
        <v>2</v>
      </c>
      <c r="E6" s="6">
        <v>1</v>
      </c>
      <c r="H6" s="6">
        <v>4</v>
      </c>
      <c r="K6" s="6">
        <v>2</v>
      </c>
      <c r="N6" s="6">
        <v>3</v>
      </c>
      <c r="Q6" s="6">
        <v>0</v>
      </c>
      <c r="T6" s="6">
        <v>0</v>
      </c>
    </row>
    <row r="7" spans="1:21" s="6" customFormat="1" x14ac:dyDescent="0.2">
      <c r="A7" t="s">
        <v>236</v>
      </c>
      <c r="B7" t="s">
        <v>237</v>
      </c>
      <c r="C7"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t="s">
        <v>226</v>
      </c>
      <c r="B8" t="s">
        <v>227</v>
      </c>
      <c r="C8">
        <v>6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t="s">
        <v>230</v>
      </c>
      <c r="B9" t="s">
        <v>235</v>
      </c>
      <c r="C9">
        <v>11</v>
      </c>
      <c r="D9" s="5"/>
      <c r="E9" s="5">
        <v>1</v>
      </c>
      <c r="F9" s="5"/>
      <c r="G9" s="5"/>
      <c r="H9" s="5">
        <v>1</v>
      </c>
      <c r="I9" s="5"/>
      <c r="J9" s="5"/>
      <c r="K9" s="5">
        <v>4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t="s">
        <v>233</v>
      </c>
      <c r="B10" t="s">
        <v>234</v>
      </c>
      <c r="C10">
        <v>13</v>
      </c>
      <c r="E10" s="6">
        <v>0</v>
      </c>
      <c r="H10" s="6">
        <v>1</v>
      </c>
      <c r="K10" s="6">
        <v>0</v>
      </c>
      <c r="N10" s="6">
        <v>3</v>
      </c>
      <c r="Q10" s="6">
        <v>0</v>
      </c>
      <c r="T10" s="6">
        <v>0</v>
      </c>
    </row>
    <row r="11" spans="1:21" s="6" customFormat="1" x14ac:dyDescent="0.2">
      <c r="A11" t="s">
        <v>238</v>
      </c>
      <c r="B11" t="s">
        <v>239</v>
      </c>
      <c r="C11">
        <v>20</v>
      </c>
      <c r="D11" s="5"/>
      <c r="E11" s="5">
        <v>1</v>
      </c>
      <c r="F11" s="5"/>
      <c r="G11" s="5"/>
      <c r="H11" s="5">
        <v>2</v>
      </c>
      <c r="I11" s="5"/>
      <c r="J11" s="5"/>
      <c r="K11" s="5">
        <v>2</v>
      </c>
      <c r="L11" s="5"/>
      <c r="M11" s="5"/>
      <c r="N11" s="5">
        <v>3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t="s">
        <v>231</v>
      </c>
      <c r="B12" t="s">
        <v>232</v>
      </c>
      <c r="C12">
        <v>23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t="s">
        <v>228</v>
      </c>
      <c r="B13" t="s">
        <v>229</v>
      </c>
      <c r="C13"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5" t="s">
        <v>101</v>
      </c>
      <c r="B14" s="5" t="s">
        <v>102</v>
      </c>
      <c r="C14" s="5">
        <v>8</v>
      </c>
      <c r="E14" s="6">
        <v>3</v>
      </c>
      <c r="H14" s="6">
        <v>7</v>
      </c>
      <c r="K14" s="6">
        <v>2</v>
      </c>
      <c r="N14" s="6">
        <v>5</v>
      </c>
      <c r="Q14" s="6">
        <v>0</v>
      </c>
      <c r="T14" s="6">
        <v>0</v>
      </c>
    </row>
    <row r="15" spans="1:21" s="6" customFormat="1" x14ac:dyDescent="0.2">
      <c r="A15" s="6" t="str">
        <f>_xlfn.IFNA(VLOOKUP($B$3&amp;ROWS($A$5:A15),Rosters!$B$2:$C$162,2,0),"?")</f>
        <v>?</v>
      </c>
      <c r="B15" s="6" t="str">
        <f>_xlfn.IFNA(VLOOKUP($B$3&amp;ROWS($B$5:B15),Rosters!$B$2:$D$162,3,0),"?")</f>
        <v>?</v>
      </c>
      <c r="C15" s="6">
        <v>0</v>
      </c>
      <c r="D15" s="5"/>
      <c r="E15" s="5">
        <v>0</v>
      </c>
      <c r="F15" s="5"/>
      <c r="G15" s="5"/>
      <c r="H15" s="5">
        <v>3</v>
      </c>
      <c r="I15" s="5"/>
      <c r="J15" s="5"/>
      <c r="K15" s="5">
        <v>3</v>
      </c>
      <c r="L15" s="5"/>
      <c r="M15" s="5"/>
      <c r="N15" s="5">
        <v>3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5" t="str">
        <f>_xlfn.IFNA(VLOOKUP($B$3&amp;ROWS($A$5:A16),Rosters!$B$2:$C$162,2,0),"?")</f>
        <v>?</v>
      </c>
      <c r="B16" s="5" t="str">
        <f>_xlfn.IFNA(VLOOKUP($B$3&amp;ROWS($B$5:B16),Rosters!$B$2:$D$162,3,0),"?")</f>
        <v>?</v>
      </c>
      <c r="C16" s="5">
        <v>10</v>
      </c>
      <c r="E16" s="6">
        <v>1</v>
      </c>
      <c r="H16" s="6">
        <v>7</v>
      </c>
      <c r="K16" s="6">
        <v>0</v>
      </c>
      <c r="N16" s="6">
        <v>3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8</v>
      </c>
      <c r="H20">
        <f>SUM(H5:H19)</f>
        <v>26</v>
      </c>
      <c r="K20">
        <f>SUM(K5:K19)</f>
        <v>15</v>
      </c>
      <c r="N20">
        <f>SUM(N5:N19)</f>
        <v>27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t="s">
        <v>200</v>
      </c>
      <c r="B23" t="s">
        <v>80</v>
      </c>
      <c r="C23">
        <v>0</v>
      </c>
      <c r="D23" s="5"/>
      <c r="E23" s="5">
        <v>0</v>
      </c>
      <c r="F23" s="5"/>
      <c r="G23" s="5"/>
      <c r="H23" s="5">
        <v>5</v>
      </c>
      <c r="I23" s="5"/>
      <c r="J23" s="5"/>
      <c r="K23" s="5">
        <v>4</v>
      </c>
      <c r="L23" s="5"/>
      <c r="M23" s="5"/>
      <c r="N23" s="5">
        <v>6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t="s">
        <v>197</v>
      </c>
      <c r="B24" t="s">
        <v>198</v>
      </c>
      <c r="C24">
        <v>1</v>
      </c>
      <c r="E24" s="6">
        <v>0</v>
      </c>
      <c r="H24" s="6">
        <v>1</v>
      </c>
      <c r="K24" s="6">
        <v>1</v>
      </c>
      <c r="N24" s="6">
        <v>1</v>
      </c>
      <c r="Q24" s="6">
        <v>0</v>
      </c>
      <c r="T24" s="6">
        <v>0</v>
      </c>
    </row>
    <row r="25" spans="1:21" s="6" customFormat="1" x14ac:dyDescent="0.2">
      <c r="A25" t="s">
        <v>71</v>
      </c>
      <c r="B25" t="s">
        <v>178</v>
      </c>
      <c r="C25">
        <v>2</v>
      </c>
      <c r="D25" s="5"/>
      <c r="E25" s="5">
        <v>2</v>
      </c>
      <c r="F25" s="5"/>
      <c r="G25" s="5"/>
      <c r="H25" s="5">
        <v>2</v>
      </c>
      <c r="I25" s="5"/>
      <c r="J25" s="5"/>
      <c r="K25" s="5">
        <v>3</v>
      </c>
      <c r="L25" s="5"/>
      <c r="M25" s="5"/>
      <c r="N25" s="5">
        <v>5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t="s">
        <v>199</v>
      </c>
      <c r="B26" t="s">
        <v>273</v>
      </c>
      <c r="C26">
        <v>4</v>
      </c>
      <c r="E26" s="6">
        <v>2</v>
      </c>
      <c r="H26" s="6">
        <v>7</v>
      </c>
      <c r="K26" s="6">
        <v>4</v>
      </c>
      <c r="N26" s="6">
        <v>2</v>
      </c>
      <c r="Q26" s="6">
        <v>0</v>
      </c>
      <c r="T26" s="6">
        <v>0</v>
      </c>
    </row>
    <row r="27" spans="1:21" s="6" customFormat="1" x14ac:dyDescent="0.2">
      <c r="A27" t="s">
        <v>203</v>
      </c>
      <c r="B27" t="s">
        <v>204</v>
      </c>
      <c r="C27">
        <v>8</v>
      </c>
      <c r="D27" s="5"/>
      <c r="E27" s="5">
        <v>4</v>
      </c>
      <c r="F27" s="5"/>
      <c r="G27" s="5"/>
      <c r="H27" s="5">
        <v>4</v>
      </c>
      <c r="I27" s="5"/>
      <c r="J27" s="5"/>
      <c r="K27" s="5">
        <v>2</v>
      </c>
      <c r="L27" s="5"/>
      <c r="M27" s="5"/>
      <c r="N27" s="5">
        <v>3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t="s">
        <v>205</v>
      </c>
      <c r="B28" t="s">
        <v>206</v>
      </c>
      <c r="C28">
        <v>11</v>
      </c>
      <c r="E28" s="6">
        <v>0</v>
      </c>
      <c r="H28" s="6">
        <v>0</v>
      </c>
      <c r="K28" s="6">
        <v>0</v>
      </c>
      <c r="N28" s="6">
        <v>1</v>
      </c>
      <c r="Q28" s="6">
        <v>0</v>
      </c>
      <c r="T28" s="6">
        <v>0</v>
      </c>
    </row>
    <row r="29" spans="1:21" s="6" customFormat="1" x14ac:dyDescent="0.2">
      <c r="A29" t="s">
        <v>196</v>
      </c>
      <c r="B29"/>
      <c r="C29"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t="s">
        <v>207</v>
      </c>
      <c r="B30" t="s">
        <v>208</v>
      </c>
      <c r="C30"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t="s">
        <v>209</v>
      </c>
      <c r="B31" t="s">
        <v>204</v>
      </c>
      <c r="C31">
        <v>22</v>
      </c>
      <c r="D31" s="5"/>
      <c r="E31" s="5">
        <v>1</v>
      </c>
      <c r="F31" s="5"/>
      <c r="G31" s="5"/>
      <c r="H31" s="5">
        <v>5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t="s">
        <v>201</v>
      </c>
      <c r="B32" t="s">
        <v>100</v>
      </c>
      <c r="C32">
        <v>24</v>
      </c>
      <c r="E32" s="6">
        <v>1</v>
      </c>
      <c r="H32" s="6">
        <v>8</v>
      </c>
      <c r="K32" s="6">
        <v>0</v>
      </c>
      <c r="N32" s="6">
        <v>1</v>
      </c>
      <c r="Q32" s="6">
        <v>0</v>
      </c>
      <c r="T32" s="6">
        <v>0</v>
      </c>
    </row>
    <row r="33" spans="1:21" s="6" customFormat="1" x14ac:dyDescent="0.2">
      <c r="A33" t="s">
        <v>210</v>
      </c>
      <c r="B33" t="s">
        <v>53</v>
      </c>
      <c r="C33"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211</v>
      </c>
      <c r="B34" t="s">
        <v>212</v>
      </c>
      <c r="C34"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">
        <v>270</v>
      </c>
      <c r="D35" s="5"/>
      <c r="E35" s="5">
        <v>0</v>
      </c>
      <c r="F35" s="5"/>
      <c r="G35" s="5"/>
      <c r="H35" s="5">
        <v>3</v>
      </c>
      <c r="I35" s="5"/>
      <c r="J35" s="5"/>
      <c r="K35" s="5">
        <v>0</v>
      </c>
      <c r="L35" s="5"/>
      <c r="M35" s="5"/>
      <c r="N35" s="5">
        <v>3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>
        <v>5</v>
      </c>
      <c r="D36"/>
      <c r="E36" s="6">
        <v>0</v>
      </c>
      <c r="F36"/>
      <c r="G36"/>
      <c r="H36" s="6">
        <v>1</v>
      </c>
      <c r="I36"/>
      <c r="J36"/>
      <c r="K36" s="6">
        <v>1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199</v>
      </c>
      <c r="B37" s="5" t="s">
        <v>17</v>
      </c>
      <c r="C37" s="5">
        <v>4</v>
      </c>
      <c r="D37" s="5"/>
      <c r="E37" s="5">
        <v>0</v>
      </c>
      <c r="F37" s="5"/>
      <c r="G37" s="5"/>
      <c r="H37" s="5">
        <v>3</v>
      </c>
      <c r="I37" s="5"/>
      <c r="J37" s="5"/>
      <c r="K37" s="5">
        <v>4</v>
      </c>
      <c r="L37" s="5"/>
      <c r="M37" s="5"/>
      <c r="N37" s="5">
        <v>2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39</v>
      </c>
      <c r="K38">
        <f>SUM(K23:K37)</f>
        <v>19</v>
      </c>
      <c r="N38">
        <f>SUM(N23:N37)</f>
        <v>25</v>
      </c>
      <c r="Q38">
        <f>SUM(Q23:Q37)</f>
        <v>0</v>
      </c>
      <c r="T38">
        <f>SUM(T23:T37)</f>
        <v>0</v>
      </c>
    </row>
    <row r="39" spans="1:21" x14ac:dyDescent="0.2">
      <c r="B39" t="s">
        <v>271</v>
      </c>
      <c r="C39" s="5">
        <v>1</v>
      </c>
      <c r="K39" s="5">
        <v>1</v>
      </c>
    </row>
    <row r="40" spans="1:21" x14ac:dyDescent="0.2">
      <c r="E40" t="s">
        <v>266</v>
      </c>
      <c r="H40" t="s">
        <v>267</v>
      </c>
      <c r="K40" t="s">
        <v>272</v>
      </c>
      <c r="N40" t="s">
        <v>265</v>
      </c>
    </row>
    <row r="41" spans="1:21" x14ac:dyDescent="0.2">
      <c r="L41" t="s">
        <v>277</v>
      </c>
      <c r="N41" t="s">
        <v>276</v>
      </c>
    </row>
    <row r="42" spans="1:21" x14ac:dyDescent="0.2">
      <c r="L42" t="s">
        <v>278</v>
      </c>
      <c r="N42" t="s">
        <v>276</v>
      </c>
    </row>
    <row r="43" spans="1:21" x14ac:dyDescent="0.2">
      <c r="L43" t="s">
        <v>279</v>
      </c>
      <c r="N43" t="s">
        <v>276</v>
      </c>
    </row>
    <row r="48" spans="1:21" x14ac:dyDescent="0.2">
      <c r="I48">
        <v>1</v>
      </c>
      <c r="K48" t="s">
        <v>275</v>
      </c>
    </row>
    <row r="49" spans="9:11" x14ac:dyDescent="0.2">
      <c r="I49">
        <v>1</v>
      </c>
      <c r="K49" t="s">
        <v>274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12" workbookViewId="0">
      <selection activeCell="C121" sqref="C121:E129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2021-07-02T19:58:40Z</dcterms:modified>
</cp:coreProperties>
</file>