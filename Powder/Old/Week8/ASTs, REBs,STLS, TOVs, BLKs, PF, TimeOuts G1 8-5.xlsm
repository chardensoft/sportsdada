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8/"/>
    </mc:Choice>
  </mc:AlternateContent>
  <xr:revisionPtr revIDLastSave="0" documentId="13_ncr:1_{8D241F3C-4A6D-E946-B7C3-1E62623A725F}" xr6:coauthVersionLast="47" xr6:coauthVersionMax="47" xr10:uidLastSave="{00000000-0000-0000-0000-000000000000}"/>
  <bookViews>
    <workbookView xWindow="7020" yWindow="500" windowWidth="2178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N18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M22" i="2"/>
  <c r="L22" i="2"/>
  <c r="L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4" i="2"/>
  <c r="L18" i="2" s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M3" i="2"/>
  <c r="L37" i="2"/>
  <c r="O18" i="2"/>
  <c r="C18" i="1"/>
  <c r="M37" i="2" l="1"/>
  <c r="M18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B3" i="2" s="1"/>
  <c r="K18" i="2"/>
  <c r="O37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J18" i="2"/>
  <c r="I18" i="2"/>
  <c r="D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F33" i="2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H36" i="2"/>
  <c r="A19" i="1"/>
  <c r="F17" i="2" s="1"/>
  <c r="B10" i="1"/>
  <c r="G8" i="2" s="1"/>
  <c r="G36" i="2"/>
  <c r="H33" i="2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<sst xmlns="http://schemas.openxmlformats.org/spreadsheetml/2006/main" count="508" uniqueCount="280">
  <si>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</si>
  <si>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</si>
  <si>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</si>
  <si>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</si>
  <si>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</si>
  <si>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</si>
  <si>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</si>
  <si>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</si>
  <si>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</si>
  <si>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</si>
  <si>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</si>
  <si>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</si>
  <si>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</si>
  <si>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</si>
  <si>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</si>
  <si>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</si>
  <si>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</si>
  <si>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</si>
  <si>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</si>
  <si>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</si>
  <si>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</si>
  <si>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</si>
  <si>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</si>
  <si>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</si>
  <si>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</si>
  <si>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</si>
  <si>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</si>
  <si>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</si>
  <si>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</si>
  <si>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</si>
  <si>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</si>
  <si>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</si>
  <si>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</si>
  <si>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</si>
  <si>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</si>
  <si>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</si>
  <si>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</si>
  <si>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</si>
  <si>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</si>
  <si>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</si>
  <si>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</si>
  <si>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</si>
  <si>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</si>
  <si>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</si>
  <si>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</si>
  <si>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</si>
  <si>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</si>
  <si>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</si>
  <si>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</si>
  <si>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</si>
  <si>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</si>
  <si>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</si>
  <si>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</si>
  <si>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</si>
  <si>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</si>
  <si>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</si>
  <si>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</si>
  <si>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</si>
  <si>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</si>
  <si>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</si>
  <si>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</si>
  <si>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</si>
  <si>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</si>
  <si>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</si>
  <si>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</si>
  <si>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</si>
  <si>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</si>
  <si>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</si>
  <si>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</si>
  <si>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</si>
  <si>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</si>
  <si>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</si>
  <si>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</si>
  <si>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</si>
  <si>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</si>
  <si>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</si>
  <si>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</si>
  <si>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</si>
  <si>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</si>
  <si>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</si>
  <si>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</si>
  <si>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</si>
  <si>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</si>
  <si>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</si>
  <si>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</si>
  <si>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</si>
  <si>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</si>
  <si>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</si>
  <si>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</si>
  <si>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</si>
  <si>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</si>
  <si>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</si>
  <si>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</si>
  <si>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</si>
  <si>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</si>
  <si>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</si>
  <si>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</si>
  <si>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</si>
  <si>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</si>
  <si>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</si>
  <si>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</si>
  <si>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</si>
  <si>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</si>
  <si>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</si>
  <si>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</si>
  <si>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</si>
  <si>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</si>
  <si>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</si>
  <si>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</si>
  <si>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</si>
  <si>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</si>
  <si>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</si>
  <si>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</si>
  <si>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</si>
  <si>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</si>
  <si>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</si>
  <si>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</si>
  <si>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</si>
  <si>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</si>
  <si>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</si>
  <si>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</si>
  <si>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</si>
  <si>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</si>
  <si>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</si>
  <si>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</si>
  <si>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</si>
  <si>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</si>
  <si>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</si>
  <si>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</si>
  <si>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</si>
  <si>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</si>
  <si>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</si>
  <si>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</si>
  <si>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</si>
  <si>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</si>
  <si>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</si>
  <si>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</si>
  <si>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</si>
  <si>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</si>
  <si>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</si>
  <si>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</si>
  <si>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</si>
  <si>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</si>
  <si>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</si>
  <si>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</si>
  <si>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</si>
  <si>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</si>
  <si>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</si>
  <si>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</si>
  <si>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</si>
  <si>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</si>
  <si>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</si>
  <si>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</si>
  <si>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</si>
  <si>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</si>
  <si>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</si>
  <si>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</si>
  <si>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</si>
  <si>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</si>
  <si>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</si>
  <si>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</si>
  <si>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</si>
  <si>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</si>
  <si>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</si>
  <si>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</si>
  <si>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</si>
  <si>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</si>
  <si>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</si>
  <si>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</si>
  <si>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</si>
  <si>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</si>
  <si>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</si>
  <si>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</si>
  <si>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</si>
  <si>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</si>
  <si>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</si>
  <si>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</si>
  <si>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</si>
  <si>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</si>
  <si>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</si>
  <si>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</si>
  <si>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</si>
  <si>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</si>
  <si>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</si>
  <si>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</si>
  <si>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</si>
  <si>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</si>
  <si>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</si>
  <si>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</si>
  <si>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</si>
  <si>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</si>
  <si>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</si>
  <si>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</si>
  <si>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</si>
  <si>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</si>
  <si>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</si>
  <si>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</si>
  <si>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</si>
  <si>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</si>
  <si>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</si>
  <si>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</si>
  <si>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</si>
  <si>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</si>
  <si>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</si>
  <si>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</si>
  <si>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</si>
  <si>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</si>
  <si>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</si>
  <si>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</si>
  <si>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</si>
  <si>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</si>
  <si>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</si>
  <si>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</si>
  <si>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</si>
  <si>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</si>
  <si>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</si>
  <si>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</si>
  <si>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</si>
  <si>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</si>
  <si>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</si>
  <si>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</si>
  <si>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</si>
  <si>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</si>
  <si>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</si>
  <si>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</si>
  <si>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</si>
  <si>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</si>
  <si>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</si>
  <si>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</si>
  <si>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</si>
  <si>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</si>
  <si>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</si>
  <si>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</si>
  <si>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</si>
  <si>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</si>
  <si>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</si>
  <si>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</si>
  <si>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</si>
  <si>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</si>
  <si>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</si>
  <si>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</si>
  <si>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</si>
  <si>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</si>
  <si>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</si>
  <si>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</si>
  <si>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</si>
  <si>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</si>
  <si>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</si>
  <si>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</si>
  <si>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</si>
  <si>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</si>
  <si>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</si>
  <si>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</si>
  <si>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</si>
  <si>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</si>
  <si>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</si>
  <si>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</si>
  <si>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</si>
  <si>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</si>
  <si>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</si>
  <si>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</si>
  <si>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</si>
  <si>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</si>
  <si>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</si>
  <si>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</si>
  <si>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</si>
  <si>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</si>
  <si>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Dwayne</t>
  </si>
  <si>
    <t>Brekkott</t>
  </si>
  <si>
    <t>REB</t>
  </si>
  <si>
    <t>STLS</t>
  </si>
  <si>
    <t>BLKS</t>
  </si>
  <si>
    <t>PF</t>
  </si>
  <si>
    <t>Myles</t>
  </si>
  <si>
    <t>Demps</t>
  </si>
  <si>
    <t>Woodbury</t>
  </si>
  <si>
    <t>Dee</t>
  </si>
  <si>
    <t>Barnes</t>
  </si>
  <si>
    <t>McClanahan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</si>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</sst>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3" workbookViewId="0">
      <selection activeCell="L33" sqref="L3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7</v>
      </c>
      <c r="F1" t="s">
        <v>3</v>
      </c>
      <c r="G1" t="str">
        <f>'Stats G1'!B3</f>
        <v>Clarke</v>
      </c>
    </row>
    <row r="2" spans="2:15" x14ac:dyDescent="0.2">
      <c r="B2" t="str">
        <f>G1</f>
        <v>Clarke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248</v>
      </c>
      <c r="J2" t="s">
        <v>269</v>
      </c>
      <c r="K2" t="s">
        <v>279</v>
      </c>
      <c r="L2" t="s">
        <v>244</v>
      </c>
      <c r="M2" t="s">
        <v>245</v>
      </c>
      <c r="N2" t="s">
        <v>272</v>
      </c>
      <c r="O2" t="s">
        <v>247</v>
      </c>
    </row>
    <row r="3" spans="2:15" x14ac:dyDescent="0.2">
      <c r="B3">
        <f>I37</f>
        <v>37</v>
      </c>
      <c r="C3" s="3" t="s">
        <v>6</v>
      </c>
      <c r="D3" s="4">
        <f>I18</f>
        <v>16</v>
      </c>
      <c r="F3" t="str">
        <f>'Stats G1'!A5</f>
        <v>Marquis</v>
      </c>
      <c r="G3" t="str">
        <f>'Stats G1'!B5</f>
        <v>OShea</v>
      </c>
      <c r="H3">
        <f>'Stats G1'!C5</f>
        <v>0</v>
      </c>
      <c r="I3">
        <f>'Stats G1'!E5</f>
        <v>5</v>
      </c>
      <c r="J3">
        <f>'Stats G1'!H5</f>
        <v>1</v>
      </c>
      <c r="K3">
        <f>'Stats G1'!K5</f>
        <v>0</v>
      </c>
      <c r="L3">
        <f>'Stats G1'!N5</f>
        <v>3</v>
      </c>
      <c r="M3">
        <f>'Stats G1'!Q5</f>
        <v>0</v>
      </c>
      <c r="N3">
        <f>'Stats G1'!T5</f>
        <v>5</v>
      </c>
    </row>
    <row r="4" spans="2:15" x14ac:dyDescent="0.2">
      <c r="F4" t="str">
        <f>'Stats G1'!A6</f>
        <v>Jaren</v>
      </c>
      <c r="G4" t="str">
        <f>'Stats G1'!B6</f>
        <v>McKnight</v>
      </c>
      <c r="H4">
        <f>'Stats G1'!C6</f>
        <v>1</v>
      </c>
      <c r="I4">
        <f>'Stats G1'!E6</f>
        <v>1</v>
      </c>
      <c r="J4">
        <f>'Stats G1'!H6</f>
        <v>3</v>
      </c>
      <c r="K4">
        <f>'Stats G1'!K6</f>
        <v>3</v>
      </c>
      <c r="L4">
        <f>'Stats G1'!N6</f>
        <v>1</v>
      </c>
      <c r="M4">
        <f>'Stats G1'!Q6</f>
        <v>0</v>
      </c>
      <c r="N4">
        <f>'Stats G1'!T6</f>
        <v>2</v>
      </c>
    </row>
    <row r="5" spans="2:15" x14ac:dyDescent="0.2">
      <c r="F5" t="str">
        <f>'Stats G1'!A7</f>
        <v>Elijah</v>
      </c>
      <c r="G5" t="str">
        <f>'Stats G1'!B7</f>
        <v>Davy</v>
      </c>
      <c r="H5">
        <f>'Stats G1'!C7</f>
        <v>4</v>
      </c>
      <c r="I5">
        <f>'Stats G1'!E7</f>
        <v>0</v>
      </c>
      <c r="J5">
        <f>'Stats G1'!H7</f>
        <v>0</v>
      </c>
      <c r="K5">
        <f>'Stats G1'!K7</f>
        <v>0</v>
      </c>
      <c r="L5">
        <f>'Stats G1'!N7</f>
        <v>0</v>
      </c>
      <c r="M5">
        <f>'Stats G1'!Q7</f>
        <v>0</v>
      </c>
      <c r="N5">
        <f>'Stats G1'!T7</f>
        <v>0</v>
      </c>
    </row>
    <row r="6" spans="2:15" x14ac:dyDescent="0.2">
      <c r="F6" t="str">
        <f>'Stats G1'!A8</f>
        <v>Jaxon</v>
      </c>
      <c r="G6" t="str">
        <f>'Stats G1'!B8</f>
        <v>Brenchley</v>
      </c>
      <c r="H6">
        <f>'Stats G1'!C8</f>
        <v>5</v>
      </c>
      <c r="I6">
        <f>'Stats G1'!E8</f>
        <v>5</v>
      </c>
      <c r="J6">
        <f>'Stats G1'!H8</f>
        <v>14</v>
      </c>
      <c r="K6">
        <f>'Stats G1'!K8</f>
        <v>2</v>
      </c>
      <c r="L6">
        <f>'Stats G1'!N8</f>
        <v>4</v>
      </c>
      <c r="M6">
        <f>'Stats G1'!Q8</f>
        <v>0</v>
      </c>
      <c r="N6">
        <f>'Stats G1'!T8</f>
        <v>1</v>
      </c>
    </row>
    <row r="7" spans="2:15" x14ac:dyDescent="0.2">
      <c r="F7" t="str">
        <f>'Stats G1'!A9</f>
        <v>Jay</v>
      </c>
      <c r="G7" t="str">
        <f>'Stats G1'!B9</f>
        <v>Payne</v>
      </c>
      <c r="H7">
        <f>'Stats G1'!C9</f>
        <v>10</v>
      </c>
      <c r="I7">
        <f>'Stats G1'!E9</f>
        <v>0</v>
      </c>
      <c r="J7">
        <f>'Stats G1'!H9</f>
        <v>11</v>
      </c>
      <c r="K7">
        <f>'Stats G1'!K9</f>
        <v>1</v>
      </c>
      <c r="L7">
        <f>'Stats G1'!N9</f>
        <v>2</v>
      </c>
      <c r="M7">
        <f>'Stats G1'!Q9</f>
        <v>0</v>
      </c>
      <c r="N7">
        <f>'Stats G1'!T9</f>
        <v>3</v>
      </c>
    </row>
    <row r="8" spans="2:15" x14ac:dyDescent="0.2">
      <c r="F8" t="str">
        <f>'Stats G1'!A10</f>
        <v>Jaden</v>
      </c>
      <c r="G8" t="str">
        <f>'Stats G1'!B10</f>
        <v>Vaughn</v>
      </c>
      <c r="H8">
        <f>'Stats G1'!C10</f>
        <v>11</v>
      </c>
      <c r="I8">
        <f>'Stats G1'!E10</f>
        <v>2</v>
      </c>
      <c r="J8">
        <f>'Stats G1'!H10</f>
        <v>2</v>
      </c>
      <c r="K8">
        <f>'Stats G1'!K10</f>
        <v>0</v>
      </c>
      <c r="L8">
        <f>'Stats G1'!N10</f>
        <v>4</v>
      </c>
      <c r="M8">
        <f>'Stats G1'!Q10</f>
        <v>0</v>
      </c>
      <c r="N8">
        <f>'Stats G1'!T10</f>
        <v>1</v>
      </c>
    </row>
    <row r="9" spans="2:15" x14ac:dyDescent="0.2">
      <c r="F9" t="str">
        <f>'Stats G1'!A11</f>
        <v>Dason</v>
      </c>
      <c r="G9" t="str">
        <f>'Stats G1'!B11</f>
        <v>Youngblood</v>
      </c>
      <c r="H9">
        <f>'Stats G1'!C11</f>
        <v>14</v>
      </c>
      <c r="I9">
        <f>'Stats G1'!E11</f>
        <v>0</v>
      </c>
      <c r="J9">
        <f>'Stats G1'!H11</f>
        <v>0</v>
      </c>
      <c r="K9">
        <f>'Stats G1'!K11</f>
        <v>0</v>
      </c>
      <c r="L9">
        <f>'Stats G1'!N11</f>
        <v>0</v>
      </c>
      <c r="M9">
        <f>'Stats G1'!Q11</f>
        <v>0</v>
      </c>
      <c r="N9">
        <f>'Stats G1'!T11</f>
        <v>0</v>
      </c>
    </row>
    <row r="10" spans="2:15" x14ac:dyDescent="0.2">
      <c r="F10" t="str">
        <f>'Stats G1'!A12</f>
        <v>Hunter</v>
      </c>
      <c r="G10" t="str">
        <f>'Stats G1'!B12</f>
        <v>Clarke</v>
      </c>
      <c r="H10">
        <f>'Stats G1'!C12</f>
        <v>15</v>
      </c>
      <c r="I10">
        <f>'Stats G1'!E12</f>
        <v>0</v>
      </c>
      <c r="J10">
        <f>'Stats G1'!H12</f>
        <v>0</v>
      </c>
      <c r="K10">
        <f>'Stats G1'!K12</f>
        <v>0</v>
      </c>
      <c r="L10">
        <f>'Stats G1'!N12</f>
        <v>0</v>
      </c>
      <c r="M10">
        <f>'Stats G1'!Q12</f>
        <v>0</v>
      </c>
      <c r="N10">
        <f>'Stats G1'!T12</f>
        <v>0</v>
      </c>
    </row>
    <row r="11" spans="2:15" x14ac:dyDescent="0.2">
      <c r="F11" t="str">
        <f>'Stats G1'!A13</f>
        <v>Trevin</v>
      </c>
      <c r="G11" t="str">
        <f>'Stats G1'!B13</f>
        <v>Knell</v>
      </c>
      <c r="H11">
        <f>'Stats G1'!C13</f>
        <v>21</v>
      </c>
      <c r="I11">
        <f>'Stats G1'!E13</f>
        <v>0</v>
      </c>
      <c r="J11">
        <f>'Stats G1'!H13</f>
        <v>0</v>
      </c>
      <c r="K11">
        <f>'Stats G1'!K13</f>
        <v>0</v>
      </c>
      <c r="L11">
        <f>'Stats G1'!N13</f>
        <v>0</v>
      </c>
      <c r="M11">
        <f>'Stats G1'!Q13</f>
        <v>0</v>
      </c>
      <c r="N11">
        <f>'Stats G1'!T13</f>
        <v>0</v>
      </c>
    </row>
    <row r="12" spans="2:15" x14ac:dyDescent="0.2">
      <c r="F12" t="str">
        <f>'Stats G1'!A14</f>
        <v>Hank</v>
      </c>
      <c r="G12" t="str">
        <f>'Stats G1'!B14</f>
        <v>Bushell</v>
      </c>
      <c r="H12">
        <f>'Stats G1'!C14</f>
        <v>23</v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</f>
        <v>0</v>
      </c>
      <c r="M12">
        <f>'Stats G1'!Q14</f>
        <v>0</v>
      </c>
      <c r="N12">
        <f>'Stats G1'!T14</f>
        <v>0</v>
      </c>
    </row>
    <row r="13" spans="2:15" x14ac:dyDescent="0.2">
      <c r="F13" t="str">
        <f>'Stats G1'!A15</f>
        <v>Keon</v>
      </c>
      <c r="G13" t="str">
        <f>'Stats G1'!B15</f>
        <v>Burgout</v>
      </c>
      <c r="H13">
        <f>'Stats G1'!C15</f>
        <v>24</v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</f>
        <v>0</v>
      </c>
      <c r="M13">
        <f>'Stats G1'!Q15</f>
        <v>0</v>
      </c>
      <c r="N13">
        <f>'Stats G1'!T15</f>
        <v>0</v>
      </c>
    </row>
    <row r="14" spans="2:15" x14ac:dyDescent="0.2">
      <c r="F14" t="str">
        <f>'Stats G1'!A16</f>
        <v>Kaleb</v>
      </c>
      <c r="G14" t="str">
        <f>'Stats G1'!B16</f>
        <v>Wilborn</v>
      </c>
      <c r="H14">
        <f>'Stats G1'!C16</f>
        <v>25</v>
      </c>
      <c r="I14">
        <f>'Stats G1'!E16</f>
        <v>2</v>
      </c>
      <c r="J14">
        <f>'Stats G1'!H16</f>
        <v>3</v>
      </c>
      <c r="K14">
        <f>'Stats G1'!K16</f>
        <v>0</v>
      </c>
      <c r="L14">
        <f>'Stats G1'!N16</f>
        <v>1</v>
      </c>
      <c r="M14">
        <f>'Stats G1'!Q16</f>
        <v>2</v>
      </c>
      <c r="N14">
        <f>'Stats G1'!T16</f>
        <v>1</v>
      </c>
    </row>
    <row r="15" spans="2:15" x14ac:dyDescent="0.2">
      <c r="F15" t="str">
        <f>'Stats G1'!A17</f>
        <v>Riley</v>
      </c>
      <c r="G15" t="str">
        <f>'Stats G1'!B17</f>
        <v>Demps</v>
      </c>
      <c r="H15">
        <f>'Stats G1'!C17</f>
        <v>30</v>
      </c>
      <c r="I15">
        <f>'Stats G1'!E17</f>
        <v>1</v>
      </c>
      <c r="J15">
        <f>'Stats G1'!H17</f>
        <v>3</v>
      </c>
      <c r="K15">
        <f>'Stats G1'!K17</f>
        <v>1</v>
      </c>
      <c r="L15">
        <f>'Stats G1'!N17</f>
        <v>2</v>
      </c>
      <c r="M15">
        <f>'Stats G1'!Q17</f>
        <v>0</v>
      </c>
      <c r="N15">
        <f>'Stats G1'!T17</f>
        <v>2</v>
      </c>
    </row>
    <row r="16" spans="2:15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  <c r="M16">
        <f>'Stats G1'!Q18</f>
        <v>0</v>
      </c>
      <c r="N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  <c r="M17">
        <f>'Stats G1'!Q19</f>
        <v>0</v>
      </c>
      <c r="N17">
        <f>'Stats G1'!T19</f>
        <v>0</v>
      </c>
    </row>
    <row r="18" spans="6:15" x14ac:dyDescent="0.2">
      <c r="H18" s="2" t="s">
        <v>5</v>
      </c>
      <c r="I18">
        <f t="shared" ref="I18:N18" si="0">SUM(I3:I17)</f>
        <v>16</v>
      </c>
      <c r="J18">
        <f t="shared" si="0"/>
        <v>37</v>
      </c>
      <c r="K18">
        <f t="shared" si="0"/>
        <v>7</v>
      </c>
      <c r="L18">
        <f t="shared" si="0"/>
        <v>17</v>
      </c>
      <c r="M18">
        <f t="shared" si="0"/>
        <v>2</v>
      </c>
      <c r="N18">
        <f t="shared" si="0"/>
        <v>15</v>
      </c>
      <c r="O18">
        <f>'Stats G1'!W5</f>
        <v>0</v>
      </c>
    </row>
    <row r="20" spans="6:15" x14ac:dyDescent="0.2">
      <c r="F20" t="s">
        <v>4</v>
      </c>
      <c r="G20" t="str">
        <f>'Stats G1'!B21</f>
        <v>Joyce</v>
      </c>
    </row>
    <row r="21" spans="6:15" x14ac:dyDescent="0.2">
      <c r="F21" t="s">
        <v>1</v>
      </c>
      <c r="G21" t="s">
        <v>2</v>
      </c>
      <c r="H21" t="s">
        <v>0</v>
      </c>
      <c r="I21" t="s">
        <v>248</v>
      </c>
      <c r="J21" t="s">
        <v>269</v>
      </c>
      <c r="K21" t="s">
        <v>279</v>
      </c>
      <c r="L21" t="s">
        <v>244</v>
      </c>
      <c r="M21" t="s">
        <v>245</v>
      </c>
      <c r="N21" t="s">
        <v>272</v>
      </c>
      <c r="O21" t="s">
        <v>247</v>
      </c>
    </row>
    <row r="22" spans="6:15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G1'!E23</f>
        <v>0</v>
      </c>
      <c r="J22">
        <f>'Stats G1'!H23</f>
        <v>0</v>
      </c>
      <c r="K22">
        <f>'Stats G1'!K23</f>
        <v>0</v>
      </c>
      <c r="L22">
        <f>'Stats G1'!N23</f>
        <v>0</v>
      </c>
      <c r="M22">
        <f>'Stats G1'!Q23</f>
        <v>0</v>
      </c>
      <c r="N22">
        <f>'Stats G1'!T23</f>
        <v>0</v>
      </c>
    </row>
    <row r="23" spans="6:15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L23">
        <f>'Stats G1'!N24</f>
        <v>0</v>
      </c>
      <c r="M23">
        <f>'Stats G1'!Q24</f>
        <v>0</v>
      </c>
      <c r="N23">
        <f>'Stats G1'!T24</f>
        <v>0</v>
      </c>
    </row>
    <row r="24" spans="6:15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9</v>
      </c>
      <c r="J24">
        <f>'Stats G1'!H25</f>
        <v>3</v>
      </c>
      <c r="K24">
        <f>'Stats G1'!K25</f>
        <v>3</v>
      </c>
      <c r="L24">
        <f>'Stats G1'!N25</f>
        <v>3</v>
      </c>
      <c r="M24">
        <f>'Stats G1'!Q25</f>
        <v>1</v>
      </c>
      <c r="N24">
        <f>'Stats G1'!T25</f>
        <v>1</v>
      </c>
    </row>
    <row r="25" spans="6:15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>'Stats G1'!K26</f>
        <v>0</v>
      </c>
      <c r="L25">
        <f>'Stats G1'!N26</f>
        <v>0</v>
      </c>
      <c r="M25">
        <f>'Stats G1'!Q26</f>
        <v>0</v>
      </c>
      <c r="N25">
        <f>'Stats G1'!T26</f>
        <v>0</v>
      </c>
    </row>
    <row r="26" spans="6:15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>'Stats G1'!K27</f>
        <v>0</v>
      </c>
      <c r="L26">
        <f>'Stats G1'!N27</f>
        <v>0</v>
      </c>
      <c r="M26">
        <f>'Stats G1'!Q27</f>
        <v>0</v>
      </c>
      <c r="N26">
        <f>'Stats G1'!T27</f>
        <v>0</v>
      </c>
    </row>
    <row r="27" spans="6:15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1</v>
      </c>
      <c r="J27">
        <f>'Stats G1'!H28</f>
        <v>2</v>
      </c>
      <c r="K27">
        <f>'Stats G1'!K28</f>
        <v>0</v>
      </c>
      <c r="L27">
        <f>'Stats G1'!N28</f>
        <v>0</v>
      </c>
      <c r="M27">
        <f>'Stats G1'!Q28</f>
        <v>0</v>
      </c>
      <c r="N27">
        <f>'Stats G1'!T28</f>
        <v>0</v>
      </c>
    </row>
    <row r="28" spans="6:15" x14ac:dyDescent="0.2">
      <c r="F28" t="str">
        <f>'Stats G1'!A29</f>
        <v>Jael</v>
      </c>
      <c r="G28" t="str">
        <f>'Stats G1'!B29</f>
        <v>Vaughn</v>
      </c>
      <c r="H28">
        <f>'Stats G1'!C29</f>
        <v>12</v>
      </c>
      <c r="I28">
        <f>'Stats G1'!E29</f>
        <v>8</v>
      </c>
      <c r="J28">
        <f>'Stats G1'!H29</f>
        <v>6</v>
      </c>
      <c r="K28">
        <f>'Stats G1'!K29</f>
        <v>6</v>
      </c>
      <c r="L28">
        <f>'Stats G1'!N29</f>
        <v>5</v>
      </c>
      <c r="M28">
        <f>'Stats G1'!Q29</f>
        <v>1</v>
      </c>
      <c r="N28">
        <f>'Stats G1'!T29</f>
        <v>1</v>
      </c>
    </row>
    <row r="29" spans="6:15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0</v>
      </c>
      <c r="J29">
        <f>'Stats G1'!H30</f>
        <v>0</v>
      </c>
      <c r="K29">
        <f>'Stats G1'!K30</f>
        <v>0</v>
      </c>
      <c r="L29">
        <f>'Stats G1'!N30</f>
        <v>0</v>
      </c>
      <c r="M29">
        <f>'Stats G1'!Q30</f>
        <v>0</v>
      </c>
      <c r="N29">
        <f>'Stats G1'!T30</f>
        <v>0</v>
      </c>
    </row>
    <row r="30" spans="6:15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G1'!E31</f>
        <v>0</v>
      </c>
      <c r="J30">
        <f>'Stats G1'!H31</f>
        <v>0</v>
      </c>
      <c r="K30">
        <f>'Stats G1'!K31</f>
        <v>0</v>
      </c>
      <c r="L30">
        <f>'Stats G1'!N31</f>
        <v>0</v>
      </c>
      <c r="M30">
        <f>'Stats G1'!Q31</f>
        <v>0</v>
      </c>
      <c r="N30">
        <f>'Stats G1'!T31</f>
        <v>0</v>
      </c>
    </row>
    <row r="31" spans="6:15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</f>
        <v>0</v>
      </c>
      <c r="M31">
        <f>'Stats G1'!Q32</f>
        <v>0</v>
      </c>
      <c r="N31">
        <f>'Stats G1'!T32</f>
        <v>0</v>
      </c>
    </row>
    <row r="32" spans="6:15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2</v>
      </c>
      <c r="J32">
        <f>'Stats G1'!H33</f>
        <v>22</v>
      </c>
      <c r="K32">
        <f>'Stats G1'!K33</f>
        <v>3</v>
      </c>
      <c r="L32">
        <f>'Stats G1'!N33</f>
        <v>0</v>
      </c>
      <c r="M32">
        <f>'Stats G1'!Q33</f>
        <v>4</v>
      </c>
      <c r="N32">
        <f>'Stats G1'!T33</f>
        <v>2</v>
      </c>
    </row>
    <row r="33" spans="6:15" x14ac:dyDescent="0.2">
      <c r="F33" t="str">
        <f>'Stats G1'!A34</f>
        <v>Myles</v>
      </c>
      <c r="G33" t="str">
        <f>'Stats G1'!B34</f>
        <v>Jefferson</v>
      </c>
      <c r="H33">
        <f>'Stats G1'!C34</f>
        <v>11</v>
      </c>
      <c r="I33">
        <f>'Stats G1'!E34</f>
        <v>1</v>
      </c>
      <c r="J33">
        <f>'Stats G1'!H34</f>
        <v>0</v>
      </c>
      <c r="K33">
        <f>'Stats G1'!K34</f>
        <v>0</v>
      </c>
      <c r="L33">
        <f>'Stats G1'!N34</f>
        <v>0</v>
      </c>
      <c r="M33">
        <f>'Stats G1'!Q34</f>
        <v>0</v>
      </c>
      <c r="N33">
        <f>'Stats G1'!T34</f>
        <v>0</v>
      </c>
    </row>
    <row r="34" spans="6:15" x14ac:dyDescent="0.2">
      <c r="F34" t="str">
        <f>'Stats G1'!A35</f>
        <v>Trey</v>
      </c>
      <c r="G34" t="str">
        <f>'Stats G1'!B35</f>
        <v>Woodbury</v>
      </c>
      <c r="H34">
        <f>'Stats G1'!C35</f>
        <v>4</v>
      </c>
      <c r="I34">
        <f>'Stats G1'!E35</f>
        <v>5</v>
      </c>
      <c r="J34">
        <f>'Stats G1'!H35</f>
        <v>5</v>
      </c>
      <c r="K34">
        <f>'Stats G1'!K35</f>
        <v>0</v>
      </c>
      <c r="L34">
        <f>'Stats G1'!N35</f>
        <v>3</v>
      </c>
      <c r="M34">
        <f>'Stats G1'!Q35</f>
        <v>0</v>
      </c>
      <c r="N34">
        <f>'Stats G1'!T35</f>
        <v>2</v>
      </c>
    </row>
    <row r="35" spans="6:15" x14ac:dyDescent="0.2">
      <c r="F35" t="str">
        <f>'Stats G1'!A36</f>
        <v>Dee</v>
      </c>
      <c r="G35" t="str">
        <f>'Stats G1'!B36</f>
        <v>Barnes</v>
      </c>
      <c r="H35">
        <f>'Stats G1'!C36</f>
        <v>23</v>
      </c>
      <c r="I35">
        <f>'Stats G1'!E36</f>
        <v>6</v>
      </c>
      <c r="J35">
        <f>'Stats G1'!H36</f>
        <v>2</v>
      </c>
      <c r="K35">
        <f>'Stats G1'!K36</f>
        <v>4</v>
      </c>
      <c r="L35">
        <f>'Stats G1'!N36</f>
        <v>0</v>
      </c>
      <c r="M35">
        <f>'Stats G1'!Q36</f>
        <v>0</v>
      </c>
      <c r="N35">
        <f>'Stats G1'!T36</f>
        <v>1</v>
      </c>
    </row>
    <row r="36" spans="6:15" x14ac:dyDescent="0.2">
      <c r="F36" t="str">
        <f>'Stats G1'!A37</f>
        <v>Jaden</v>
      </c>
      <c r="G36" t="str">
        <f>'Stats G1'!B37</f>
        <v>McClanahan</v>
      </c>
      <c r="H36">
        <f>'Stats G1'!C37</f>
        <v>55</v>
      </c>
      <c r="I36">
        <f>'Stats G1'!E37</f>
        <v>5</v>
      </c>
      <c r="J36">
        <f>'Stats G1'!H37</f>
        <v>4</v>
      </c>
      <c r="K36">
        <f>'Stats G1'!K37</f>
        <v>0</v>
      </c>
      <c r="L36">
        <f>'Stats G1'!N37</f>
        <v>2</v>
      </c>
      <c r="M36">
        <f>'Stats G1'!Q37</f>
        <v>0</v>
      </c>
      <c r="N36">
        <f>'Stats G1'!T37</f>
        <v>1</v>
      </c>
    </row>
    <row r="37" spans="6:15" x14ac:dyDescent="0.2">
      <c r="H37" s="2" t="s">
        <v>5</v>
      </c>
      <c r="I37">
        <f t="shared" ref="I37:N37" si="1">SUM(I22:I36)</f>
        <v>37</v>
      </c>
      <c r="J37">
        <f t="shared" si="1"/>
        <v>44</v>
      </c>
      <c r="K37">
        <f t="shared" si="1"/>
        <v>16</v>
      </c>
      <c r="L37">
        <f t="shared" si="1"/>
        <v>13</v>
      </c>
      <c r="M37">
        <f t="shared" si="1"/>
        <v>6</v>
      </c>
      <c r="N37">
        <f t="shared" si="1"/>
        <v>8</v>
      </c>
      <c r="O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08" zoomScaleNormal="13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14</v>
      </c>
    </row>
    <row r="4" spans="1:23" x14ac:dyDescent="0.2">
      <c r="A4" t="s">
        <v>1</v>
      </c>
      <c r="B4" t="s">
        <v>2</v>
      </c>
      <c r="C4" t="s">
        <v>0</v>
      </c>
      <c r="E4" t="s">
        <v>248</v>
      </c>
      <c r="H4" t="s">
        <v>269</v>
      </c>
      <c r="K4" t="s">
        <v>270</v>
      </c>
      <c r="N4" t="s">
        <v>244</v>
      </c>
      <c r="Q4" t="s">
        <v>271</v>
      </c>
      <c r="T4" t="s">
        <v>272</v>
      </c>
    </row>
    <row r="5" spans="1:23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5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5</v>
      </c>
      <c r="U5" s="5"/>
      <c r="V5" s="6" t="s">
        <v>246</v>
      </c>
      <c r="W5" s="6">
        <v>0</v>
      </c>
    </row>
    <row r="6" spans="1:23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1</v>
      </c>
      <c r="H6" s="6">
        <v>3</v>
      </c>
      <c r="K6" s="6">
        <v>3</v>
      </c>
      <c r="N6" s="6">
        <v>1</v>
      </c>
      <c r="Q6" s="6">
        <v>0</v>
      </c>
      <c r="T6" s="6">
        <v>2</v>
      </c>
    </row>
    <row r="7" spans="1:23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5</v>
      </c>
      <c r="H8" s="6">
        <v>14</v>
      </c>
      <c r="K8" s="6">
        <v>2</v>
      </c>
      <c r="N8" s="6">
        <v>4</v>
      </c>
      <c r="Q8" s="6">
        <v>0</v>
      </c>
      <c r="T8" s="6">
        <v>1</v>
      </c>
    </row>
    <row r="9" spans="1:23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11</v>
      </c>
      <c r="I9" s="5"/>
      <c r="J9" s="5"/>
      <c r="K9" s="5">
        <v>1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3</v>
      </c>
      <c r="U9" s="5"/>
    </row>
    <row r="10" spans="1:23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2</v>
      </c>
      <c r="H10" s="6">
        <v>2</v>
      </c>
      <c r="K10" s="6">
        <v>0</v>
      </c>
      <c r="N10" s="6">
        <v>4</v>
      </c>
      <c r="Q10" s="6">
        <v>0</v>
      </c>
      <c r="T10" s="6">
        <v>1</v>
      </c>
    </row>
    <row r="11" spans="1:23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2</v>
      </c>
      <c r="H16" s="6">
        <v>3</v>
      </c>
      <c r="K16" s="6">
        <v>0</v>
      </c>
      <c r="N16" s="6">
        <v>1</v>
      </c>
      <c r="Q16" s="6">
        <v>2</v>
      </c>
      <c r="T16" s="6">
        <v>1</v>
      </c>
    </row>
    <row r="17" spans="1:22" s="6" customFormat="1" x14ac:dyDescent="0.2">
      <c r="A17" s="5" t="s">
        <v>202</v>
      </c>
      <c r="B17" s="5" t="s">
        <v>274</v>
      </c>
      <c r="C17" s="5">
        <v>30</v>
      </c>
      <c r="D17" s="5"/>
      <c r="E17" s="5">
        <v>1</v>
      </c>
      <c r="F17" s="5"/>
      <c r="G17" s="5"/>
      <c r="H17" s="5">
        <v>3</v>
      </c>
      <c r="I17" s="5"/>
      <c r="J17" s="5"/>
      <c r="K17" s="5">
        <v>1</v>
      </c>
      <c r="L17" s="5"/>
      <c r="M17" s="5"/>
      <c r="N17" s="5">
        <v>2</v>
      </c>
      <c r="O17" s="5"/>
      <c r="P17" s="5"/>
      <c r="Q17" s="5">
        <v>0</v>
      </c>
      <c r="R17" s="5"/>
      <c r="S17" s="5"/>
      <c r="T17" s="5">
        <v>2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16</v>
      </c>
      <c r="H20">
        <f>SUM(H5:H19)</f>
        <v>37</v>
      </c>
      <c r="K20">
        <f>SUM(K5:K19)</f>
        <v>7</v>
      </c>
      <c r="N20">
        <f>SUM(N5:N19)</f>
        <v>17</v>
      </c>
      <c r="Q20">
        <f>SUM(Q5:Q19)</f>
        <v>2</v>
      </c>
      <c r="T20">
        <f>SUM(T5:T19)</f>
        <v>15</v>
      </c>
    </row>
    <row r="21" spans="1:22" x14ac:dyDescent="0.2">
      <c r="A21" s="2" t="s">
        <v>9</v>
      </c>
      <c r="B21" s="1" t="s">
        <v>21</v>
      </c>
    </row>
    <row r="22" spans="1:22" x14ac:dyDescent="0.2">
      <c r="A22" t="s">
        <v>1</v>
      </c>
      <c r="B22" t="s">
        <v>2</v>
      </c>
      <c r="C22" t="s">
        <v>0</v>
      </c>
      <c r="E22" t="s">
        <v>248</v>
      </c>
      <c r="H22" t="s">
        <v>269</v>
      </c>
      <c r="K22" t="s">
        <v>270</v>
      </c>
      <c r="N22" t="s">
        <v>244</v>
      </c>
      <c r="Q22" t="s">
        <v>271</v>
      </c>
      <c r="T22" t="s">
        <v>272</v>
      </c>
    </row>
    <row r="23" spans="1:22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246</v>
      </c>
    </row>
    <row r="24" spans="1:2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9</v>
      </c>
      <c r="F25" s="5"/>
      <c r="G25" s="5"/>
      <c r="H25" s="5">
        <v>3</v>
      </c>
      <c r="I25" s="5"/>
      <c r="J25" s="5"/>
      <c r="K25" s="5">
        <v>3</v>
      </c>
      <c r="L25" s="5"/>
      <c r="M25" s="5"/>
      <c r="N25" s="5">
        <v>3</v>
      </c>
      <c r="O25" s="5"/>
      <c r="P25" s="5"/>
      <c r="Q25" s="5">
        <v>1</v>
      </c>
      <c r="R25" s="5"/>
      <c r="S25" s="5"/>
      <c r="T25" s="5">
        <v>1</v>
      </c>
      <c r="U25" s="5"/>
    </row>
    <row r="26" spans="1:22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1</v>
      </c>
      <c r="H28" s="6">
        <v>2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Jael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8</v>
      </c>
      <c r="F29" s="5"/>
      <c r="G29" s="5"/>
      <c r="H29" s="5">
        <v>6</v>
      </c>
      <c r="I29" s="5"/>
      <c r="J29" s="5"/>
      <c r="K29" s="5">
        <v>6</v>
      </c>
      <c r="L29" s="5"/>
      <c r="M29" s="5"/>
      <c r="N29" s="5">
        <v>5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2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Yoeli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2</v>
      </c>
      <c r="F33" s="5"/>
      <c r="G33" s="5"/>
      <c r="H33" s="5">
        <v>22</v>
      </c>
      <c r="I33" s="5"/>
      <c r="J33" s="5"/>
      <c r="K33" s="5">
        <v>3</v>
      </c>
      <c r="L33" s="5"/>
      <c r="M33" s="5"/>
      <c r="N33" s="5">
        <v>0</v>
      </c>
      <c r="O33" s="5"/>
      <c r="P33" s="5"/>
      <c r="Q33" s="5">
        <v>4</v>
      </c>
      <c r="R33" s="5"/>
      <c r="S33" s="5"/>
      <c r="T33" s="5">
        <v>2</v>
      </c>
      <c r="U33" s="5"/>
    </row>
    <row r="34" spans="1:21" s="6" customFormat="1" x14ac:dyDescent="0.2">
      <c r="A34" s="6" t="s">
        <v>273</v>
      </c>
      <c r="B34" s="6" t="s">
        <v>153</v>
      </c>
      <c r="C34" s="6">
        <v>11</v>
      </c>
      <c r="D34"/>
      <c r="E34" s="6">
        <v>1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156</v>
      </c>
      <c r="B35" s="5" t="s">
        <v>275</v>
      </c>
      <c r="C35" s="5">
        <v>4</v>
      </c>
      <c r="D35" s="5"/>
      <c r="E35" s="5">
        <v>5</v>
      </c>
      <c r="F35" s="5"/>
      <c r="G35" s="5"/>
      <c r="H35" s="5">
        <v>5</v>
      </c>
      <c r="I35" s="5"/>
      <c r="J35" s="5"/>
      <c r="K35" s="5">
        <v>0</v>
      </c>
      <c r="L35" s="5"/>
      <c r="M35" s="5"/>
      <c r="N35" s="5">
        <v>3</v>
      </c>
      <c r="O35" s="5"/>
      <c r="P35" s="5"/>
      <c r="Q35" s="5">
        <v>0</v>
      </c>
      <c r="R35" s="5"/>
      <c r="S35" s="5"/>
      <c r="T35" s="5">
        <v>2</v>
      </c>
      <c r="U35" s="5"/>
    </row>
    <row r="36" spans="1:21" s="6" customFormat="1" x14ac:dyDescent="0.2">
      <c r="A36" s="6" t="s">
        <v>276</v>
      </c>
      <c r="B36" s="6" t="s">
        <v>277</v>
      </c>
      <c r="C36" s="6">
        <v>23</v>
      </c>
      <c r="D36"/>
      <c r="E36" s="6">
        <v>6</v>
      </c>
      <c r="F36"/>
      <c r="G36"/>
      <c r="H36" s="6">
        <v>2</v>
      </c>
      <c r="I36"/>
      <c r="J36"/>
      <c r="K36" s="6">
        <v>4</v>
      </c>
      <c r="L36"/>
      <c r="M36"/>
      <c r="N36" s="6">
        <v>0</v>
      </c>
      <c r="O36"/>
      <c r="P36"/>
      <c r="Q36" s="6">
        <v>0</v>
      </c>
      <c r="R36"/>
      <c r="S36"/>
      <c r="T36" s="6">
        <v>1</v>
      </c>
      <c r="U36"/>
    </row>
    <row r="37" spans="1:21" s="6" customFormat="1" x14ac:dyDescent="0.2">
      <c r="A37" s="5" t="s">
        <v>66</v>
      </c>
      <c r="B37" s="5" t="s">
        <v>278</v>
      </c>
      <c r="C37" s="5">
        <v>55</v>
      </c>
      <c r="D37" s="5"/>
      <c r="E37" s="5">
        <v>5</v>
      </c>
      <c r="F37" s="5"/>
      <c r="G37" s="5"/>
      <c r="H37" s="5">
        <v>4</v>
      </c>
      <c r="I37" s="5"/>
      <c r="J37" s="5"/>
      <c r="K37" s="5">
        <v>0</v>
      </c>
      <c r="L37" s="5"/>
      <c r="M37" s="5"/>
      <c r="N37" s="5">
        <v>2</v>
      </c>
      <c r="O37" s="5"/>
      <c r="P37" s="5"/>
      <c r="Q37" s="5">
        <v>0</v>
      </c>
      <c r="R37" s="5"/>
      <c r="S37" s="5"/>
      <c r="T37" s="5">
        <v>1</v>
      </c>
      <c r="U37" s="5"/>
    </row>
    <row r="38" spans="1:21" x14ac:dyDescent="0.2">
      <c r="E38">
        <f>SUM(E23:E37)</f>
        <v>37</v>
      </c>
      <c r="H38">
        <f>SUM(H23:H37)</f>
        <v>44</v>
      </c>
      <c r="K38">
        <f>SUM(K23:K37)</f>
        <v>16</v>
      </c>
      <c r="N38">
        <f>SUM(N23:N37)</f>
        <v>13</v>
      </c>
      <c r="Q38">
        <f>SUM(Q23:Q37)</f>
        <v>6</v>
      </c>
      <c r="T38">
        <f>SUM(T23:T37)</f>
        <v>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252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253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254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251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255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256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257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260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261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262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263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264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2021-08-09T02:04:17Z</dcterms:modified>
</cp:coreProperties>
</file>