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8/"/>
    </mc:Choice>
  </mc:AlternateContent>
  <xr:revisionPtr revIDLastSave="0" documentId="13_ncr:1_{73187510-7212-CE4C-A00A-CFF125582D0B}" xr6:coauthVersionLast="47" xr6:coauthVersionMax="47" xr10:uidLastSave="{00000000-0000-0000-0000-000000000000}"/>
  <bookViews>
    <workbookView xWindow="-18920" yWindow="-11000" windowWidth="18920" windowHeight="2110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" l="1"/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18" i="2" l="1"/>
  <c r="M37" i="2"/>
  <c r="I37" i="2"/>
  <c r="Y26" i="1" s="1"/>
  <c r="I18" i="2"/>
  <c r="Y9" i="1" s="1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18" i="2" l="1"/>
  <c r="L37" i="2"/>
  <c r="L18" i="2"/>
  <c r="K37" i="2"/>
  <c r="J37" i="2"/>
  <c r="J18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G34" i="2"/>
  <c r="B27" i="1"/>
  <c r="G26" i="2" s="1"/>
  <c r="F34" i="2"/>
  <c r="C23" i="1"/>
  <c r="H22" i="2" s="1"/>
  <c r="G28" i="2"/>
  <c r="B34" i="1"/>
  <c r="G33" i="2" s="1"/>
  <c r="A24" i="1"/>
  <c r="F23" i="2" s="1"/>
  <c r="A19" i="1"/>
  <c r="F17" i="2" s="1"/>
  <c r="G14" i="2"/>
  <c r="H34" i="2"/>
  <c r="A33" i="1"/>
  <c r="F32" i="2" s="1"/>
  <c r="B30" i="1"/>
  <c r="G29" i="2" s="1"/>
  <c r="C27" i="1"/>
  <c r="H26" i="2" s="1"/>
  <c r="A25" i="1"/>
  <c r="F24" i="2" s="1"/>
  <c r="F14" i="2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<sst xmlns="http://schemas.openxmlformats.org/spreadsheetml/2006/main" count="366" uniqueCount="228">
  <si>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</si>
  <si>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</si>
  <si>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</si>
  <si>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</si>
  <si>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</si>
  <si>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</si>
  <si>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</si>
  <si>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</si>
  <si>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</si>
  <si>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</si>
  <si>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</si>
  <si>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</si>
  <si>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</si>
  <si>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</si>
  <si>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</si>
  <si>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</si>
  <si>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</si>
  <si>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</si>
  <si>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</si>
  <si>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</si>
  <si>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</si>
  <si>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</si>
  <si>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</si>
  <si>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</si>
  <si>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</si>
  <si>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</si>
  <si>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</si>
  <si>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</si>
  <si>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</si>
  <si>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</si>
  <si>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</si>
  <si>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</si>
  <si>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</si>
  <si>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</si>
  <si>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</si>
  <si>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</si>
  <si>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</si>
  <si>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</si>
  <si>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</si>
  <si>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</si>
  <si>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</si>
  <si>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</si>
  <si>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</si>
  <si>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</si>
  <si>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</si>
  <si>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</si>
  <si>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</si>
  <si>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</si>
  <si>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</si>
  <si>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</si>
  <si>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</si>
  <si>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</si>
  <si>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</si>
  <si>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</si>
  <si>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</si>
  <si>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</si>
  <si>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</si>
  <si>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</si>
  <si>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</si>
  <si>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</si>
  <si>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</si>
  <si>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</si>
  <si>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</si>
  <si>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</si>
  <si>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</si>
  <si>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</si>
  <si>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</si>
  <si>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</si>
  <si>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</si>
  <si>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</si>
  <si>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</si>
  <si>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</si>
  <si>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</si>
  <si>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</si>
  <si>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</si>
  <si>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</si>
  <si>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</si>
  <si>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</si>
  <si>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</si>
  <si>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</si>
  <si>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</si>
  <si>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</si>
  <si>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</si>
  <si>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</si>
  <si>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</si>
  <si>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</si>
  <si>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</si>
  <si>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</si>
  <si>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</si>
  <si>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</si>
  <si>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</si>
  <si>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</si>
  <si>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</si>
  <si>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</si>
  <si>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</si>
  <si>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</si>
  <si>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</si>
  <si>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</si>
  <si>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</si>
  <si>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</si>
  <si>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</si>
  <si>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</si>
  <si>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</si>
  <si>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</si>
  <si>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</si>
  <si>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</si>
  <si>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</si>
  <si>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</si>
  <si>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</si>
  <si>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</si>
  <si>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</si>
  <si>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</si>
  <si>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</si>
  <si>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</si>
  <si>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</si>
  <si>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</si>
  <si>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</si>
  <si>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</si>
  <si>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</si>
  <si>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</si>
  <si>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</si>
  <si>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</si>
  <si>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</si>
  <si>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</si>
  <si>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</si>
  <si>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</si>
  <si>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</si>
  <si>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</si>
  <si>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</si>
  <si>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</si>
  <si>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</si>
  <si>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</si>
  <si>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</si>
  <si>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</si>
  <si>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</si>
  <si>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</si>
  <si>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</si>
  <si>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</si>
  <si>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</si>
  <si>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</si>
  <si>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</si>
  <si>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</si>
  <si>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</si>
  <si>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</si>
  <si>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</si>
  <si>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</si>
  <si>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</si>
  <si>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</si>
  <si>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</si>
  <si>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</si>
  <si>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</si>
  <si>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</si>
  <si>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</si>
  <si>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</si>
  <si>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</si>
  <si>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</si>
  <si>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</si>
  <si>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</si>
  <si>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</si>
  <si>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</si>
  <si>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</si>
  <si>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</si>
  <si>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</si>
  <si>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</si>
  <si>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</si>
  <si>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</si>
  <si>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</si>
  <si>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</si>
  <si>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</si>
  <si>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</si>
  <si>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</si>
  <si>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</si>
  <si>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</si>
  <si>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</si>
  <si>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</si>
  <si>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</si>
  <si>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</si>
  <si>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</si>
  <si>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</si>
  <si>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</si>
  <si>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</si>
  <si>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</si>
  <si>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</si>
  <si>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</si>
  <si>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</si>
  <si>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</si>
  <si>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</si>
  <si>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</si>
  <si>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</si>
  <si>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</si>
  <si>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</si>
  <si>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</si>
  <si>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</si>
  <si>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</si>
  <si>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</si>
  <si>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</si>
  <si>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</si>
  <si>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</si>
  <si>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</si>
  <si>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</si>
  <si>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</si>
  <si>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</si>
  <si>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</si>
  <si>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</si>
  <si>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</si>
  <si>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</si>
  <si>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</si>
  <si>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</si>
  <si>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</si>
  <si>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</si>
  <si>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</si>
  <si>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</si>
  <si>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</si>
  <si>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</si>
  <si>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</si>
  <si>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</si>
  <si>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</si>
  <si>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</si>
  <si>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</si>
  <si>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</si>
  <si>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</si>
  <si>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</si>
  <si>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</si>
  <si>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QT FLS</t>
  </si>
  <si>
    <t>Barzin</t>
  </si>
  <si>
    <t>Boban</t>
  </si>
  <si>
    <t>Chris</t>
  </si>
  <si>
    <t>Barns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</si>
</sst>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opLeftCell="A6" workbookViewId="0">
      <selection activeCell="F32" sqref="F32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Joyce</v>
      </c>
    </row>
    <row r="2" spans="2:13" x14ac:dyDescent="0.2">
      <c r="B2" t="str">
        <f>G1</f>
        <v>Team Joyce</v>
      </c>
      <c r="D2" t="str">
        <f>G20</f>
        <v>Team Bullock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222</v>
      </c>
    </row>
    <row r="3" spans="2:13" x14ac:dyDescent="0.2">
      <c r="B3">
        <f>I18</f>
        <v>112</v>
      </c>
      <c r="C3" s="3" t="s">
        <v>13</v>
      </c>
      <c r="D3" s="4">
        <f>I37</f>
        <v>110</v>
      </c>
      <c r="F3" t="str">
        <f>'Stats G1'!A5</f>
        <v>Kur</v>
      </c>
      <c r="G3" t="str">
        <f>'Stats G1'!B5</f>
        <v>Kuath</v>
      </c>
      <c r="H3">
        <f>'Stats G1'!C5</f>
        <v>34</v>
      </c>
      <c r="I3">
        <f>'Stats G1'!H5*2+'Stats G1'!N5*3+'Stats G1'!T5</f>
        <v>31</v>
      </c>
      <c r="J3" t="str">
        <f>SUM('Stats G1'!H5+'Stats G1'!N5)&amp;"-"&amp;SUM('Stats G1'!E5+'Stats G1'!K5)</f>
        <v>12-17</v>
      </c>
      <c r="K3" t="str">
        <f>SUM('Stats G1'!N5)&amp;"-"&amp;SUM('Stats G1'!K5)</f>
        <v>1-3</v>
      </c>
      <c r="L3" t="str">
        <f>SUM('Stats G1'!T5)&amp;"-"&amp;SUM('Stats G1'!Q5)</f>
        <v>6-8</v>
      </c>
      <c r="M3">
        <f>'Stats G1'!W5</f>
        <v>3</v>
      </c>
    </row>
    <row r="4" spans="2:13" x14ac:dyDescent="0.2">
      <c r="F4" t="str">
        <f>'Stats G1'!A6</f>
        <v>Neema</v>
      </c>
      <c r="G4" t="str">
        <f>'Stats G1'!B6</f>
        <v>Namdar</v>
      </c>
      <c r="H4">
        <f>'Stats G1'!C6</f>
        <v>0</v>
      </c>
      <c r="I4">
        <f>'Stats G1'!H6*2+'Stats G1'!N6*3+'Stats G1'!T6</f>
        <v>10</v>
      </c>
      <c r="J4" t="str">
        <f>SUM('Stats G1'!H6+'Stats G1'!N6)&amp;"-"&amp;SUM('Stats G1'!E6+'Stats G1'!K6)</f>
        <v>4-11</v>
      </c>
      <c r="K4" t="str">
        <f>SUM('Stats G1'!N6)&amp;"-"&amp;SUM('Stats G1'!K6)</f>
        <v>2-8</v>
      </c>
      <c r="L4" t="str">
        <f>SUM('Stats G1'!T6)&amp;"-"&amp;SUM('Stats G1'!Q6)</f>
        <v>0-0</v>
      </c>
      <c r="M4">
        <f>'Stats G1'!W6</f>
        <v>1</v>
      </c>
    </row>
    <row r="5" spans="2:13" x14ac:dyDescent="0.2">
      <c r="F5" t="str">
        <f>'Stats G1'!A7</f>
        <v>Yoeli</v>
      </c>
      <c r="G5" t="str">
        <f>'Stats G1'!B7</f>
        <v>Childs</v>
      </c>
      <c r="H5">
        <f>'Stats G1'!C7</f>
        <v>23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Blaze</v>
      </c>
      <c r="G6" t="str">
        <f>'Stats G1'!B8</f>
        <v>Nield</v>
      </c>
      <c r="H6">
        <f>'Stats G1'!C8</f>
        <v>3</v>
      </c>
      <c r="I6">
        <f>'Stats G1'!H8*2+'Stats G1'!N8*3+'Stats G1'!T8</f>
        <v>28</v>
      </c>
      <c r="J6" t="str">
        <f>SUM('Stats G1'!H8+'Stats G1'!N8)&amp;"-"&amp;SUM('Stats G1'!E8+'Stats G1'!K8)</f>
        <v>6-17</v>
      </c>
      <c r="K6" t="str">
        <f>SUM('Stats G1'!N8)&amp;"-"&amp;SUM('Stats G1'!K8)</f>
        <v>6-9</v>
      </c>
      <c r="L6" t="str">
        <f>SUM('Stats G1'!T8)&amp;"-"&amp;SUM('Stats G1'!Q8)</f>
        <v>10-14</v>
      </c>
      <c r="M6">
        <f>'Stats G1'!W8</f>
        <v>2</v>
      </c>
    </row>
    <row r="7" spans="2:13" x14ac:dyDescent="0.2">
      <c r="F7" t="str">
        <f>'Stats G1'!A9</f>
        <v>Kylor</v>
      </c>
      <c r="G7" t="str">
        <f>'Stats G1'!B9</f>
        <v>Kelley</v>
      </c>
      <c r="H7">
        <f>'Stats G1'!C9</f>
        <v>35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Nic</v>
      </c>
      <c r="G8" t="str">
        <f>'Stats G1'!B10</f>
        <v>Paulos</v>
      </c>
      <c r="H8">
        <f>'Stats G1'!C10</f>
        <v>31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Trey</v>
      </c>
      <c r="G9" t="str">
        <f>'Stats G1'!B11</f>
        <v>Farrer</v>
      </c>
      <c r="H9">
        <f>'Stats G1'!C11</f>
        <v>21</v>
      </c>
      <c r="I9">
        <f>'Stats G1'!H11*2+'Stats G1'!N11*3+'Stats G1'!T11</f>
        <v>7</v>
      </c>
      <c r="J9" t="str">
        <f>SUM('Stats G1'!H11+'Stats G1'!N11)&amp;"-"&amp;SUM('Stats G1'!E11+'Stats G1'!K11)</f>
        <v>1-3</v>
      </c>
      <c r="K9" t="str">
        <f>SUM('Stats G1'!N11)&amp;"-"&amp;SUM('Stats G1'!K11)</f>
        <v>1-2</v>
      </c>
      <c r="L9" t="str">
        <f>SUM('Stats G1'!T11)&amp;"-"&amp;SUM('Stats G1'!Q11)</f>
        <v>4-4</v>
      </c>
      <c r="M9">
        <f>'Stats G1'!W11</f>
        <v>3</v>
      </c>
    </row>
    <row r="10" spans="2:13" x14ac:dyDescent="0.2">
      <c r="F10" t="str">
        <f>'Stats G1'!A12</f>
        <v>Connor</v>
      </c>
      <c r="G10" t="str">
        <f>'Stats G1'!B12</f>
        <v>Harding</v>
      </c>
      <c r="H10">
        <f>'Stats G1'!C12</f>
        <v>11</v>
      </c>
      <c r="I10">
        <f>'Stats G1'!H12*2+'Stats G1'!N12*3+'Stats G1'!T12</f>
        <v>20</v>
      </c>
      <c r="J10" t="str">
        <f>SUM('Stats G1'!H12+'Stats G1'!N12)&amp;"-"&amp;SUM('Stats G1'!E12+'Stats G1'!K12)</f>
        <v>7-14</v>
      </c>
      <c r="K10" t="str">
        <f>SUM('Stats G1'!N12)&amp;"-"&amp;SUM('Stats G1'!K12)</f>
        <v>3-6</v>
      </c>
      <c r="L10" t="str">
        <f>SUM('Stats G1'!T12)&amp;"-"&amp;SUM('Stats G1'!Q12)</f>
        <v>3-5</v>
      </c>
      <c r="M10">
        <f>'Stats G1'!W12</f>
        <v>0</v>
      </c>
    </row>
    <row r="11" spans="2:13" x14ac:dyDescent="0.2">
      <c r="F11" t="str">
        <f>'Stats G1'!A13</f>
        <v>Evan</v>
      </c>
      <c r="G11" t="str">
        <f>'Stats G1'!B13</f>
        <v>Troy</v>
      </c>
      <c r="H11">
        <f>'Stats G1'!C13</f>
        <v>24</v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Sam</v>
      </c>
      <c r="G12" t="str">
        <f>'Stats G1'!B14</f>
        <v>Velez</v>
      </c>
      <c r="H12">
        <f>'Stats G1'!C14</f>
        <v>1</v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  <c r="M12">
        <f>'Stats G1'!W14</f>
        <v>3</v>
      </c>
    </row>
    <row r="13" spans="2:13" x14ac:dyDescent="0.2">
      <c r="F13" t="str">
        <f>'Stats G1'!A15</f>
        <v>Gerad</v>
      </c>
      <c r="G13" t="str">
        <f>'Stats G1'!B15</f>
        <v>Davis</v>
      </c>
      <c r="H13">
        <f>'Stats G1'!C15</f>
        <v>10</v>
      </c>
      <c r="I13">
        <f>'Stats G1'!H15*2+'Stats G1'!N15*3+'Stats G1'!T15</f>
        <v>16</v>
      </c>
      <c r="J13" t="str">
        <f>SUM('Stats G1'!H15+'Stats G1'!N15)&amp;"-"&amp;SUM('Stats G1'!E15+'Stats G1'!K15)</f>
        <v>7-17</v>
      </c>
      <c r="K13" t="str">
        <f>SUM('Stats G1'!N15)&amp;"-"&amp;SUM('Stats G1'!K15)</f>
        <v>2-7</v>
      </c>
      <c r="L13" t="str">
        <f>SUM('Stats G1'!T15)&amp;"-"&amp;SUM('Stats G1'!Q15)</f>
        <v>0-0</v>
      </c>
      <c r="M13">
        <f>'Stats G1'!W15</f>
        <v>1</v>
      </c>
    </row>
    <row r="14" spans="2:13" x14ac:dyDescent="0.2">
      <c r="F14" t="str">
        <f>'Stats G1'!A16</f>
        <v>Barzin</v>
      </c>
      <c r="G14" t="str">
        <f>'Stats G1'!B16</f>
        <v>Boban</v>
      </c>
      <c r="H14">
        <f>'Stats G1'!C16</f>
        <v>25</v>
      </c>
      <c r="I14">
        <f>'Stats G1'!H16*2+'Stats G1'!N16*3+'Stats G1'!T16</f>
        <v>0</v>
      </c>
      <c r="J14" t="str">
        <f>SUM('Stats G1'!H16+'Stats G1'!N16)&amp;"-"&amp;SUM('Stats G1'!E16+'Stats G1'!K16)</f>
        <v>0-1</v>
      </c>
      <c r="K14" t="str">
        <f>SUM('Stats G1'!N16)&amp;"-"&amp;SUM('Stats G1'!K16)</f>
        <v>0-0</v>
      </c>
      <c r="L14" t="str">
        <f>SUM('Stats G1'!T16)&amp;"-"&amp;SUM('Stats G1'!Q16)</f>
        <v>0-0</v>
      </c>
      <c r="M14">
        <f>'Stats G1'!W16</f>
        <v>1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112</v>
      </c>
      <c r="J18" t="str">
        <f>SUM('Stats G1'!H20+'Stats G1'!N20)&amp;"-"&amp;SUM('Stats G1'!E20+'Stats G1'!K20)</f>
        <v>37-80</v>
      </c>
      <c r="K18" t="str">
        <f>SUM('Stats G1'!N20)&amp;"-"&amp;SUM('Stats G1'!K20)</f>
        <v>15-35</v>
      </c>
      <c r="L18" t="str">
        <f>SUM('Stats G1'!T20)&amp;"-"&amp;SUM('Stats G1'!Q20)</f>
        <v>23-31</v>
      </c>
      <c r="M18">
        <f>SUM(M3:M17)</f>
        <v>14</v>
      </c>
    </row>
    <row r="20" spans="6:13" x14ac:dyDescent="0.2">
      <c r="F20" t="s">
        <v>11</v>
      </c>
      <c r="G20" t="str">
        <f>'Stats G1'!B21</f>
        <v>Team Bullock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222</v>
      </c>
    </row>
    <row r="22" spans="6:13" x14ac:dyDescent="0.2">
      <c r="F22" t="str">
        <f>'Stats G1'!A23</f>
        <v>Tyus</v>
      </c>
      <c r="G22" t="str">
        <f>'Stats G1'!B23</f>
        <v>Jefferson</v>
      </c>
      <c r="H22">
        <f>'Stats G1'!C23</f>
        <v>3</v>
      </c>
      <c r="I22">
        <f>'Stats G1'!H23*2+'Stats G1'!N23*3+'Stats G1'!T23</f>
        <v>36</v>
      </c>
      <c r="J22" t="str">
        <f>SUM('Stats G1'!H23+'Stats G1'!N23)&amp;"-"&amp;SUM('Stats G1'!E23+'Stats G1'!K23)</f>
        <v>14-28</v>
      </c>
      <c r="K22" t="str">
        <f>SUM('Stats G1'!N23)&amp;"-"&amp;SUM('Stats G1'!K23)</f>
        <v>3-8</v>
      </c>
      <c r="L22" t="str">
        <f>SUM('Stats G1'!T23)&amp;"-"&amp;SUM('Stats G1'!Q23)</f>
        <v>5-6</v>
      </c>
      <c r="M22">
        <f>'Stats G1'!W23</f>
        <v>2</v>
      </c>
    </row>
    <row r="23" spans="6:13" x14ac:dyDescent="0.2">
      <c r="F23" t="str">
        <f>'Stats G1'!A24</f>
        <v>Jordan</v>
      </c>
      <c r="G23" t="str">
        <f>'Stats G1'!B24</f>
        <v>Loveridge</v>
      </c>
      <c r="H23">
        <f>'Stats G1'!C24</f>
        <v>21</v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0</v>
      </c>
    </row>
    <row r="24" spans="6:13" x14ac:dyDescent="0.2">
      <c r="F24" t="str">
        <f>'Stats G1'!A25</f>
        <v>Kyndayl</v>
      </c>
      <c r="G24" t="str">
        <f>'Stats G1'!B25</f>
        <v>Hill</v>
      </c>
      <c r="H24">
        <f>'Stats G1'!C25</f>
        <v>15</v>
      </c>
      <c r="I24">
        <f>'Stats G1'!H25*2+'Stats G1'!N25*3+'Stats G1'!T25</f>
        <v>6</v>
      </c>
      <c r="J24" t="str">
        <f>SUM('Stats G1'!H25+'Stats G1'!N25)&amp;"-"&amp;SUM('Stats G1'!E25+'Stats G1'!K25)</f>
        <v>3-8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1</v>
      </c>
    </row>
    <row r="25" spans="6:13" x14ac:dyDescent="0.2">
      <c r="F25" t="str">
        <f>'Stats G1'!A26</f>
        <v>Duce</v>
      </c>
      <c r="G25" t="str">
        <f>'Stats G1'!B26</f>
        <v>Zaid</v>
      </c>
      <c r="H25">
        <f>'Stats G1'!C26</f>
        <v>5</v>
      </c>
      <c r="I25">
        <f>'Stats G1'!H26*2+'Stats G1'!N26*3+'Stats G1'!T26</f>
        <v>5</v>
      </c>
      <c r="J25" t="str">
        <f>SUM('Stats G1'!H26+'Stats G1'!N26)&amp;"-"&amp;SUM('Stats G1'!E26+'Stats G1'!K26)</f>
        <v>2-6</v>
      </c>
      <c r="K25" t="str">
        <f>SUM('Stats G1'!N26)&amp;"-"&amp;SUM('Stats G1'!K26)</f>
        <v>1-3</v>
      </c>
      <c r="L25" t="str">
        <f>SUM('Stats G1'!T26)&amp;"-"&amp;SUM('Stats G1'!Q26)</f>
        <v>0-0</v>
      </c>
      <c r="M25">
        <f>'Stats G1'!W26</f>
        <v>2</v>
      </c>
    </row>
    <row r="26" spans="6:13" x14ac:dyDescent="0.2">
      <c r="F26" t="str">
        <f>'Stats G1'!A27</f>
        <v>Charles</v>
      </c>
      <c r="G26" t="str">
        <f>'Stats G1'!B27</f>
        <v>Nann</v>
      </c>
      <c r="H26">
        <f>'Stats G1'!C27</f>
        <v>7</v>
      </c>
      <c r="I26">
        <f>'Stats G1'!H27*2+'Stats G1'!N27*3+'Stats G1'!T27</f>
        <v>2</v>
      </c>
      <c r="J26" t="str">
        <f>SUM('Stats G1'!H27+'Stats G1'!N27)&amp;"-"&amp;SUM('Stats G1'!E27+'Stats G1'!K27)</f>
        <v>1-4</v>
      </c>
      <c r="K26" t="str">
        <f>SUM('Stats G1'!N27)&amp;"-"&amp;SUM('Stats G1'!K27)</f>
        <v>0-0</v>
      </c>
      <c r="L26" t="str">
        <f>SUM('Stats G1'!T27)&amp;"-"&amp;SUM('Stats G1'!Q27)</f>
        <v>0-2</v>
      </c>
      <c r="M26">
        <f>'Stats G1'!W27</f>
        <v>1</v>
      </c>
    </row>
    <row r="27" spans="6:13" x14ac:dyDescent="0.2">
      <c r="F27" t="str">
        <f>'Stats G1'!A28</f>
        <v>Marqus</v>
      </c>
      <c r="G27" t="str">
        <f>'Stats G1'!B28</f>
        <v>Gilson</v>
      </c>
      <c r="H27">
        <f>'Stats G1'!C28</f>
        <v>24</v>
      </c>
      <c r="I27">
        <f>'Stats G1'!H28*2+'Stats G1'!N28*3+'Stats G1'!T28</f>
        <v>9</v>
      </c>
      <c r="J27" t="str">
        <f>SUM('Stats G1'!H28+'Stats G1'!N28)&amp;"-"&amp;SUM('Stats G1'!E28+'Stats G1'!K28)</f>
        <v>4-6</v>
      </c>
      <c r="K27" t="str">
        <f>SUM('Stats G1'!N28)&amp;"-"&amp;SUM('Stats G1'!K28)</f>
        <v>1-2</v>
      </c>
      <c r="L27" t="str">
        <f>SUM('Stats G1'!T28)&amp;"-"&amp;SUM('Stats G1'!Q28)</f>
        <v>0-1</v>
      </c>
      <c r="M27">
        <f>'Stats G1'!W28</f>
        <v>1</v>
      </c>
    </row>
    <row r="28" spans="6:13" x14ac:dyDescent="0.2">
      <c r="F28" t="str">
        <f>'Stats G1'!A29</f>
        <v>Ray</v>
      </c>
      <c r="G28" t="str">
        <f>'Stats G1'!B29</f>
        <v>Gallegos</v>
      </c>
      <c r="H28">
        <f>'Stats G1'!C29</f>
        <v>8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Colton</v>
      </c>
      <c r="G29" t="str">
        <f>'Stats G1'!B30</f>
        <v>Burgon</v>
      </c>
      <c r="H29">
        <f>'Stats G1'!C30</f>
        <v>20</v>
      </c>
      <c r="I29">
        <f>'Stats G1'!H30*2+'Stats G1'!N30*3+'Stats G1'!T30</f>
        <v>0</v>
      </c>
      <c r="J29" t="str">
        <f>SUM('Stats G1'!H30+'Stats G1'!N30)&amp;"-"&amp;SUM('Stats G1'!E30+'Stats G1'!K30)</f>
        <v>0-5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6</v>
      </c>
    </row>
    <row r="30" spans="6:13" x14ac:dyDescent="0.2">
      <c r="F30" t="str">
        <f>'Stats G1'!A31</f>
        <v>Thomas</v>
      </c>
      <c r="G30" t="str">
        <f>'Stats G1'!B31</f>
        <v>Bullock</v>
      </c>
      <c r="H30">
        <f>'Stats G1'!C31</f>
        <v>22</v>
      </c>
      <c r="I30">
        <f>'Stats G1'!H31*2+'Stats G1'!N31*3+'Stats G1'!T31</f>
        <v>22</v>
      </c>
      <c r="J30" t="str">
        <f>SUM('Stats G1'!H31+'Stats G1'!N31)&amp;"-"&amp;SUM('Stats G1'!E31+'Stats G1'!K31)</f>
        <v>9-20</v>
      </c>
      <c r="K30" t="str">
        <f>SUM('Stats G1'!N31)&amp;"-"&amp;SUM('Stats G1'!K31)</f>
        <v>4-9</v>
      </c>
      <c r="L30" t="str">
        <f>SUM('Stats G1'!T31)&amp;"-"&amp;SUM('Stats G1'!Q31)</f>
        <v>0-0</v>
      </c>
      <c r="M30">
        <f>'Stats G1'!W31</f>
        <v>3</v>
      </c>
    </row>
    <row r="31" spans="6:13" x14ac:dyDescent="0.2">
      <c r="F31" t="str">
        <f>'Stats G1'!A32</f>
        <v>Tyler</v>
      </c>
      <c r="G31" t="str">
        <f>'Stats G1'!B32</f>
        <v>Burgess</v>
      </c>
      <c r="H31">
        <f>'Stats G1'!C32</f>
        <v>23</v>
      </c>
      <c r="I31">
        <f>'Stats G1'!H32*2+'Stats G1'!N32*3+'Stats G1'!T32</f>
        <v>9</v>
      </c>
      <c r="J31" t="str">
        <f>SUM('Stats G1'!H32+'Stats G1'!N32)&amp;"-"&amp;SUM('Stats G1'!E32+'Stats G1'!K32)</f>
        <v>3-7</v>
      </c>
      <c r="K31" t="str">
        <f>SUM('Stats G1'!N32)&amp;"-"&amp;SUM('Stats G1'!K32)</f>
        <v>3-6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Kentrell</v>
      </c>
      <c r="G32" t="str">
        <f>'Stats G1'!B33</f>
        <v>Barkley</v>
      </c>
      <c r="H32">
        <f>'Stats G1'!C33</f>
        <v>12</v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  <c r="M32">
        <f>'Stats G1'!W33</f>
        <v>0</v>
      </c>
    </row>
    <row r="33" spans="6:13" x14ac:dyDescent="0.2">
      <c r="F33" t="str">
        <f>'Stats G1'!A34</f>
        <v>Brenden</v>
      </c>
      <c r="G33" t="str">
        <f>'Stats G1'!B34</f>
        <v>Morris</v>
      </c>
      <c r="H33">
        <f>'Stats G1'!C34</f>
        <v>23</v>
      </c>
      <c r="I33">
        <f>'Stats G1'!H34*2+'Stats G1'!N34*3+'Stats G1'!T34</f>
        <v>11</v>
      </c>
      <c r="J33" t="str">
        <f>SUM('Stats G1'!H34+'Stats G1'!N34)&amp;"-"&amp;SUM('Stats G1'!E34+'Stats G1'!K34)</f>
        <v>4-9</v>
      </c>
      <c r="K33" t="str">
        <f>SUM('Stats G1'!N34)&amp;"-"&amp;SUM('Stats G1'!K34)</f>
        <v>1-2</v>
      </c>
      <c r="L33" t="str">
        <f>SUM('Stats G1'!T34)&amp;"-"&amp;SUM('Stats G1'!Q34)</f>
        <v>2-2</v>
      </c>
      <c r="M33">
        <f>'Stats G1'!W34</f>
        <v>3</v>
      </c>
    </row>
    <row r="34" spans="6:13" x14ac:dyDescent="0.2">
      <c r="F34" t="str">
        <f>'Stats G1'!A35</f>
        <v>Chris</v>
      </c>
      <c r="G34" t="str">
        <f>'Stats G1'!B35</f>
        <v>Barns</v>
      </c>
      <c r="H34">
        <f>'Stats G1'!C35</f>
        <v>10</v>
      </c>
      <c r="I34">
        <f>'Stats G1'!H35*2+'Stats G1'!N35*3+'Stats G1'!T35</f>
        <v>10</v>
      </c>
      <c r="J34" t="str">
        <f>SUM('Stats G1'!H35+'Stats G1'!N35)&amp;"-"&amp;SUM('Stats G1'!E35+'Stats G1'!K35)</f>
        <v>5-10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3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110</v>
      </c>
      <c r="J37" t="str">
        <f>SUM('Stats G1'!H38+'Stats G1'!N38)&amp;"-"&amp;SUM('Stats G1'!E38+'Stats G1'!K38)</f>
        <v>45-103</v>
      </c>
      <c r="K37" t="str">
        <f>SUM('Stats G1'!N38)&amp;"-"&amp;SUM('Stats G1'!K38)</f>
        <v>13-30</v>
      </c>
      <c r="L37" t="str">
        <f>SUM('Stats G1'!T38)&amp;"-"&amp;SUM('Stats G1'!Q38)</f>
        <v>7-11</v>
      </c>
      <c r="M37">
        <f>SUM(M22:M36)</f>
        <v>22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abSelected="1" topLeftCell="A3" zoomScale="90" zoomScaleNormal="90" workbookViewId="0">
      <selection activeCell="E18" sqref="E18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hidden="1" x14ac:dyDescent="0.2">
      <c r="A1" s="1" t="s">
        <v>17</v>
      </c>
      <c r="B1" t="s">
        <v>19</v>
      </c>
      <c r="C1" t="s">
        <v>18</v>
      </c>
    </row>
    <row r="2" spans="1:26" hidden="1" x14ac:dyDescent="0.2"/>
    <row r="3" spans="1:26" x14ac:dyDescent="0.2">
      <c r="A3" s="2" t="s">
        <v>15</v>
      </c>
      <c r="B3" s="1" t="s">
        <v>129</v>
      </c>
    </row>
    <row r="4" spans="1:26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222</v>
      </c>
    </row>
    <row r="5" spans="1:26" s="6" customFormat="1" x14ac:dyDescent="0.2">
      <c r="A5" s="5" t="str">
        <f>_xlfn.IFNA(VLOOKUP($B$3&amp;ROWS($A$5:A5),Rosters!$B$2:$C$163,2,0),"?")</f>
        <v>Kur</v>
      </c>
      <c r="B5" s="5" t="str">
        <f>_xlfn.IFNA(VLOOKUP($B$3&amp;ROWS($B$5:B5),Rosters!$B$2:$D$163,3,0),"?")</f>
        <v>Kuath</v>
      </c>
      <c r="C5" s="5">
        <f>_xlfn.IFNA(VLOOKUP($B$3&amp;ROWS($C$5:C5),Rosters!$B$2:$E$163,4,0),"")</f>
        <v>34</v>
      </c>
      <c r="D5" s="5"/>
      <c r="E5" s="5">
        <v>14</v>
      </c>
      <c r="F5" s="5"/>
      <c r="G5" s="5"/>
      <c r="H5" s="5">
        <v>11</v>
      </c>
      <c r="I5" s="5"/>
      <c r="J5" s="5"/>
      <c r="K5" s="5">
        <v>3</v>
      </c>
      <c r="L5" s="5"/>
      <c r="M5" s="5"/>
      <c r="N5" s="5">
        <v>1</v>
      </c>
      <c r="O5" s="5"/>
      <c r="P5" s="5"/>
      <c r="Q5" s="5">
        <v>8</v>
      </c>
      <c r="R5" s="5"/>
      <c r="S5" s="5"/>
      <c r="T5" s="5">
        <v>6</v>
      </c>
      <c r="U5" s="5"/>
      <c r="V5" s="5"/>
      <c r="W5" s="5">
        <v>3</v>
      </c>
      <c r="X5" s="5"/>
    </row>
    <row r="6" spans="1:26" s="6" customFormat="1" x14ac:dyDescent="0.2">
      <c r="A6" s="6" t="str">
        <f>_xlfn.IFNA(VLOOKUP($B$3&amp;ROWS($A$5:A6),Rosters!$B$2:$C$163,2,0),"?")</f>
        <v>Neema</v>
      </c>
      <c r="B6" s="6" t="str">
        <f>_xlfn.IFNA(VLOOKUP($B$3&amp;ROWS($B$5:B6),Rosters!$B$2:$D$163,3,0),"?")</f>
        <v>Namdar</v>
      </c>
      <c r="C6" s="6">
        <f>_xlfn.IFNA(VLOOKUP($B$3&amp;ROWS($C$5:C6),Rosters!$B$2:$E$163,4,0),"")</f>
        <v>0</v>
      </c>
      <c r="E6" s="6">
        <v>3</v>
      </c>
      <c r="H6" s="6">
        <v>2</v>
      </c>
      <c r="K6" s="6">
        <v>8</v>
      </c>
      <c r="N6" s="6">
        <v>2</v>
      </c>
      <c r="Q6" s="6">
        <v>0</v>
      </c>
      <c r="T6" s="6">
        <v>0</v>
      </c>
      <c r="W6" s="6">
        <v>1</v>
      </c>
    </row>
    <row r="7" spans="1:26" s="6" customFormat="1" x14ac:dyDescent="0.2">
      <c r="A7" s="5" t="str">
        <f>_xlfn.IFNA(VLOOKUP($B$3&amp;ROWS($A$5:A7),Rosters!$B$2:$C$163,2,0),"?")</f>
        <v>Yoeli</v>
      </c>
      <c r="B7" s="5" t="str">
        <f>_xlfn.IFNA(VLOOKUP($B$3&amp;ROWS($B$5:B7),Rosters!$B$2:$D$163,3,0),"?")</f>
        <v>Childs</v>
      </c>
      <c r="C7" s="5">
        <f>_xlfn.IFNA(VLOOKUP($B$3&amp;ROWS($C$5:C7),Rosters!$B$2:$E$163,4,0),"")</f>
        <v>23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Z7" s="6" t="s">
        <v>223</v>
      </c>
    </row>
    <row r="8" spans="1:26" s="6" customFormat="1" x14ac:dyDescent="0.2">
      <c r="A8" s="6" t="str">
        <f>_xlfn.IFNA(VLOOKUP($B$3&amp;ROWS($A$5:A8),Rosters!$B$2:$C$163,2,0),"?")</f>
        <v>Blaze</v>
      </c>
      <c r="B8" s="6" t="str">
        <f>_xlfn.IFNA(VLOOKUP($B$3&amp;ROWS($B$5:B8),Rosters!$B$2:$D$163,3,0),"?")</f>
        <v>Nield</v>
      </c>
      <c r="C8" s="6">
        <f>_xlfn.IFNA(VLOOKUP($B$3&amp;ROWS($C$5:C8),Rosters!$B$2:$E$163,4,0),"")</f>
        <v>3</v>
      </c>
      <c r="E8" s="6">
        <v>8</v>
      </c>
      <c r="H8" s="6">
        <v>0</v>
      </c>
      <c r="K8" s="6">
        <v>9</v>
      </c>
      <c r="N8" s="6">
        <v>6</v>
      </c>
      <c r="Q8" s="6">
        <v>14</v>
      </c>
      <c r="T8" s="6">
        <v>10</v>
      </c>
      <c r="W8" s="6">
        <v>2</v>
      </c>
      <c r="Y8" s="6" t="s">
        <v>23</v>
      </c>
      <c r="Z8" s="6">
        <v>5</v>
      </c>
    </row>
    <row r="9" spans="1:26" s="6" customFormat="1" x14ac:dyDescent="0.2">
      <c r="A9" s="5" t="str">
        <f>_xlfn.IFNA(VLOOKUP($B$3&amp;ROWS($A$5:A9),Rosters!$B$2:$C$163,2,0),"?")</f>
        <v>Kylor</v>
      </c>
      <c r="B9" s="5" t="str">
        <f>_xlfn.IFNA(VLOOKUP($B$3&amp;ROWS($B$5:B9),Rosters!$B$2:$D$163,3,0),"?")</f>
        <v>Kelley</v>
      </c>
      <c r="C9" s="5">
        <f>_xlfn.IFNA(VLOOKUP($B$3&amp;ROWS($C$5:C9),Rosters!$B$2:$E$163,4,0),"")</f>
        <v>35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>'G1 Box Score'!I18</f>
        <v>112</v>
      </c>
    </row>
    <row r="10" spans="1:26" s="6" customFormat="1" x14ac:dyDescent="0.2">
      <c r="A10" s="6" t="str">
        <f>_xlfn.IFNA(VLOOKUP($B$3&amp;ROWS($A$5:A10),Rosters!$B$2:$C$163,2,0),"?")</f>
        <v>Nic</v>
      </c>
      <c r="B10" s="6" t="str">
        <f>_xlfn.IFNA(VLOOKUP($B$3&amp;ROWS($B$5:B10),Rosters!$B$2:$D$163,3,0),"?")</f>
        <v>Paulos</v>
      </c>
      <c r="C10" s="6">
        <f>_xlfn.IFNA(VLOOKUP($B$3&amp;ROWS($C$5:C10),Rosters!$B$2:$E$163,4,0),"")</f>
        <v>31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6" s="6" customFormat="1" x14ac:dyDescent="0.2">
      <c r="A11" s="5" t="str">
        <f>_xlfn.IFNA(VLOOKUP($B$3&amp;ROWS($A$5:A11),Rosters!$B$2:$C$163,2,0),"?")</f>
        <v>Trey</v>
      </c>
      <c r="B11" s="5" t="str">
        <f>_xlfn.IFNA(VLOOKUP($B$3&amp;ROWS($B$5:B11),Rosters!$B$2:$D$163,3,0),"?")</f>
        <v>Farrer</v>
      </c>
      <c r="C11" s="5">
        <f>_xlfn.IFNA(VLOOKUP($B$3&amp;ROWS($C$5:C11),Rosters!$B$2:$E$163,4,0),"")</f>
        <v>21</v>
      </c>
      <c r="D11" s="5"/>
      <c r="E11" s="5">
        <v>1</v>
      </c>
      <c r="F11" s="5"/>
      <c r="G11" s="5"/>
      <c r="H11" s="5">
        <v>0</v>
      </c>
      <c r="I11" s="5"/>
      <c r="J11" s="5"/>
      <c r="K11" s="5">
        <v>2</v>
      </c>
      <c r="L11" s="5"/>
      <c r="M11" s="5"/>
      <c r="N11" s="5">
        <v>1</v>
      </c>
      <c r="O11" s="5"/>
      <c r="P11" s="5"/>
      <c r="Q11" s="5">
        <v>4</v>
      </c>
      <c r="R11" s="5"/>
      <c r="S11" s="5"/>
      <c r="T11" s="5">
        <v>4</v>
      </c>
      <c r="U11" s="5"/>
      <c r="V11" s="5"/>
      <c r="W11" s="5">
        <v>3</v>
      </c>
      <c r="X11" s="5"/>
    </row>
    <row r="12" spans="1:26" s="6" customFormat="1" x14ac:dyDescent="0.2">
      <c r="A12" s="6" t="str">
        <f>_xlfn.IFNA(VLOOKUP($B$3&amp;ROWS($A$5:A12),Rosters!$B$2:$C$163,2,0),"?")</f>
        <v>Connor</v>
      </c>
      <c r="B12" s="6" t="str">
        <f>_xlfn.IFNA(VLOOKUP($B$3&amp;ROWS($B$5:B12),Rosters!$B$2:$D$163,3,0),"?")</f>
        <v>Harding</v>
      </c>
      <c r="C12" s="6">
        <f>_xlfn.IFNA(VLOOKUP($B$3&amp;ROWS($C$5:C12),Rosters!$B$2:$E$163,4,0),"")</f>
        <v>11</v>
      </c>
      <c r="E12" s="6">
        <v>8</v>
      </c>
      <c r="H12" s="6">
        <v>4</v>
      </c>
      <c r="K12" s="6">
        <v>6</v>
      </c>
      <c r="N12" s="6">
        <v>3</v>
      </c>
      <c r="Q12" s="6">
        <v>5</v>
      </c>
      <c r="T12" s="6">
        <v>3</v>
      </c>
      <c r="W12" s="6">
        <v>0</v>
      </c>
    </row>
    <row r="13" spans="1:26" s="6" customFormat="1" x14ac:dyDescent="0.2">
      <c r="A13" s="5" t="str">
        <f>_xlfn.IFNA(VLOOKUP($B$3&amp;ROWS($A$5:A13),Rosters!$B$2:$C$163,2,0),"?")</f>
        <v>Evan</v>
      </c>
      <c r="B13" s="5" t="str">
        <f>_xlfn.IFNA(VLOOKUP($B$3&amp;ROWS($B$5:B13),Rosters!$B$2:$D$163,3,0),"?")</f>
        <v>Troy</v>
      </c>
      <c r="C13" s="5">
        <f>_xlfn.IFNA(VLOOKUP($B$3&amp;ROWS($C$5:C13),Rosters!$B$2:$E$163,4,0),"")</f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_xlfn.IFNA(VLOOKUP($B$3&amp;ROWS($A$5:A14),Rosters!$B$2:$C$163,2,0),"?")</f>
        <v>Sam</v>
      </c>
      <c r="B14" s="6" t="str">
        <f>_xlfn.IFNA(VLOOKUP($B$3&amp;ROWS($B$5:B14),Rosters!$B$2:$D$163,3,0),"?")</f>
        <v>Velez</v>
      </c>
      <c r="C14" s="6">
        <f>_xlfn.IFNA(VLOOKUP($B$3&amp;ROWS($C$5:C14),Rosters!$B$2:$E$163,4,0),"")</f>
        <v>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3</v>
      </c>
    </row>
    <row r="15" spans="1:26" s="6" customFormat="1" x14ac:dyDescent="0.2">
      <c r="A15" s="5" t="str">
        <f>_xlfn.IFNA(VLOOKUP($B$3&amp;ROWS($A$5:A15),Rosters!$B$2:$C$163,2,0),"?")</f>
        <v>Gerad</v>
      </c>
      <c r="B15" s="5" t="str">
        <f>_xlfn.IFNA(VLOOKUP($B$3&amp;ROWS($B$5:B15),Rosters!$B$2:$D$163,3,0),"?")</f>
        <v>Davis</v>
      </c>
      <c r="C15" s="5">
        <f>_xlfn.IFNA(VLOOKUP($B$3&amp;ROWS($C$5:C15),Rosters!$B$2:$E$163,4,0),"")</f>
        <v>10</v>
      </c>
      <c r="D15" s="5"/>
      <c r="E15" s="5">
        <v>10</v>
      </c>
      <c r="F15" s="5"/>
      <c r="G15" s="5"/>
      <c r="H15" s="5">
        <v>5</v>
      </c>
      <c r="I15" s="5"/>
      <c r="J15" s="5"/>
      <c r="K15" s="5">
        <v>7</v>
      </c>
      <c r="L15" s="5"/>
      <c r="M15" s="5"/>
      <c r="N15" s="5">
        <v>2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1</v>
      </c>
      <c r="X15" s="5"/>
    </row>
    <row r="16" spans="1:26" s="6" customFormat="1" x14ac:dyDescent="0.2">
      <c r="A16" s="6" t="s">
        <v>224</v>
      </c>
      <c r="B16" s="6" t="s">
        <v>225</v>
      </c>
      <c r="C16" s="6">
        <v>25</v>
      </c>
      <c r="E16" s="6">
        <v>1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1</v>
      </c>
    </row>
    <row r="17" spans="1:26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6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6" s="6" customFormat="1" x14ac:dyDescent="0.2">
      <c r="E20" s="6">
        <f>SUM(E5:E19)</f>
        <v>45</v>
      </c>
      <c r="H20" s="6">
        <f>SUM(H5:H19)</f>
        <v>22</v>
      </c>
      <c r="K20" s="6">
        <f>SUM(K5:K19)</f>
        <v>35</v>
      </c>
      <c r="N20" s="6">
        <f>SUM(N5:N19)</f>
        <v>15</v>
      </c>
      <c r="Q20" s="6">
        <f>SUM(Q5:Q19)</f>
        <v>31</v>
      </c>
      <c r="T20" s="6">
        <f>SUM(T5:T19)</f>
        <v>23</v>
      </c>
      <c r="W20" s="6">
        <f>SUM(W5:W19)</f>
        <v>14</v>
      </c>
    </row>
    <row r="21" spans="1:26" x14ac:dyDescent="0.2">
      <c r="A21" s="2" t="s">
        <v>16</v>
      </c>
      <c r="B21" s="1" t="s">
        <v>88</v>
      </c>
    </row>
    <row r="22" spans="1:26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222</v>
      </c>
    </row>
    <row r="23" spans="1:26" s="6" customFormat="1" x14ac:dyDescent="0.2">
      <c r="A23" s="5" t="str">
        <f>_xlfn.IFNA(VLOOKUP($B$21&amp;ROWS($A$23:A23),Rosters!$B$2:$C$163,2,0),"?")</f>
        <v>Tyus</v>
      </c>
      <c r="B23" s="5" t="str">
        <f>_xlfn.IFNA(VLOOKUP($B$21&amp;ROWS($B$23:B23),Rosters!$B$2:$D$163,3,0),"?")</f>
        <v>Jefferson</v>
      </c>
      <c r="C23" s="5">
        <f>_xlfn.IFNA(VLOOKUP($B$21&amp;ROWS($C$23:C23),Rosters!$B$2:$E$163,4,0),"")</f>
        <v>3</v>
      </c>
      <c r="D23" s="5"/>
      <c r="E23" s="5">
        <v>20</v>
      </c>
      <c r="F23" s="5"/>
      <c r="G23" s="5"/>
      <c r="H23" s="5">
        <v>11</v>
      </c>
      <c r="I23" s="5"/>
      <c r="J23" s="5"/>
      <c r="K23" s="5">
        <v>8</v>
      </c>
      <c r="L23" s="5"/>
      <c r="M23" s="5"/>
      <c r="N23" s="5">
        <v>3</v>
      </c>
      <c r="O23" s="5"/>
      <c r="P23" s="5"/>
      <c r="Q23" s="5">
        <v>6</v>
      </c>
      <c r="R23" s="5"/>
      <c r="S23" s="5"/>
      <c r="T23" s="5">
        <v>5</v>
      </c>
      <c r="U23" s="5"/>
      <c r="V23" s="5"/>
      <c r="W23" s="5">
        <v>2</v>
      </c>
      <c r="X23" s="5"/>
    </row>
    <row r="24" spans="1:26" x14ac:dyDescent="0.2">
      <c r="A24" t="str">
        <f>_xlfn.IFNA(VLOOKUP($B$21&amp;ROWS($A$23:A24),Rosters!$B$2:$C$163,2,0),"?")</f>
        <v>Jordan</v>
      </c>
      <c r="B24" t="str">
        <f>_xlfn.IFNA(VLOOKUP($B$21&amp;ROWS($B$23:B24),Rosters!$B$2:$D$163,3,0),"?")</f>
        <v>Loveridge</v>
      </c>
      <c r="C24">
        <f>_xlfn.IFNA(VLOOKUP($B$21&amp;ROWS($C$23:C24),Rosters!$B$2:$E$163,4,0),"")</f>
        <v>21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Z24" t="s">
        <v>223</v>
      </c>
    </row>
    <row r="25" spans="1:26" s="6" customFormat="1" x14ac:dyDescent="0.2">
      <c r="A25" s="5" t="str">
        <f>_xlfn.IFNA(VLOOKUP($B$21&amp;ROWS($A$23:A25),Rosters!$B$2:$C$163,2,0),"?")</f>
        <v>Kyndayl</v>
      </c>
      <c r="B25" s="5" t="str">
        <f>_xlfn.IFNA(VLOOKUP($B$21&amp;ROWS($B$23:B25),Rosters!$B$2:$D$163,3,0),"?")</f>
        <v>Hill</v>
      </c>
      <c r="C25" s="5">
        <f>_xlfn.IFNA(VLOOKUP($B$21&amp;ROWS($C$23:C25),Rosters!$B$2:$E$163,4,0),"")</f>
        <v>15</v>
      </c>
      <c r="D25" s="5"/>
      <c r="E25" s="5">
        <v>8</v>
      </c>
      <c r="F25" s="5"/>
      <c r="G25" s="5"/>
      <c r="H25" s="5">
        <v>3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1</v>
      </c>
      <c r="X25" s="5"/>
      <c r="Y25" s="6" t="s">
        <v>23</v>
      </c>
      <c r="Z25">
        <v>5</v>
      </c>
    </row>
    <row r="26" spans="1:26" x14ac:dyDescent="0.2">
      <c r="A26" t="str">
        <f>_xlfn.IFNA(VLOOKUP($B$21&amp;ROWS($A$23:A26),Rosters!$B$2:$C$163,2,0),"?")</f>
        <v>Duce</v>
      </c>
      <c r="B26" t="str">
        <f>_xlfn.IFNA(VLOOKUP($B$21&amp;ROWS($B$23:B26),Rosters!$B$2:$D$163,3,0),"?")</f>
        <v>Zaid</v>
      </c>
      <c r="C26">
        <f>_xlfn.IFNA(VLOOKUP($B$21&amp;ROWS($C$23:C26),Rosters!$B$2:$E$163,4,0),"")</f>
        <v>5</v>
      </c>
      <c r="D26" s="6"/>
      <c r="E26" s="6">
        <v>3</v>
      </c>
      <c r="F26" s="6"/>
      <c r="G26" s="6"/>
      <c r="H26" s="6">
        <v>1</v>
      </c>
      <c r="I26" s="6"/>
      <c r="J26" s="6"/>
      <c r="K26" s="6">
        <v>3</v>
      </c>
      <c r="L26" s="6"/>
      <c r="M26" s="6"/>
      <c r="N26" s="6">
        <v>1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2</v>
      </c>
      <c r="X26" s="6"/>
      <c r="Y26">
        <f>'G1 Box Score'!I37</f>
        <v>110</v>
      </c>
    </row>
    <row r="27" spans="1:26" s="6" customFormat="1" x14ac:dyDescent="0.2">
      <c r="A27" s="5" t="str">
        <f>_xlfn.IFNA(VLOOKUP($B$21&amp;ROWS($A$23:A27),Rosters!$B$2:$C$163,2,0),"?")</f>
        <v>Charles</v>
      </c>
      <c r="B27" s="5" t="str">
        <f>_xlfn.IFNA(VLOOKUP($B$21&amp;ROWS($B$23:B27),Rosters!$B$2:$D$163,3,0),"?")</f>
        <v>Nann</v>
      </c>
      <c r="C27" s="5">
        <f>_xlfn.IFNA(VLOOKUP($B$21&amp;ROWS($C$23:C27),Rosters!$B$2:$E$163,4,0),"")</f>
        <v>7</v>
      </c>
      <c r="D27" s="5"/>
      <c r="E27" s="5">
        <v>4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2</v>
      </c>
      <c r="R27" s="5"/>
      <c r="S27" s="5"/>
      <c r="T27" s="5">
        <v>0</v>
      </c>
      <c r="U27" s="5"/>
      <c r="V27" s="5"/>
      <c r="W27" s="5">
        <v>1</v>
      </c>
      <c r="X27" s="5"/>
    </row>
    <row r="28" spans="1:26" x14ac:dyDescent="0.2">
      <c r="A28" t="str">
        <f>_xlfn.IFNA(VLOOKUP($B$21&amp;ROWS($A$23:A28),Rosters!$B$2:$C$163,2,0),"?")</f>
        <v>Marqus</v>
      </c>
      <c r="B28" t="str">
        <f>_xlfn.IFNA(VLOOKUP($B$21&amp;ROWS($B$23:B28),Rosters!$B$2:$D$163,3,0),"?")</f>
        <v>Gilson</v>
      </c>
      <c r="C28">
        <f>_xlfn.IFNA(VLOOKUP($B$21&amp;ROWS($C$23:C28),Rosters!$B$2:$E$163,4,0),"")</f>
        <v>24</v>
      </c>
      <c r="D28" s="6"/>
      <c r="E28" s="6">
        <v>4</v>
      </c>
      <c r="F28" s="6"/>
      <c r="G28" s="6"/>
      <c r="H28" s="6">
        <v>3</v>
      </c>
      <c r="I28" s="6"/>
      <c r="J28" s="6"/>
      <c r="K28" s="6">
        <v>2</v>
      </c>
      <c r="L28" s="6"/>
      <c r="M28" s="6"/>
      <c r="N28" s="6">
        <v>1</v>
      </c>
      <c r="O28" s="6"/>
      <c r="P28" s="6"/>
      <c r="Q28" s="6">
        <v>1</v>
      </c>
      <c r="R28" s="6"/>
      <c r="S28" s="6"/>
      <c r="T28" s="6">
        <v>0</v>
      </c>
      <c r="U28" s="6"/>
      <c r="V28" s="6"/>
      <c r="W28" s="6">
        <v>1</v>
      </c>
      <c r="X28" s="6"/>
    </row>
    <row r="29" spans="1:26" s="6" customFormat="1" x14ac:dyDescent="0.2">
      <c r="A29" s="5" t="str">
        <f>_xlfn.IFNA(VLOOKUP($B$21&amp;ROWS($A$23:A29),Rosters!$B$2:$C$163,2,0),"?")</f>
        <v>Ray</v>
      </c>
      <c r="B29" s="5" t="str">
        <f>_xlfn.IFNA(VLOOKUP($B$21&amp;ROWS($B$23:B29),Rosters!$B$2:$D$163,3,0),"?")</f>
        <v>Gallegos</v>
      </c>
      <c r="C29" s="5">
        <f>_xlfn.IFNA(VLOOKUP($B$21&amp;ROWS($C$23:C29),Rosters!$B$2:$E$163,4,0),"")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6" x14ac:dyDescent="0.2">
      <c r="A30" t="str">
        <f>_xlfn.IFNA(VLOOKUP($B$21&amp;ROWS($A$23:A30),Rosters!$B$2:$C$163,2,0),"?")</f>
        <v>Colton</v>
      </c>
      <c r="B30" t="str">
        <f>_xlfn.IFNA(VLOOKUP($B$21&amp;ROWS($B$23:B30),Rosters!$B$2:$D$163,3,0),"?")</f>
        <v>Burgon</v>
      </c>
      <c r="C30">
        <f>_xlfn.IFNA(VLOOKUP($B$21&amp;ROWS($C$23:C30),Rosters!$B$2:$E$163,4,0),"")</f>
        <v>20</v>
      </c>
      <c r="D30" s="6"/>
      <c r="E30" s="6">
        <v>5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6</v>
      </c>
      <c r="X30" s="6"/>
    </row>
    <row r="31" spans="1:26" s="6" customFormat="1" x14ac:dyDescent="0.2">
      <c r="A31" s="5" t="str">
        <f>_xlfn.IFNA(VLOOKUP($B$21&amp;ROWS($A$23:A31),Rosters!$B$2:$C$163,2,0),"?")</f>
        <v>Thomas</v>
      </c>
      <c r="B31" s="5" t="str">
        <f>_xlfn.IFNA(VLOOKUP($B$21&amp;ROWS($B$23:B31),Rosters!$B$2:$D$163,3,0),"?")</f>
        <v>Bullock</v>
      </c>
      <c r="C31" s="5">
        <f>_xlfn.IFNA(VLOOKUP($B$21&amp;ROWS($C$23:C31),Rosters!$B$2:$E$163,4,0),"")</f>
        <v>22</v>
      </c>
      <c r="D31" s="5"/>
      <c r="E31" s="5">
        <v>11</v>
      </c>
      <c r="F31" s="5"/>
      <c r="G31" s="5"/>
      <c r="H31" s="5">
        <v>5</v>
      </c>
      <c r="I31" s="5"/>
      <c r="J31" s="5"/>
      <c r="K31" s="5">
        <v>9</v>
      </c>
      <c r="L31" s="5"/>
      <c r="M31" s="5"/>
      <c r="N31" s="5">
        <v>4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3</v>
      </c>
      <c r="X31" s="5"/>
    </row>
    <row r="32" spans="1:26" x14ac:dyDescent="0.2">
      <c r="A32" t="str">
        <f>_xlfn.IFNA(VLOOKUP($B$21&amp;ROWS($A$23:A32),Rosters!$B$2:$C$163,2,0),"?")</f>
        <v>Tyler</v>
      </c>
      <c r="B32" t="str">
        <f>_xlfn.IFNA(VLOOKUP($B$21&amp;ROWS($B$23:B32),Rosters!$B$2:$D$163,3,0),"?")</f>
        <v>Burgess</v>
      </c>
      <c r="C32">
        <f>_xlfn.IFNA(VLOOKUP($B$21&amp;ROWS($C$23:C32),Rosters!$B$2:$E$163,4,0),"")</f>
        <v>23</v>
      </c>
      <c r="D32" s="6"/>
      <c r="E32" s="6">
        <v>1</v>
      </c>
      <c r="F32" s="6"/>
      <c r="G32" s="6"/>
      <c r="H32" s="6">
        <v>0</v>
      </c>
      <c r="I32" s="6"/>
      <c r="J32" s="6"/>
      <c r="K32" s="6">
        <v>6</v>
      </c>
      <c r="L32" s="6"/>
      <c r="M32" s="6"/>
      <c r="N32" s="6">
        <v>3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Kentrell</v>
      </c>
      <c r="B33" s="5" t="str">
        <f>_xlfn.IFNA(VLOOKUP($B$21&amp;ROWS($B$23:B33),Rosters!$B$2:$D$163,3,0),"?")</f>
        <v>Barkley</v>
      </c>
      <c r="C33" s="5">
        <f>_xlfn.IFNA(VLOOKUP($B$21&amp;ROWS($C$23:C33),Rosters!$B$2:$E$163,4,0),"")</f>
        <v>12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Brenden</v>
      </c>
      <c r="B34" t="str">
        <f>_xlfn.IFNA(VLOOKUP($B$21&amp;ROWS($B$23:B34),Rosters!$B$2:$D$163,3,0),"?")</f>
        <v>Morris</v>
      </c>
      <c r="C34">
        <f>_xlfn.IFNA(VLOOKUP($B$21&amp;ROWS($C$23:C34),Rosters!$B$2:$E$163,4,0),"")</f>
        <v>23</v>
      </c>
      <c r="D34" s="6"/>
      <c r="E34" s="6">
        <v>7</v>
      </c>
      <c r="F34" s="6"/>
      <c r="G34" s="6"/>
      <c r="H34" s="6">
        <v>3</v>
      </c>
      <c r="I34" s="6"/>
      <c r="J34" s="6"/>
      <c r="K34" s="6">
        <v>2</v>
      </c>
      <c r="L34" s="6"/>
      <c r="M34" s="6"/>
      <c r="N34" s="6">
        <v>1</v>
      </c>
      <c r="O34" s="6"/>
      <c r="P34" s="6"/>
      <c r="Q34" s="6">
        <v>2</v>
      </c>
      <c r="R34" s="6"/>
      <c r="S34" s="6"/>
      <c r="T34" s="6">
        <v>2</v>
      </c>
      <c r="U34" s="6"/>
      <c r="V34" s="6"/>
      <c r="W34" s="6">
        <v>3</v>
      </c>
      <c r="X34" s="6"/>
    </row>
    <row r="35" spans="1:24" s="6" customFormat="1" x14ac:dyDescent="0.2">
      <c r="A35" s="5" t="s">
        <v>226</v>
      </c>
      <c r="B35" s="5" t="s">
        <v>227</v>
      </c>
      <c r="C35" s="5">
        <v>10</v>
      </c>
      <c r="D35" s="5"/>
      <c r="E35" s="5">
        <v>10</v>
      </c>
      <c r="F35" s="5"/>
      <c r="G35" s="5"/>
      <c r="H35" s="5">
        <v>5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3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73</v>
      </c>
      <c r="H38">
        <f>SUM(H23:H37)</f>
        <v>32</v>
      </c>
      <c r="K38">
        <f>SUM(K23:K37)</f>
        <v>30</v>
      </c>
      <c r="N38">
        <f>SUM(N23:N37)</f>
        <v>13</v>
      </c>
      <c r="Q38">
        <f>SUM(Q23:Q37)</f>
        <v>11</v>
      </c>
      <c r="T38">
        <f>SUM(T23:T37)</f>
        <v>7</v>
      </c>
      <c r="W38">
        <f>SUM(W23:W37)</f>
        <v>22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2022-08-06T21:54:42Z</dcterms:modified>
</cp:coreProperties>
</file>