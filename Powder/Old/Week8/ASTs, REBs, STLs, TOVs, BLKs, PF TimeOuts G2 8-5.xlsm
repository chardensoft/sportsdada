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809T015816Z-001/"/>
    </mc:Choice>
  </mc:AlternateContent>
  <xr:revisionPtr revIDLastSave="0" documentId="13_ncr:1_{F8FF16EB-8951-5542-8998-0E757783FB8F}" xr6:coauthVersionLast="47" xr6:coauthVersionMax="47" xr10:uidLastSave="{00000000-0000-0000-0000-000000000000}"/>
  <bookViews>
    <workbookView xWindow="0" yWindow="500" windowWidth="28800" windowHeight="153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7" i="2" l="1"/>
  <c r="M37" i="2"/>
  <c r="L37" i="2"/>
  <c r="L23" i="2"/>
  <c r="M23" i="2"/>
  <c r="N23" i="2"/>
  <c r="L24" i="2"/>
  <c r="M24" i="2"/>
  <c r="N24" i="2"/>
  <c r="L25" i="2"/>
  <c r="M25" i="2"/>
  <c r="N25" i="2"/>
  <c r="L26" i="2"/>
  <c r="M26" i="2"/>
  <c r="N26" i="2"/>
  <c r="L27" i="2"/>
  <c r="M27" i="2"/>
  <c r="N27" i="2"/>
  <c r="L28" i="2"/>
  <c r="M28" i="2"/>
  <c r="N28" i="2"/>
  <c r="L29" i="2"/>
  <c r="M29" i="2"/>
  <c r="N29" i="2"/>
  <c r="L30" i="2"/>
  <c r="M30" i="2"/>
  <c r="N30" i="2"/>
  <c r="L31" i="2"/>
  <c r="M31" i="2"/>
  <c r="N31" i="2"/>
  <c r="L32" i="2"/>
  <c r="M32" i="2"/>
  <c r="N32" i="2"/>
  <c r="L33" i="2"/>
  <c r="M33" i="2"/>
  <c r="N33" i="2"/>
  <c r="L34" i="2"/>
  <c r="M34" i="2"/>
  <c r="N34" i="2"/>
  <c r="L35" i="2"/>
  <c r="M35" i="2"/>
  <c r="N35" i="2"/>
  <c r="L36" i="2"/>
  <c r="M36" i="2"/>
  <c r="N36" i="2"/>
  <c r="N22" i="2"/>
  <c r="M22" i="2"/>
  <c r="L22" i="2"/>
  <c r="N18" i="2"/>
  <c r="M18" i="2"/>
  <c r="L18" i="2"/>
  <c r="L4" i="2"/>
  <c r="M4" i="2"/>
  <c r="N4" i="2"/>
  <c r="L5" i="2"/>
  <c r="M5" i="2"/>
  <c r="N5" i="2"/>
  <c r="L6" i="2"/>
  <c r="M6" i="2"/>
  <c r="N6" i="2"/>
  <c r="L7" i="2"/>
  <c r="M7" i="2"/>
  <c r="N7" i="2"/>
  <c r="L8" i="2"/>
  <c r="M8" i="2"/>
  <c r="N8" i="2"/>
  <c r="L9" i="2"/>
  <c r="M9" i="2"/>
  <c r="N9" i="2"/>
  <c r="L10" i="2"/>
  <c r="M10" i="2"/>
  <c r="N10" i="2"/>
  <c r="L11" i="2"/>
  <c r="M11" i="2"/>
  <c r="N11" i="2"/>
  <c r="L12" i="2"/>
  <c r="M12" i="2"/>
  <c r="N12" i="2"/>
  <c r="L13" i="2"/>
  <c r="M13" i="2"/>
  <c r="N13" i="2"/>
  <c r="L14" i="2"/>
  <c r="M14" i="2"/>
  <c r="N14" i="2"/>
  <c r="L15" i="2"/>
  <c r="M15" i="2"/>
  <c r="N15" i="2"/>
  <c r="L16" i="2"/>
  <c r="M16" i="2"/>
  <c r="N16" i="2"/>
  <c r="L17" i="2"/>
  <c r="M17" i="2"/>
  <c r="N17" i="2"/>
  <c r="N3" i="2"/>
  <c r="M3" i="2"/>
  <c r="L3" i="2"/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I37" i="2" l="1"/>
  <c r="K18" i="2"/>
  <c r="O37" i="2"/>
  <c r="O18" i="2"/>
  <c r="B6" i="1"/>
  <c r="G4" i="2" s="1"/>
  <c r="B33" i="1"/>
  <c r="G32" i="2" s="1"/>
  <c r="H31" i="2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G11" i="2"/>
  <c r="C5" i="1"/>
  <c r="C12" i="1"/>
  <c r="H10" i="2" s="1"/>
  <c r="B24" i="1"/>
  <c r="G23" i="2" s="1"/>
  <c r="C35" i="1"/>
  <c r="H34" i="2" s="1"/>
  <c r="A33" i="1"/>
  <c r="F32" i="2" s="1"/>
  <c r="G29" i="2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F29" i="2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G31" i="2"/>
  <c r="A27" i="1"/>
  <c r="F26" i="2" s="1"/>
  <c r="A11" i="1"/>
  <c r="F9" i="2" s="1"/>
  <c r="C17" i="1"/>
  <c r="H15" i="2" s="1"/>
  <c r="F31" i="2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F11" i="2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<sst xmlns="http://schemas.openxmlformats.org/spreadsheetml/2006/main" count="504" uniqueCount="277">
  <si>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</si>
  <si>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</si>
  <si>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</si>
  <si>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</si>
  <si>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</si>
  <si>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</si>
  <si>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</si>
  <si>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</si>
  <si>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</si>
  <si>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</si>
  <si>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</si>
  <si>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</si>
  <si>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</si>
  <si>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</si>
  <si>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</si>
  <si>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</si>
  <si>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</si>
  <si>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</si>
  <si>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</si>
  <si>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</si>
  <si>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</si>
  <si>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</si>
  <si>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</si>
  <si>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</si>
  <si>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</si>
  <si>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</si>
  <si>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</si>
  <si>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</si>
  <si>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</si>
  <si>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</si>
  <si>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</si>
  <si>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</si>
  <si>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</si>
  <si>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</si>
  <si>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</si>
  <si>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</si>
  <si>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</si>
  <si>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</si>
  <si>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</si>
  <si>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</si>
  <si>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</si>
  <si>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</si>
  <si>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</si>
  <si>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</si>
  <si>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</si>
  <si>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</si>
  <si>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</si>
  <si>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</si>
  <si>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</si>
  <si>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</si>
  <si>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</si>
  <si>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</si>
  <si>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</si>
  <si>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</si>
  <si>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</si>
  <si>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</si>
  <si>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</si>
  <si>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</si>
  <si>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</si>
  <si>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</si>
  <si>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</si>
  <si>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</si>
  <si>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</si>
  <si>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</si>
  <si>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</si>
  <si>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</si>
  <si>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</si>
  <si>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</si>
  <si>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</si>
  <si>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</si>
  <si>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</si>
  <si>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</si>
  <si>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</si>
  <si>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</si>
  <si>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</si>
  <si>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</si>
  <si>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</si>
  <si>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</si>
  <si>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</si>
  <si>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</si>
  <si>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</si>
  <si>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</si>
  <si>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</si>
  <si>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</si>
  <si>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</si>
  <si>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</si>
  <si>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</si>
  <si>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</si>
  <si>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</si>
  <si>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</si>
  <si>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</si>
  <si>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</si>
  <si>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</si>
  <si>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</si>
  <si>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</si>
  <si>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</si>
  <si>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</si>
  <si>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</si>
  <si>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</si>
  <si>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</si>
  <si>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</si>
  <si>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</si>
  <si>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</si>
  <si>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</si>
  <si>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</si>
  <si>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</si>
  <si>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</si>
  <si>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</si>
  <si>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</si>
  <si>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</si>
  <si>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</si>
  <si>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</si>
  <si>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</si>
  <si>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</si>
  <si>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</si>
  <si>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</si>
  <si>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</si>
  <si>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</si>
  <si>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</si>
  <si>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</si>
  <si>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</si>
  <si>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</si>
  <si>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</si>
  <si>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</si>
  <si>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</si>
  <si>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</si>
  <si>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</si>
  <si>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</si>
  <si>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</si>
  <si>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</si>
  <si>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</si>
  <si>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</si>
  <si>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</si>
  <si>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</si>
  <si>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</si>
  <si>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</si>
  <si>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</si>
  <si>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</si>
  <si>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</si>
  <si>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</si>
  <si>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</si>
  <si>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</si>
  <si>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</si>
  <si>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</si>
  <si>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</si>
  <si>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</si>
  <si>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</si>
  <si>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</si>
  <si>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</si>
  <si>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</si>
  <si>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</si>
  <si>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</si>
  <si>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</si>
  <si>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</si>
  <si>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</si>
  <si>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</si>
  <si>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</si>
  <si>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</si>
  <si>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</si>
  <si>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</si>
  <si>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</si>
  <si>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</si>
  <si>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</si>
  <si>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</si>
  <si>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</si>
  <si>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</si>
  <si>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</si>
  <si>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</si>
  <si>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</si>
  <si>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</si>
  <si>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</si>
  <si>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</si>
  <si>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</si>
  <si>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</si>
  <si>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</si>
  <si>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</si>
  <si>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</si>
  <si>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</si>
  <si>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</si>
  <si>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</si>
  <si>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</si>
  <si>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</si>
  <si>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</si>
  <si>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</si>
  <si>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</si>
  <si>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</si>
  <si>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</si>
  <si>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</si>
  <si>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</si>
  <si>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</si>
  <si>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</si>
  <si>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</si>
  <si>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</si>
  <si>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</si>
  <si>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</si>
  <si>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</si>
  <si>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</si>
  <si>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</si>
  <si>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</si>
  <si>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</si>
  <si>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</si>
  <si>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</si>
  <si>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</si>
  <si>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</si>
  <si>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</si>
  <si>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</si>
  <si>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</si>
  <si>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</si>
  <si>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</si>
  <si>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</si>
  <si>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</si>
  <si>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</si>
  <si>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</si>
  <si>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</si>
  <si>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</si>
  <si>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</si>
  <si>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</si>
  <si>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</si>
  <si>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</si>
  <si>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</si>
  <si>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</si>
  <si>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</si>
  <si>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</si>
  <si>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</si>
  <si>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</si>
  <si>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</si>
  <si>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</si>
  <si>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</si>
  <si>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</si>
  <si>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</si>
  <si>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</si>
  <si>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</si>
  <si>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</si>
  <si>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</si>
  <si>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</si>
  <si>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</si>
  <si>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</si>
  <si>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</si>
  <si>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</si>
  <si>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</si>
  <si>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</si>
  <si>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</si>
  <si>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</si>
  <si>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</si>
  <si>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</si>
  <si>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</si>
  <si>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Timeouts</t>
  </si>
  <si>
    <t>GAME 2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</si>
  <si>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</si>
  <si>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</si>
  <si>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</si>
  <si>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</si>
  <si>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</si>
  <si>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</si>
  <si>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</si>
  <si>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</si>
  <si>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</si>
  <si>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</si>
  <si>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</si>
  <si>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</si>
  <si>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</si>
  <si>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</si>
  <si>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</si>
  <si>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</si>
  <si>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</si>
  <si>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</si>
  <si>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</si>
  <si>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Brekkott</t>
  </si>
  <si>
    <t>Dwayne</t>
  </si>
  <si>
    <t>Nelson</t>
  </si>
  <si>
    <t>REB</t>
  </si>
  <si>
    <t>STLS</t>
  </si>
  <si>
    <t>BLKS</t>
  </si>
  <si>
    <t>PF</t>
  </si>
  <si>
    <t>Branden</t>
  </si>
  <si>
    <t>Carlson</t>
  </si>
  <si>
    <t>STL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</si>
</sst>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abSelected="1" workbookViewId="0">
      <selection activeCell="G23" sqref="G23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247</v>
      </c>
      <c r="F1" t="s">
        <v>3</v>
      </c>
      <c r="G1" t="str">
        <f>'Stats G2'!B3</f>
        <v>Berger</v>
      </c>
    </row>
    <row r="2" spans="2:15" x14ac:dyDescent="0.2">
      <c r="B2" t="str">
        <f>G1</f>
        <v>Berger</v>
      </c>
      <c r="D2" t="str">
        <f>G20</f>
        <v>Fulton</v>
      </c>
      <c r="F2" t="s">
        <v>1</v>
      </c>
      <c r="G2" t="s">
        <v>2</v>
      </c>
      <c r="H2" t="s">
        <v>0</v>
      </c>
      <c r="I2" t="s">
        <v>248</v>
      </c>
      <c r="J2" t="s">
        <v>270</v>
      </c>
      <c r="K2" t="s">
        <v>276</v>
      </c>
      <c r="L2" t="s">
        <v>243</v>
      </c>
      <c r="M2" t="s">
        <v>244</v>
      </c>
      <c r="N2" t="s">
        <v>273</v>
      </c>
      <c r="O2" t="s">
        <v>246</v>
      </c>
    </row>
    <row r="3" spans="2:15" x14ac:dyDescent="0.2">
      <c r="B3">
        <f>I18</f>
        <v>25</v>
      </c>
      <c r="C3" s="3" t="s">
        <v>6</v>
      </c>
      <c r="D3" s="4">
        <f>J37</f>
        <v>34</v>
      </c>
      <c r="F3" t="str">
        <f>'Stats G2'!A5</f>
        <v>Sam</v>
      </c>
      <c r="G3" t="str">
        <f>'Stats G2'!B5</f>
        <v>Orchard</v>
      </c>
      <c r="H3">
        <f>'Stats G2'!C5</f>
        <v>3</v>
      </c>
      <c r="I3">
        <f>'Stats G2'!E5</f>
        <v>1</v>
      </c>
      <c r="J3">
        <f>'Stats G2'!H5</f>
        <v>3</v>
      </c>
      <c r="K3">
        <f>'Stats G2'!K5</f>
        <v>1</v>
      </c>
      <c r="L3">
        <f>'Stats G2'!N5</f>
        <v>2</v>
      </c>
      <c r="M3">
        <f>'Stats G2'!Q5</f>
        <v>0</v>
      </c>
      <c r="N3">
        <f>'Stats G2'!T5</f>
        <v>2</v>
      </c>
    </row>
    <row r="4" spans="2:15" x14ac:dyDescent="0.2">
      <c r="F4" t="str">
        <f>'Stats G2'!A6</f>
        <v>Sam</v>
      </c>
      <c r="G4" t="str">
        <f>'Stats G2'!B6</f>
        <v>Merril</v>
      </c>
      <c r="H4">
        <f>'Stats G2'!C6</f>
        <v>5</v>
      </c>
      <c r="I4">
        <f>'Stats G2'!E6</f>
        <v>0</v>
      </c>
      <c r="J4">
        <f>'Stats G2'!H6</f>
        <v>0</v>
      </c>
      <c r="K4">
        <f>'Stats G2'!K6</f>
        <v>0</v>
      </c>
      <c r="L4">
        <f>'Stats G2'!N6</f>
        <v>0</v>
      </c>
      <c r="M4">
        <f>'Stats G2'!Q6</f>
        <v>0</v>
      </c>
      <c r="N4">
        <f>'Stats G2'!T6</f>
        <v>0</v>
      </c>
    </row>
    <row r="5" spans="2:15" x14ac:dyDescent="0.2">
      <c r="F5" t="str">
        <f>'Stats G2'!A7</f>
        <v>Parker</v>
      </c>
      <c r="G5" t="str">
        <f>'Stats G2'!B7</f>
        <v>Van Dyke</v>
      </c>
      <c r="H5">
        <f>'Stats G2'!C7</f>
        <v>7</v>
      </c>
      <c r="I5">
        <f>'Stats G2'!E7</f>
        <v>3</v>
      </c>
      <c r="J5">
        <f>'Stats G2'!H7</f>
        <v>11</v>
      </c>
      <c r="K5">
        <f>'Stats G2'!K7</f>
        <v>5</v>
      </c>
      <c r="L5">
        <f>'Stats G2'!N7</f>
        <v>3</v>
      </c>
      <c r="M5">
        <f>'Stats G2'!Q7</f>
        <v>0</v>
      </c>
      <c r="N5">
        <f>'Stats G2'!T7</f>
        <v>1</v>
      </c>
    </row>
    <row r="6" spans="2:15" x14ac:dyDescent="0.2">
      <c r="F6" t="str">
        <f>'Stats G2'!A8</f>
        <v>Riley</v>
      </c>
      <c r="G6" t="str">
        <f>'Stats G2'!B8</f>
        <v>Battin</v>
      </c>
      <c r="H6">
        <f>'Stats G2'!C8</f>
        <v>11</v>
      </c>
      <c r="I6">
        <f>'Stats G2'!E8</f>
        <v>4</v>
      </c>
      <c r="J6">
        <f>'Stats G2'!H8</f>
        <v>12</v>
      </c>
      <c r="K6">
        <f>'Stats G2'!K8</f>
        <v>1</v>
      </c>
      <c r="L6">
        <f>'Stats G2'!N8</f>
        <v>2</v>
      </c>
      <c r="M6">
        <f>'Stats G2'!Q8</f>
        <v>0</v>
      </c>
      <c r="N6">
        <f>'Stats G2'!T8</f>
        <v>1</v>
      </c>
    </row>
    <row r="7" spans="2:15" x14ac:dyDescent="0.2">
      <c r="F7" t="str">
        <f>'Stats G2'!A9</f>
        <v>Danny</v>
      </c>
      <c r="G7" t="str">
        <f>'Stats G2'!B9</f>
        <v>Berger</v>
      </c>
      <c r="H7">
        <f>'Stats G2'!C9</f>
        <v>12</v>
      </c>
      <c r="I7">
        <f>'Stats G2'!E9</f>
        <v>9</v>
      </c>
      <c r="J7">
        <f>'Stats G2'!H9</f>
        <v>5</v>
      </c>
      <c r="K7">
        <f>'Stats G2'!K9</f>
        <v>1</v>
      </c>
      <c r="L7">
        <f>'Stats G2'!N9</f>
        <v>2</v>
      </c>
      <c r="M7">
        <f>'Stats G2'!Q9</f>
        <v>1</v>
      </c>
      <c r="N7">
        <f>'Stats G2'!T9</f>
        <v>4</v>
      </c>
    </row>
    <row r="8" spans="2:15" x14ac:dyDescent="0.2">
      <c r="F8" t="str">
        <f>'Stats G2'!A10</f>
        <v>Jalen</v>
      </c>
      <c r="G8" t="str">
        <f>'Stats G2'!B10</f>
        <v>Moore</v>
      </c>
      <c r="H8">
        <f>'Stats G2'!C10</f>
        <v>21</v>
      </c>
      <c r="I8">
        <f>'Stats G2'!E10</f>
        <v>0</v>
      </c>
      <c r="J8">
        <f>'Stats G2'!H10</f>
        <v>0</v>
      </c>
      <c r="K8">
        <f>'Stats G2'!K10</f>
        <v>0</v>
      </c>
      <c r="L8">
        <f>'Stats G2'!N10</f>
        <v>0</v>
      </c>
      <c r="M8">
        <f>'Stats G2'!Q10</f>
        <v>0</v>
      </c>
      <c r="N8">
        <f>'Stats G2'!T10</f>
        <v>0</v>
      </c>
    </row>
    <row r="9" spans="2:15" x14ac:dyDescent="0.2">
      <c r="F9" t="str">
        <f>'Stats G2'!A11</f>
        <v>Peter</v>
      </c>
      <c r="G9" t="str">
        <f>'Stats G2'!B11</f>
        <v>Brown</v>
      </c>
      <c r="H9">
        <f>'Stats G2'!C11</f>
        <v>21</v>
      </c>
      <c r="I9">
        <f>'Stats G2'!E11</f>
        <v>0</v>
      </c>
      <c r="J9">
        <f>'Stats G2'!H11</f>
        <v>5</v>
      </c>
      <c r="K9">
        <f>'Stats G2'!K11</f>
        <v>2</v>
      </c>
      <c r="L9">
        <f>'Stats G2'!N11</f>
        <v>2</v>
      </c>
      <c r="M9">
        <f>'Stats G2'!Q11</f>
        <v>1</v>
      </c>
      <c r="N9">
        <f>'Stats G2'!T11</f>
        <v>2</v>
      </c>
    </row>
    <row r="10" spans="2:15" x14ac:dyDescent="0.2">
      <c r="F10" t="str">
        <f>'Stats G2'!A12</f>
        <v>Zavon</v>
      </c>
      <c r="G10" t="str">
        <f>'Stats G2'!B12</f>
        <v>Jackson</v>
      </c>
      <c r="H10">
        <f>'Stats G2'!C12</f>
        <v>24</v>
      </c>
      <c r="I10">
        <f>'Stats G2'!E12</f>
        <v>7</v>
      </c>
      <c r="J10">
        <f>'Stats G2'!H12</f>
        <v>8</v>
      </c>
      <c r="K10">
        <f>'Stats G2'!K12</f>
        <v>4</v>
      </c>
      <c r="L10">
        <f>'Stats G2'!N12</f>
        <v>2</v>
      </c>
      <c r="M10">
        <f>'Stats G2'!Q12</f>
        <v>0</v>
      </c>
      <c r="N10">
        <f>'Stats G2'!T12</f>
        <v>4</v>
      </c>
    </row>
    <row r="11" spans="2:15" x14ac:dyDescent="0.2">
      <c r="F11" t="str">
        <f>'Stats G2'!A13</f>
        <v>Zach</v>
      </c>
      <c r="G11" t="str">
        <f>'Stats G2'!B13</f>
        <v>Nelson</v>
      </c>
      <c r="H11">
        <f>'Stats G2'!C13</f>
        <v>30</v>
      </c>
      <c r="I11">
        <f>'Stats G2'!E13</f>
        <v>1</v>
      </c>
      <c r="J11">
        <f>'Stats G2'!H13</f>
        <v>2</v>
      </c>
      <c r="K11">
        <f>'Stats G2'!K13</f>
        <v>0</v>
      </c>
      <c r="L11">
        <f>'Stats G2'!N13</f>
        <v>1</v>
      </c>
      <c r="M11">
        <f>'Stats G2'!Q13</f>
        <v>1</v>
      </c>
      <c r="N11">
        <f>'Stats G2'!T13</f>
        <v>0</v>
      </c>
    </row>
    <row r="12" spans="2:15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G2'!E14</f>
        <v>0</v>
      </c>
      <c r="J12">
        <f>'Stats G2'!H14</f>
        <v>0</v>
      </c>
      <c r="K12">
        <f>'Stats G2'!K14</f>
        <v>0</v>
      </c>
      <c r="L12">
        <f>'Stats G2'!N14</f>
        <v>0</v>
      </c>
      <c r="M12">
        <f>'Stats G2'!Q14</f>
        <v>0</v>
      </c>
      <c r="N12">
        <f>'Stats G2'!T14</f>
        <v>0</v>
      </c>
    </row>
    <row r="13" spans="2:15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G2'!E15</f>
        <v>0</v>
      </c>
      <c r="J13">
        <f>'Stats G2'!H15</f>
        <v>0</v>
      </c>
      <c r="K13">
        <f>'Stats G2'!K15</f>
        <v>0</v>
      </c>
      <c r="L13">
        <f>'Stats G2'!N15</f>
        <v>0</v>
      </c>
      <c r="M13">
        <f>'Stats G2'!Q15</f>
        <v>0</v>
      </c>
      <c r="N13">
        <f>'Stats G2'!T15</f>
        <v>0</v>
      </c>
    </row>
    <row r="14" spans="2:15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G2'!E16</f>
        <v>0</v>
      </c>
      <c r="J14">
        <f>'Stats G2'!H16</f>
        <v>0</v>
      </c>
      <c r="K14">
        <f>'Stats G2'!K16</f>
        <v>0</v>
      </c>
      <c r="L14">
        <f>'Stats G2'!N16</f>
        <v>0</v>
      </c>
      <c r="M14">
        <f>'Stats G2'!Q16</f>
        <v>0</v>
      </c>
      <c r="N14">
        <f>'Stats G2'!T16</f>
        <v>0</v>
      </c>
    </row>
    <row r="15" spans="2:15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G2'!E17</f>
        <v>0</v>
      </c>
      <c r="J15">
        <f>'Stats G2'!H17</f>
        <v>0</v>
      </c>
      <c r="K15">
        <f>'Stats G2'!K17</f>
        <v>0</v>
      </c>
      <c r="L15">
        <f>'Stats G2'!N17</f>
        <v>0</v>
      </c>
      <c r="M15">
        <f>'Stats G2'!Q17</f>
        <v>0</v>
      </c>
      <c r="N15">
        <f>'Stats G2'!T17</f>
        <v>0</v>
      </c>
    </row>
    <row r="16" spans="2:15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>'Stats G2'!K18</f>
        <v>0</v>
      </c>
      <c r="L16">
        <f>'Stats G2'!N18</f>
        <v>0</v>
      </c>
      <c r="M16">
        <f>'Stats G2'!Q18</f>
        <v>0</v>
      </c>
      <c r="N16">
        <f>'Stats G2'!T18</f>
        <v>0</v>
      </c>
    </row>
    <row r="17" spans="6:15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>'Stats G2'!K19</f>
        <v>0</v>
      </c>
      <c r="L17">
        <f>'Stats G2'!N19</f>
        <v>0</v>
      </c>
      <c r="M17">
        <f>'Stats G2'!Q19</f>
        <v>0</v>
      </c>
      <c r="N17">
        <f>'Stats G2'!T19</f>
        <v>0</v>
      </c>
    </row>
    <row r="18" spans="6:15" x14ac:dyDescent="0.2">
      <c r="H18" s="2" t="s">
        <v>5</v>
      </c>
      <c r="I18">
        <f>SUM(I3:I17)</f>
        <v>25</v>
      </c>
      <c r="J18">
        <f>SUM(J3:J17)</f>
        <v>46</v>
      </c>
      <c r="K18">
        <f>SUM(K3:K17)</f>
        <v>14</v>
      </c>
      <c r="L18">
        <f>SUM(L3:L17)</f>
        <v>14</v>
      </c>
      <c r="M18">
        <f>SUM(M3:M17)</f>
        <v>3</v>
      </c>
      <c r="N18">
        <f>SUM(N3:N17)</f>
        <v>14</v>
      </c>
      <c r="O18">
        <f>'Stats G2'!W5</f>
        <v>4</v>
      </c>
    </row>
    <row r="20" spans="6:15" x14ac:dyDescent="0.2">
      <c r="F20" t="s">
        <v>4</v>
      </c>
      <c r="G20" t="str">
        <f>'Stats G2'!B21</f>
        <v>Fulton</v>
      </c>
    </row>
    <row r="21" spans="6:15" x14ac:dyDescent="0.2">
      <c r="F21" t="s">
        <v>1</v>
      </c>
      <c r="G21" t="s">
        <v>2</v>
      </c>
      <c r="H21" t="s">
        <v>0</v>
      </c>
      <c r="I21" t="s">
        <v>248</v>
      </c>
      <c r="J21" t="s">
        <v>270</v>
      </c>
      <c r="K21" t="s">
        <v>276</v>
      </c>
      <c r="L21" t="s">
        <v>243</v>
      </c>
      <c r="M21" t="s">
        <v>244</v>
      </c>
      <c r="N21" t="s">
        <v>273</v>
      </c>
      <c r="O21" t="s">
        <v>246</v>
      </c>
    </row>
    <row r="22" spans="6:15" x14ac:dyDescent="0.2">
      <c r="F22" t="str">
        <f>'Stats G2'!A23</f>
        <v>Connor</v>
      </c>
      <c r="G22" t="str">
        <f>'Stats G2'!B23</f>
        <v>Fulton</v>
      </c>
      <c r="H22">
        <f>'Stats G2'!C23</f>
        <v>1</v>
      </c>
      <c r="I22">
        <f>'Stats G2'!E23</f>
        <v>0</v>
      </c>
      <c r="J22">
        <f>'Stats G2'!H23</f>
        <v>0</v>
      </c>
      <c r="K22">
        <f>'Stats G2'!K23</f>
        <v>0</v>
      </c>
      <c r="L22">
        <f>'Stats G2'!N23</f>
        <v>0</v>
      </c>
      <c r="M22">
        <f>'Stats G2'!Q23</f>
        <v>0</v>
      </c>
      <c r="N22">
        <f>'Stats G2'!T23</f>
        <v>0</v>
      </c>
    </row>
    <row r="23" spans="6:15" x14ac:dyDescent="0.2">
      <c r="F23" t="str">
        <f>'Stats G2'!A24</f>
        <v>Tanner</v>
      </c>
      <c r="G23" t="str">
        <f>'Stats G2'!B24</f>
        <v>Nygren</v>
      </c>
      <c r="H23">
        <f>'Stats G2'!C24</f>
        <v>2</v>
      </c>
      <c r="I23">
        <f>'Stats G2'!E24</f>
        <v>0</v>
      </c>
      <c r="J23">
        <f>'Stats G2'!H24</f>
        <v>0</v>
      </c>
      <c r="K23">
        <f>'Stats G2'!K24</f>
        <v>0</v>
      </c>
      <c r="L23">
        <f>'Stats G2'!N24</f>
        <v>0</v>
      </c>
      <c r="M23">
        <f>'Stats G2'!Q24</f>
        <v>0</v>
      </c>
      <c r="N23">
        <f>'Stats G2'!T24</f>
        <v>0</v>
      </c>
    </row>
    <row r="24" spans="6:15" x14ac:dyDescent="0.2">
      <c r="F24" t="str">
        <f>'Stats G2'!A25</f>
        <v>Conner</v>
      </c>
      <c r="G24" t="str">
        <f>'Stats G2'!B25</f>
        <v>Toolson</v>
      </c>
      <c r="H24">
        <f>'Stats G2'!C25</f>
        <v>5</v>
      </c>
      <c r="I24">
        <f>'Stats G2'!E25</f>
        <v>0</v>
      </c>
      <c r="J24">
        <f>'Stats G2'!H25</f>
        <v>0</v>
      </c>
      <c r="K24">
        <f>'Stats G2'!K25</f>
        <v>0</v>
      </c>
      <c r="L24">
        <f>'Stats G2'!N25</f>
        <v>0</v>
      </c>
      <c r="M24">
        <f>'Stats G2'!Q25</f>
        <v>0</v>
      </c>
      <c r="N24">
        <f>'Stats G2'!T25</f>
        <v>0</v>
      </c>
    </row>
    <row r="25" spans="6:15" x14ac:dyDescent="0.2">
      <c r="F25" t="str">
        <f>'Stats G2'!A26</f>
        <v>Dalton</v>
      </c>
      <c r="G25" t="str">
        <f>'Stats G2'!B26</f>
        <v>Nixon</v>
      </c>
      <c r="H25">
        <f>'Stats G2'!C26</f>
        <v>6</v>
      </c>
      <c r="I25">
        <f>'Stats G2'!E26</f>
        <v>9</v>
      </c>
      <c r="J25">
        <f>'Stats G2'!H26</f>
        <v>9</v>
      </c>
      <c r="K25">
        <f>'Stats G2'!K26</f>
        <v>5</v>
      </c>
      <c r="L25">
        <f>'Stats G2'!N26</f>
        <v>5</v>
      </c>
      <c r="M25">
        <f>'Stats G2'!Q26</f>
        <v>1</v>
      </c>
      <c r="N25">
        <f>'Stats G2'!T26</f>
        <v>2</v>
      </c>
    </row>
    <row r="26" spans="6:15" x14ac:dyDescent="0.2">
      <c r="F26" t="str">
        <f>'Stats G2'!A27</f>
        <v>Connor</v>
      </c>
      <c r="G26" t="str">
        <f>'Stats G2'!B27</f>
        <v>Harding</v>
      </c>
      <c r="H26">
        <f>'Stats G2'!C27</f>
        <v>11</v>
      </c>
      <c r="I26">
        <f>'Stats G2'!E27</f>
        <v>1</v>
      </c>
      <c r="J26">
        <f>'Stats G2'!H27</f>
        <v>2</v>
      </c>
      <c r="K26">
        <f>'Stats G2'!K27</f>
        <v>1</v>
      </c>
      <c r="L26">
        <f>'Stats G2'!N27</f>
        <v>2</v>
      </c>
      <c r="M26">
        <f>'Stats G2'!Q27</f>
        <v>0</v>
      </c>
      <c r="N26">
        <f>'Stats G2'!T27</f>
        <v>0</v>
      </c>
    </row>
    <row r="27" spans="6:15" x14ac:dyDescent="0.2">
      <c r="F27" t="str">
        <f>'Stats G2'!A28</f>
        <v>Colby</v>
      </c>
      <c r="G27" t="str">
        <f>'Stats G2'!B28</f>
        <v>Leifson</v>
      </c>
      <c r="H27">
        <f>'Stats G2'!C28</f>
        <v>13</v>
      </c>
      <c r="I27">
        <f>'Stats G2'!E28</f>
        <v>0</v>
      </c>
      <c r="J27">
        <f>'Stats G2'!H28</f>
        <v>0</v>
      </c>
      <c r="K27">
        <f>'Stats G2'!K28</f>
        <v>0</v>
      </c>
      <c r="L27">
        <f>'Stats G2'!N28</f>
        <v>0</v>
      </c>
      <c r="M27">
        <f>'Stats G2'!Q28</f>
        <v>0</v>
      </c>
      <c r="N27">
        <f>'Stats G2'!T28</f>
        <v>0</v>
      </c>
    </row>
    <row r="28" spans="6:15" x14ac:dyDescent="0.2">
      <c r="F28" t="str">
        <f>'Stats G2'!A29</f>
        <v>Ibe</v>
      </c>
      <c r="G28" t="str">
        <f>'Stats G2'!B29</f>
        <v>Gerlach</v>
      </c>
      <c r="H28">
        <f>'Stats G2'!C29</f>
        <v>20</v>
      </c>
      <c r="I28">
        <f>'Stats G2'!E29</f>
        <v>5</v>
      </c>
      <c r="J28">
        <f>'Stats G2'!H29</f>
        <v>3</v>
      </c>
      <c r="K28">
        <f>'Stats G2'!K29</f>
        <v>3</v>
      </c>
      <c r="L28">
        <f>'Stats G2'!N29</f>
        <v>3</v>
      </c>
      <c r="M28">
        <f>'Stats G2'!Q29</f>
        <v>0</v>
      </c>
      <c r="N28">
        <f>'Stats G2'!T29</f>
        <v>2</v>
      </c>
    </row>
    <row r="29" spans="6:15" x14ac:dyDescent="0.2">
      <c r="F29" t="str">
        <f>'Stats G2'!A30</f>
        <v>Branden</v>
      </c>
      <c r="G29" t="str">
        <f>'Stats G2'!B30</f>
        <v>Carlson</v>
      </c>
      <c r="H29">
        <f>'Stats G2'!C30</f>
        <v>23</v>
      </c>
      <c r="I29">
        <f>'Stats G2'!E30</f>
        <v>2</v>
      </c>
      <c r="J29">
        <f>'Stats G2'!H30</f>
        <v>6</v>
      </c>
      <c r="K29">
        <f>'Stats G2'!K30</f>
        <v>0</v>
      </c>
      <c r="L29">
        <f>'Stats G2'!N30</f>
        <v>1</v>
      </c>
      <c r="M29">
        <f>'Stats G2'!Q30</f>
        <v>3</v>
      </c>
      <c r="N29">
        <f>'Stats G2'!T30</f>
        <v>1</v>
      </c>
    </row>
    <row r="30" spans="6:15" x14ac:dyDescent="0.2">
      <c r="F30" t="str">
        <f>'Stats G2'!A31</f>
        <v>Evan</v>
      </c>
      <c r="G30" t="str">
        <f>'Stats G2'!B31</f>
        <v>Troy</v>
      </c>
      <c r="H30">
        <f>'Stats G2'!C31</f>
        <v>24</v>
      </c>
      <c r="I30">
        <f>'Stats G2'!E31</f>
        <v>1</v>
      </c>
      <c r="J30">
        <f>'Stats G2'!H31</f>
        <v>5</v>
      </c>
      <c r="K30">
        <f>'Stats G2'!K31</f>
        <v>0</v>
      </c>
      <c r="L30">
        <f>'Stats G2'!N31</f>
        <v>1</v>
      </c>
      <c r="M30">
        <f>'Stats G2'!Q31</f>
        <v>0</v>
      </c>
      <c r="N30">
        <f>'Stats G2'!T31</f>
        <v>2</v>
      </c>
    </row>
    <row r="31" spans="6:15" x14ac:dyDescent="0.2">
      <c r="F31" t="str">
        <f>'Stats G2'!A32</f>
        <v>Zac</v>
      </c>
      <c r="G31" t="str">
        <f>'Stats G2'!B32</f>
        <v>Seljaas</v>
      </c>
      <c r="H31">
        <f>'Stats G2'!C32</f>
        <v>99</v>
      </c>
      <c r="I31">
        <f>'Stats G2'!E32</f>
        <v>1</v>
      </c>
      <c r="J31">
        <f>'Stats G2'!H32</f>
        <v>9</v>
      </c>
      <c r="K31">
        <f>'Stats G2'!K32</f>
        <v>1</v>
      </c>
      <c r="L31">
        <f>'Stats G2'!N32</f>
        <v>2</v>
      </c>
      <c r="M31">
        <f>'Stats G2'!Q32</f>
        <v>0</v>
      </c>
      <c r="N31">
        <f>'Stats G2'!T32</f>
        <v>3</v>
      </c>
    </row>
    <row r="32" spans="6:15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>'Stats G2'!K33</f>
        <v>0</v>
      </c>
      <c r="L32">
        <f>'Stats G2'!N33</f>
        <v>0</v>
      </c>
      <c r="M32">
        <f>'Stats G2'!Q33</f>
        <v>0</v>
      </c>
      <c r="N32">
        <f>'Stats G2'!T33</f>
        <v>0</v>
      </c>
    </row>
    <row r="33" spans="6:15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>'Stats G2'!K34</f>
        <v>0</v>
      </c>
      <c r="L33">
        <f>'Stats G2'!N34</f>
        <v>0</v>
      </c>
      <c r="M33">
        <f>'Stats G2'!Q34</f>
        <v>0</v>
      </c>
      <c r="N33">
        <f>'Stats G2'!T34</f>
        <v>0</v>
      </c>
    </row>
    <row r="34" spans="6:15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>'Stats G2'!K35</f>
        <v>0</v>
      </c>
      <c r="L34">
        <f>'Stats G2'!N35</f>
        <v>0</v>
      </c>
      <c r="M34">
        <f>'Stats G2'!Q35</f>
        <v>0</v>
      </c>
      <c r="N34">
        <f>'Stats G2'!T35</f>
        <v>0</v>
      </c>
    </row>
    <row r="35" spans="6:15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>'Stats G2'!K36</f>
        <v>0</v>
      </c>
      <c r="L35">
        <f>'Stats G2'!N36</f>
        <v>0</v>
      </c>
      <c r="M35">
        <f>'Stats G2'!Q36</f>
        <v>0</v>
      </c>
      <c r="N35">
        <f>'Stats G2'!T36</f>
        <v>0</v>
      </c>
    </row>
    <row r="36" spans="6:15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'Stats G2'!K37</f>
        <v>0</v>
      </c>
      <c r="L36">
        <f>'Stats G2'!N37</f>
        <v>0</v>
      </c>
      <c r="M36">
        <f>'Stats G2'!Q37</f>
        <v>0</v>
      </c>
      <c r="N36">
        <f>'Stats G2'!T37</f>
        <v>0</v>
      </c>
    </row>
    <row r="37" spans="6:15" x14ac:dyDescent="0.2">
      <c r="H37" s="2" t="s">
        <v>5</v>
      </c>
      <c r="I37">
        <f>SUM(I22:I36)</f>
        <v>19</v>
      </c>
      <c r="J37">
        <f>SUM(J22:J36)</f>
        <v>34</v>
      </c>
      <c r="K37">
        <f>SUM(K22:K36)</f>
        <v>10</v>
      </c>
      <c r="L37">
        <f>SUM(L22:L36)</f>
        <v>14</v>
      </c>
      <c r="M37">
        <f>SUM(M22:M36)</f>
        <v>4</v>
      </c>
      <c r="N37">
        <f>SUM(N22:N36)</f>
        <v>10</v>
      </c>
      <c r="O37">
        <f>'Stats G2'!W23</f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zoomScale="112" workbookViewId="0">
      <selection activeCell="X10" sqref="X1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3" hidden="1" x14ac:dyDescent="0.2"/>
    <row r="3" spans="1:23" x14ac:dyDescent="0.2">
      <c r="A3" s="2" t="s">
        <v>7</v>
      </c>
      <c r="B3" s="1" t="s">
        <v>10</v>
      </c>
    </row>
    <row r="4" spans="1:23" x14ac:dyDescent="0.2">
      <c r="A4" t="s">
        <v>1</v>
      </c>
      <c r="B4" t="s">
        <v>2</v>
      </c>
      <c r="C4" t="s">
        <v>0</v>
      </c>
      <c r="E4" t="s">
        <v>248</v>
      </c>
      <c r="H4" t="s">
        <v>270</v>
      </c>
      <c r="K4" t="s">
        <v>271</v>
      </c>
      <c r="N4" t="s">
        <v>243</v>
      </c>
      <c r="Q4" t="s">
        <v>272</v>
      </c>
      <c r="T4" t="s">
        <v>273</v>
      </c>
    </row>
    <row r="5" spans="1:23" s="6" customFormat="1" x14ac:dyDescent="0.2">
      <c r="A5" s="5" t="str">
        <f>_xlfn.IFNA(VLOOKUP($B$3&amp;ROWS($A$5:A5),Rosters!$B$2:$C$162,2,0),"?")</f>
        <v>Sam</v>
      </c>
      <c r="B5" s="5" t="str">
        <f>_xlfn.IFNA(VLOOKUP($B$3&amp;ROWS($B$5:B5),Rosters!$B$2:$D$162,3,0),"?")</f>
        <v>Orchard</v>
      </c>
      <c r="C5" s="5">
        <f>_xlfn.IFNA(VLOOKUP($B$3&amp;ROWS($C$5:C5),Rosters!$B$2:$E$162,4,0),"")</f>
        <v>3</v>
      </c>
      <c r="D5" s="5"/>
      <c r="E5" s="5">
        <v>1</v>
      </c>
      <c r="F5" s="5"/>
      <c r="G5" s="5"/>
      <c r="H5" s="5">
        <v>3</v>
      </c>
      <c r="I5" s="5"/>
      <c r="J5" s="5"/>
      <c r="K5" s="5">
        <v>1</v>
      </c>
      <c r="L5" s="5"/>
      <c r="M5" s="5"/>
      <c r="N5" s="5">
        <v>2</v>
      </c>
      <c r="O5" s="5"/>
      <c r="P5" s="5"/>
      <c r="Q5" s="5">
        <v>0</v>
      </c>
      <c r="R5" s="5"/>
      <c r="S5" s="5"/>
      <c r="T5" s="5">
        <v>2</v>
      </c>
      <c r="U5" s="5"/>
      <c r="V5" s="6" t="s">
        <v>245</v>
      </c>
      <c r="W5" s="6">
        <v>4</v>
      </c>
    </row>
    <row r="6" spans="1:23" s="6" customFormat="1" x14ac:dyDescent="0.2">
      <c r="A6" s="6" t="str">
        <f>_xlfn.IFNA(VLOOKUP($B$3&amp;ROWS($A$5:A6),Rosters!$B$2:$C$162,2,0),"?")</f>
        <v>Sam</v>
      </c>
      <c r="B6" s="6" t="str">
        <f>_xlfn.IFNA(VLOOKUP($B$3&amp;ROWS($B$5:B6),Rosters!$B$2:$D$162,3,0),"?")</f>
        <v>Merril</v>
      </c>
      <c r="C6" s="6">
        <f>_xlfn.IFNA(VLOOKUP($B$3&amp;ROWS($C$5:C6),Rosters!$B$2:$E$162,4,0),"")</f>
        <v>5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Parker</v>
      </c>
      <c r="B7" s="5" t="str">
        <f>_xlfn.IFNA(VLOOKUP($B$3&amp;ROWS($B$5:B7),Rosters!$B$2:$D$162,3,0),"?")</f>
        <v>Van Dyke</v>
      </c>
      <c r="C7" s="5">
        <f>_xlfn.IFNA(VLOOKUP($B$3&amp;ROWS($C$5:C7),Rosters!$B$2:$E$162,4,0),"")</f>
        <v>7</v>
      </c>
      <c r="D7" s="5"/>
      <c r="E7" s="5">
        <v>3</v>
      </c>
      <c r="F7" s="5"/>
      <c r="G7" s="5"/>
      <c r="H7" s="5">
        <v>11</v>
      </c>
      <c r="I7" s="5"/>
      <c r="J7" s="5"/>
      <c r="K7" s="5">
        <v>5</v>
      </c>
      <c r="L7" s="5"/>
      <c r="M7" s="5"/>
      <c r="N7" s="5">
        <v>3</v>
      </c>
      <c r="O7" s="5"/>
      <c r="P7" s="5"/>
      <c r="Q7" s="5">
        <v>0</v>
      </c>
      <c r="R7" s="5"/>
      <c r="S7" s="5"/>
      <c r="T7" s="5">
        <v>1</v>
      </c>
      <c r="U7" s="5"/>
    </row>
    <row r="8" spans="1:23" s="6" customFormat="1" x14ac:dyDescent="0.2">
      <c r="A8" s="6" t="str">
        <f>_xlfn.IFNA(VLOOKUP($B$3&amp;ROWS($A$5:A8),Rosters!$B$2:$C$162,2,0),"?")</f>
        <v>Riley</v>
      </c>
      <c r="B8" s="6" t="str">
        <f>_xlfn.IFNA(VLOOKUP($B$3&amp;ROWS($B$5:B8),Rosters!$B$2:$D$162,3,0),"?")</f>
        <v>Battin</v>
      </c>
      <c r="C8" s="6">
        <f>_xlfn.IFNA(VLOOKUP($B$3&amp;ROWS($C$5:C8),Rosters!$B$2:$E$162,4,0),"")</f>
        <v>11</v>
      </c>
      <c r="E8" s="6">
        <v>4</v>
      </c>
      <c r="H8" s="6">
        <v>12</v>
      </c>
      <c r="K8" s="6">
        <v>1</v>
      </c>
      <c r="N8" s="6">
        <v>2</v>
      </c>
      <c r="Q8" s="6">
        <v>0</v>
      </c>
      <c r="T8" s="6">
        <v>1</v>
      </c>
    </row>
    <row r="9" spans="1:23" s="6" customFormat="1" x14ac:dyDescent="0.2">
      <c r="A9" s="5" t="str">
        <f>_xlfn.IFNA(VLOOKUP($B$3&amp;ROWS($A$5:A9),Rosters!$B$2:$C$162,2,0),"?")</f>
        <v>Danny</v>
      </c>
      <c r="B9" s="5" t="str">
        <f>_xlfn.IFNA(VLOOKUP($B$3&amp;ROWS($B$5:B9),Rosters!$B$2:$D$162,3,0),"?")</f>
        <v>Berger</v>
      </c>
      <c r="C9" s="5">
        <f>_xlfn.IFNA(VLOOKUP($B$3&amp;ROWS($C$5:C9),Rosters!$B$2:$E$162,4,0),"")</f>
        <v>12</v>
      </c>
      <c r="D9" s="5"/>
      <c r="E9" s="5">
        <v>9</v>
      </c>
      <c r="F9" s="5"/>
      <c r="G9" s="5"/>
      <c r="H9" s="5">
        <v>5</v>
      </c>
      <c r="I9" s="5"/>
      <c r="J9" s="5"/>
      <c r="K9" s="5">
        <v>1</v>
      </c>
      <c r="L9" s="5"/>
      <c r="M9" s="5"/>
      <c r="N9" s="5">
        <v>2</v>
      </c>
      <c r="O9" s="5"/>
      <c r="P9" s="5"/>
      <c r="Q9" s="5">
        <v>1</v>
      </c>
      <c r="R9" s="5"/>
      <c r="S9" s="5"/>
      <c r="T9" s="5">
        <v>4</v>
      </c>
      <c r="U9" s="5"/>
    </row>
    <row r="10" spans="1:23" s="6" customFormat="1" x14ac:dyDescent="0.2">
      <c r="A10" s="6" t="str">
        <f>_xlfn.IFNA(VLOOKUP($B$3&amp;ROWS($A$5:A10),Rosters!$B$2:$C$162,2,0),"?")</f>
        <v>Jalen</v>
      </c>
      <c r="B10" s="6" t="str">
        <f>_xlfn.IFNA(VLOOKUP($B$3&amp;ROWS($B$5:B10),Rosters!$B$2:$D$162,3,0),"?")</f>
        <v>Moore</v>
      </c>
      <c r="C10" s="6">
        <f>_xlfn.IFNA(VLOOKUP($B$3&amp;ROWS($C$5:C10),Rosters!$B$2:$E$162,4,0),"")</f>
        <v>21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Peter</v>
      </c>
      <c r="B11" s="5" t="str">
        <f>_xlfn.IFNA(VLOOKUP($B$3&amp;ROWS($B$5:B11),Rosters!$B$2:$D$162,3,0),"?")</f>
        <v>Brown</v>
      </c>
      <c r="C11" s="5">
        <f>_xlfn.IFNA(VLOOKUP($B$3&amp;ROWS($C$5:C11),Rosters!$B$2:$E$162,4,0),"")</f>
        <v>21</v>
      </c>
      <c r="D11" s="5"/>
      <c r="E11" s="5">
        <v>0</v>
      </c>
      <c r="F11" s="5"/>
      <c r="G11" s="5"/>
      <c r="H11" s="5">
        <v>5</v>
      </c>
      <c r="I11" s="5"/>
      <c r="J11" s="5"/>
      <c r="K11" s="5">
        <v>2</v>
      </c>
      <c r="L11" s="5"/>
      <c r="M11" s="5"/>
      <c r="N11" s="5">
        <v>2</v>
      </c>
      <c r="O11" s="5"/>
      <c r="P11" s="5"/>
      <c r="Q11" s="5">
        <v>1</v>
      </c>
      <c r="R11" s="5"/>
      <c r="S11" s="5"/>
      <c r="T11" s="5">
        <v>2</v>
      </c>
      <c r="U11" s="5"/>
    </row>
    <row r="12" spans="1:23" s="6" customFormat="1" x14ac:dyDescent="0.2">
      <c r="A12" s="6" t="str">
        <f>_xlfn.IFNA(VLOOKUP($B$3&amp;ROWS($A$5:A12),Rosters!$B$2:$C$162,2,0),"?")</f>
        <v>Zavon</v>
      </c>
      <c r="B12" s="6" t="str">
        <f>_xlfn.IFNA(VLOOKUP($B$3&amp;ROWS($B$5:B12),Rosters!$B$2:$D$162,3,0),"?")</f>
        <v>Jackson</v>
      </c>
      <c r="C12" s="6">
        <f>_xlfn.IFNA(VLOOKUP($B$3&amp;ROWS($C$5:C12),Rosters!$B$2:$E$162,4,0),"")</f>
        <v>24</v>
      </c>
      <c r="E12" s="6">
        <v>7</v>
      </c>
      <c r="H12" s="6">
        <v>8</v>
      </c>
      <c r="K12" s="6">
        <v>4</v>
      </c>
      <c r="N12" s="6">
        <v>2</v>
      </c>
      <c r="Q12" s="6">
        <v>0</v>
      </c>
      <c r="T12" s="6">
        <v>4</v>
      </c>
    </row>
    <row r="13" spans="1:23" s="6" customFormat="1" x14ac:dyDescent="0.2">
      <c r="A13" s="5" t="s">
        <v>87</v>
      </c>
      <c r="B13" s="5" t="s">
        <v>269</v>
      </c>
      <c r="C13" s="5">
        <f>_xlfn.IFNA(VLOOKUP($B$3&amp;ROWS($C$5:C13),Rosters!$B$2:$E$162,4,0),"")</f>
        <v>30</v>
      </c>
      <c r="D13" s="5"/>
      <c r="E13" s="5">
        <v>1</v>
      </c>
      <c r="F13" s="5"/>
      <c r="G13" s="5"/>
      <c r="H13" s="5">
        <v>2</v>
      </c>
      <c r="I13" s="5"/>
      <c r="J13" s="5"/>
      <c r="K13" s="5">
        <v>0</v>
      </c>
      <c r="L13" s="5"/>
      <c r="M13" s="5"/>
      <c r="N13" s="5">
        <v>1</v>
      </c>
      <c r="O13" s="5"/>
      <c r="P13" s="5"/>
      <c r="Q13" s="5">
        <v>1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 t="str">
        <f>_xlfn.IFNA(VLOOKUP($B$3&amp;ROWS($C$5:C14),Rosters!$B$2:$E$162,4,0),"")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25</v>
      </c>
      <c r="H20">
        <f>SUM(H5:H19)</f>
        <v>46</v>
      </c>
      <c r="K20">
        <f>SUM(K5:K19)</f>
        <v>14</v>
      </c>
      <c r="N20">
        <f>SUM(N5:N19)</f>
        <v>14</v>
      </c>
      <c r="Q20">
        <f>SUM(Q5:Q19)</f>
        <v>3</v>
      </c>
      <c r="T20">
        <f>SUM(T5:T19)</f>
        <v>14</v>
      </c>
    </row>
    <row r="21" spans="1:23" x14ac:dyDescent="0.2">
      <c r="A21" s="2" t="s">
        <v>8</v>
      </c>
      <c r="B21" s="1" t="s">
        <v>19</v>
      </c>
    </row>
    <row r="22" spans="1:23" x14ac:dyDescent="0.2">
      <c r="A22" t="s">
        <v>1</v>
      </c>
      <c r="B22" t="s">
        <v>2</v>
      </c>
      <c r="C22" t="s">
        <v>0</v>
      </c>
      <c r="E22" t="s">
        <v>248</v>
      </c>
      <c r="H22" t="s">
        <v>270</v>
      </c>
      <c r="K22" t="s">
        <v>271</v>
      </c>
      <c r="N22" t="s">
        <v>243</v>
      </c>
      <c r="Q22" t="s">
        <v>272</v>
      </c>
      <c r="T22" t="s">
        <v>273</v>
      </c>
    </row>
    <row r="23" spans="1:23" s="6" customFormat="1" x14ac:dyDescent="0.2">
      <c r="A23" s="5" t="str">
        <f>_xlfn.IFNA(VLOOKUP($B$21&amp;ROWS($A$23:A23),Rosters!$B$2:$C$162,2,0),"?")</f>
        <v>Connor</v>
      </c>
      <c r="B23" s="5" t="str">
        <f>_xlfn.IFNA(VLOOKUP($B$21&amp;ROWS($B$23:B23),Rosters!$B$2:$D$162,3,0),"?")</f>
        <v>Fulton</v>
      </c>
      <c r="C23" s="5">
        <f>_xlfn.IFNA(VLOOKUP($B$21&amp;ROWS($C$23:C23),Rosters!$B$2:$E$162,4,0),"")</f>
        <v>1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245</v>
      </c>
      <c r="W23" s="6">
        <v>1</v>
      </c>
    </row>
    <row r="24" spans="1:23" s="6" customFormat="1" x14ac:dyDescent="0.2">
      <c r="A24" s="6" t="str">
        <f>_xlfn.IFNA(VLOOKUP($B$21&amp;ROWS($A$23:A24),Rosters!$B$2:$C$162,2,0),"?")</f>
        <v>Tanner</v>
      </c>
      <c r="B24" s="6" t="str">
        <f>_xlfn.IFNA(VLOOKUP($B$21&amp;ROWS($B$23:B24),Rosters!$B$2:$D$162,3,0),"?")</f>
        <v>Nygren</v>
      </c>
      <c r="C24" s="6">
        <f>_xlfn.IFNA(VLOOKUP($B$21&amp;ROWS($C$23:C24),Rosters!$B$2:$E$162,4,0),"")</f>
        <v>2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3" s="6" customFormat="1" x14ac:dyDescent="0.2">
      <c r="A25" s="5" t="str">
        <f>_xlfn.IFNA(VLOOKUP($B$21&amp;ROWS($A$23:A25),Rosters!$B$2:$C$162,2,0),"?")</f>
        <v>Conner</v>
      </c>
      <c r="B25" s="5" t="str">
        <f>_xlfn.IFNA(VLOOKUP($B$21&amp;ROWS($B$23:B25),Rosters!$B$2:$D$162,3,0),"?")</f>
        <v>Toolson</v>
      </c>
      <c r="C25" s="5">
        <f>_xlfn.IFNA(VLOOKUP($B$21&amp;ROWS($C$23:C25),Rosters!$B$2:$E$162,4,0),"")</f>
        <v>5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tr">
        <f>_xlfn.IFNA(VLOOKUP($B$21&amp;ROWS($A$23:A26),Rosters!$B$2:$C$162,2,0),"?")</f>
        <v>Dalton</v>
      </c>
      <c r="B26" s="6" t="str">
        <f>_xlfn.IFNA(VLOOKUP($B$21&amp;ROWS($B$23:B26),Rosters!$B$2:$D$162,3,0),"?")</f>
        <v>Nixon</v>
      </c>
      <c r="C26" s="6">
        <f>_xlfn.IFNA(VLOOKUP($B$21&amp;ROWS($C$23:C26),Rosters!$B$2:$E$162,4,0),"")</f>
        <v>6</v>
      </c>
      <c r="E26" s="6">
        <v>9</v>
      </c>
      <c r="H26" s="6">
        <v>9</v>
      </c>
      <c r="K26" s="6">
        <v>5</v>
      </c>
      <c r="N26" s="6">
        <v>5</v>
      </c>
      <c r="Q26" s="6">
        <v>1</v>
      </c>
      <c r="T26" s="6">
        <v>2</v>
      </c>
    </row>
    <row r="27" spans="1:23" s="6" customFormat="1" x14ac:dyDescent="0.2">
      <c r="A27" s="5" t="str">
        <f>_xlfn.IFNA(VLOOKUP($B$21&amp;ROWS($A$23:A27),Rosters!$B$2:$C$162,2,0),"?")</f>
        <v>Connor</v>
      </c>
      <c r="B27" s="5" t="str">
        <f>_xlfn.IFNA(VLOOKUP($B$21&amp;ROWS($B$23:B27),Rosters!$B$2:$D$162,3,0),"?")</f>
        <v>Harding</v>
      </c>
      <c r="C27" s="5">
        <f>_xlfn.IFNA(VLOOKUP($B$21&amp;ROWS($C$23:C27),Rosters!$B$2:$E$162,4,0),"")</f>
        <v>11</v>
      </c>
      <c r="D27" s="5"/>
      <c r="E27" s="5">
        <v>1</v>
      </c>
      <c r="F27" s="5"/>
      <c r="G27" s="5"/>
      <c r="H27" s="5">
        <v>2</v>
      </c>
      <c r="I27" s="5"/>
      <c r="J27" s="5"/>
      <c r="K27" s="5">
        <v>1</v>
      </c>
      <c r="L27" s="5"/>
      <c r="M27" s="5"/>
      <c r="N27" s="5">
        <v>2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_xlfn.IFNA(VLOOKUP($B$21&amp;ROWS($A$23:A28),Rosters!$B$2:$C$162,2,0),"?")</f>
        <v>Colby</v>
      </c>
      <c r="B28" s="6" t="str">
        <f>_xlfn.IFNA(VLOOKUP($B$21&amp;ROWS($B$23:B28),Rosters!$B$2:$D$162,3,0),"?")</f>
        <v>Leifson</v>
      </c>
      <c r="C28" s="6">
        <f>_xlfn.IFNA(VLOOKUP($B$21&amp;ROWS($C$23:C28),Rosters!$B$2:$E$162,4,0),"")</f>
        <v>13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>Ibe</v>
      </c>
      <c r="B29" s="5" t="str">
        <f>_xlfn.IFNA(VLOOKUP($B$21&amp;ROWS($B$23:B29),Rosters!$B$2:$D$162,3,0),"?")</f>
        <v>Gerlach</v>
      </c>
      <c r="C29" s="5">
        <f>_xlfn.IFNA(VLOOKUP($B$21&amp;ROWS($C$23:C29),Rosters!$B$2:$E$162,4,0),"")</f>
        <v>20</v>
      </c>
      <c r="D29" s="5"/>
      <c r="E29" s="5">
        <v>5</v>
      </c>
      <c r="F29" s="5"/>
      <c r="G29" s="5"/>
      <c r="H29" s="5">
        <v>3</v>
      </c>
      <c r="I29" s="5"/>
      <c r="J29" s="5"/>
      <c r="K29" s="5">
        <v>3</v>
      </c>
      <c r="L29" s="5"/>
      <c r="M29" s="5"/>
      <c r="N29" s="5">
        <v>3</v>
      </c>
      <c r="O29" s="5"/>
      <c r="P29" s="5"/>
      <c r="Q29" s="5">
        <v>0</v>
      </c>
      <c r="R29" s="5"/>
      <c r="S29" s="5"/>
      <c r="T29" s="5">
        <v>2</v>
      </c>
      <c r="U29" s="5"/>
    </row>
    <row r="30" spans="1:23" s="6" customFormat="1" x14ac:dyDescent="0.2">
      <c r="A30" s="6" t="s">
        <v>274</v>
      </c>
      <c r="B30" s="6" t="s">
        <v>275</v>
      </c>
      <c r="C30" s="6">
        <f>_xlfn.IFNA(VLOOKUP($B$21&amp;ROWS($C$23:C30),Rosters!$B$2:$E$162,4,0),"")</f>
        <v>23</v>
      </c>
      <c r="E30" s="6">
        <v>2</v>
      </c>
      <c r="H30" s="6">
        <v>6</v>
      </c>
      <c r="K30" s="6">
        <v>0</v>
      </c>
      <c r="N30" s="6">
        <v>1</v>
      </c>
      <c r="Q30" s="6">
        <v>3</v>
      </c>
      <c r="T30" s="6">
        <v>1</v>
      </c>
    </row>
    <row r="31" spans="1:23" s="6" customFormat="1" x14ac:dyDescent="0.2">
      <c r="A31" s="5" t="str">
        <f>_xlfn.IFNA(VLOOKUP($B$21&amp;ROWS($A$23:A31),Rosters!$B$2:$C$162,2,0),"?")</f>
        <v>Evan</v>
      </c>
      <c r="B31" s="5" t="str">
        <f>_xlfn.IFNA(VLOOKUP($B$21&amp;ROWS($B$23:B31),Rosters!$B$2:$D$162,3,0),"?")</f>
        <v>Troy</v>
      </c>
      <c r="C31" s="5">
        <f>_xlfn.IFNA(VLOOKUP($B$21&amp;ROWS($C$23:C31),Rosters!$B$2:$E$162,4,0),"")</f>
        <v>24</v>
      </c>
      <c r="D31" s="5"/>
      <c r="E31" s="5">
        <v>1</v>
      </c>
      <c r="F31" s="5"/>
      <c r="G31" s="5"/>
      <c r="H31" s="5">
        <v>5</v>
      </c>
      <c r="I31" s="5"/>
      <c r="J31" s="5"/>
      <c r="K31" s="5">
        <v>0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2</v>
      </c>
      <c r="U31" s="5"/>
    </row>
    <row r="32" spans="1:23" s="6" customFormat="1" x14ac:dyDescent="0.2">
      <c r="A32" s="6" t="s">
        <v>159</v>
      </c>
      <c r="B32" s="6" t="s">
        <v>160</v>
      </c>
      <c r="C32" s="6">
        <v>99</v>
      </c>
      <c r="E32" s="6">
        <v>1</v>
      </c>
      <c r="H32" s="6">
        <v>9</v>
      </c>
      <c r="K32" s="6">
        <v>1</v>
      </c>
      <c r="N32" s="6">
        <v>2</v>
      </c>
      <c r="Q32" s="6">
        <v>0</v>
      </c>
      <c r="T32" s="6">
        <v>3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19</v>
      </c>
      <c r="H38">
        <f>SUM(H23:H37)</f>
        <v>34</v>
      </c>
      <c r="K38">
        <f>SUM(K23:K37)</f>
        <v>10</v>
      </c>
      <c r="N38">
        <f>SUM(N23:N37)</f>
        <v>14</v>
      </c>
      <c r="Q38">
        <f>SUM(Q23:Q37)</f>
        <v>4</v>
      </c>
      <c r="T38">
        <f>SUM(T23:T37)</f>
        <v>10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240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268</v>
      </c>
      <c r="D4" t="s">
        <v>32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252</v>
      </c>
      <c r="D5" t="s">
        <v>34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267</v>
      </c>
      <c r="D6" t="s">
        <v>35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253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254</v>
      </c>
      <c r="D8" t="s">
        <v>33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251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36</v>
      </c>
      <c r="D12" t="s">
        <v>37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38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53</v>
      </c>
      <c r="D14" t="s">
        <v>54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41</v>
      </c>
      <c r="D15" t="s">
        <v>42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58</v>
      </c>
      <c r="D16" t="s">
        <v>59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51</v>
      </c>
      <c r="D17" t="s">
        <v>52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57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60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61</v>
      </c>
      <c r="D20" t="s">
        <v>62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39</v>
      </c>
      <c r="D21" t="s">
        <v>40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55</v>
      </c>
      <c r="D22" t="s">
        <v>56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45</v>
      </c>
      <c r="D23" t="s">
        <v>46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43</v>
      </c>
      <c r="D24" t="s">
        <v>44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49</v>
      </c>
      <c r="D25" t="s">
        <v>50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47</v>
      </c>
      <c r="D26" t="s">
        <v>48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63</v>
      </c>
      <c r="D27" t="s">
        <v>255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69</v>
      </c>
      <c r="D28" t="s">
        <v>70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78</v>
      </c>
      <c r="D29" t="s">
        <v>79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71</v>
      </c>
      <c r="D30" t="s">
        <v>72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256</v>
      </c>
      <c r="D31" t="s">
        <v>64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65</v>
      </c>
      <c r="D32" t="s">
        <v>66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75</v>
      </c>
      <c r="D33" t="s">
        <v>76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77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73</v>
      </c>
      <c r="D35" t="s">
        <v>74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80</v>
      </c>
      <c r="D36" t="s">
        <v>81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67</v>
      </c>
      <c r="D37" t="s">
        <v>68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82</v>
      </c>
      <c r="D38" t="s">
        <v>83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91</v>
      </c>
      <c r="D39" t="s">
        <v>92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89</v>
      </c>
      <c r="D40" t="s">
        <v>90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93</v>
      </c>
      <c r="D41" t="s">
        <v>94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257</v>
      </c>
      <c r="D42" t="s">
        <v>99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87</v>
      </c>
      <c r="D43" t="s">
        <v>88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100</v>
      </c>
      <c r="D44" t="s">
        <v>101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84</v>
      </c>
      <c r="D45" t="s">
        <v>85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95</v>
      </c>
      <c r="D46" t="s">
        <v>96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102</v>
      </c>
      <c r="D47" t="s">
        <v>103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86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97</v>
      </c>
      <c r="D49" t="s">
        <v>98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258</v>
      </c>
      <c r="D50" t="s">
        <v>259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110</v>
      </c>
      <c r="D51" t="s">
        <v>111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114</v>
      </c>
      <c r="D52" t="s">
        <v>115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45</v>
      </c>
      <c r="D53" t="s">
        <v>116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106</v>
      </c>
      <c r="D54" t="s">
        <v>107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121</v>
      </c>
      <c r="D55" t="s">
        <v>122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108</v>
      </c>
      <c r="D56" t="s">
        <v>109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77</v>
      </c>
      <c r="D57" t="s">
        <v>118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123</v>
      </c>
      <c r="D58" t="s">
        <v>124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112</v>
      </c>
      <c r="D59" t="s">
        <v>113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125</v>
      </c>
      <c r="D60" t="s">
        <v>126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260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104</v>
      </c>
      <c r="D62" t="s">
        <v>105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230</v>
      </c>
      <c r="D63" t="s">
        <v>117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119</v>
      </c>
      <c r="D64" t="s">
        <v>120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131</v>
      </c>
      <c r="D65" t="s">
        <v>132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145</v>
      </c>
      <c r="D66" t="s">
        <v>146</v>
      </c>
      <c r="E66" s="7" t="s">
        <v>242</v>
      </c>
    </row>
    <row r="67" spans="1:5" x14ac:dyDescent="0.2">
      <c r="A67" t="s">
        <v>14</v>
      </c>
      <c r="B67" t="str">
        <f>A67&amp;COUNTIF($A$2:$A67,A67)</f>
        <v>Covington3</v>
      </c>
      <c r="C67" t="s">
        <v>147</v>
      </c>
      <c r="D67" t="s">
        <v>148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128</v>
      </c>
      <c r="D68" t="s">
        <v>129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138</v>
      </c>
      <c r="D69" t="s">
        <v>139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135</v>
      </c>
      <c r="D70" t="s">
        <v>136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127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133</v>
      </c>
      <c r="D72" t="s">
        <v>134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141</v>
      </c>
      <c r="D73" t="s">
        <v>142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137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71</v>
      </c>
      <c r="D75" t="s">
        <v>140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143</v>
      </c>
      <c r="D76" t="s">
        <v>144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45</v>
      </c>
      <c r="D77" t="s">
        <v>130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153</v>
      </c>
      <c r="D78" t="s">
        <v>154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161</v>
      </c>
      <c r="D79" t="s">
        <v>162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151</v>
      </c>
      <c r="D80" t="s">
        <v>152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150</v>
      </c>
      <c r="D81" t="s">
        <v>137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155</v>
      </c>
      <c r="D82" t="s">
        <v>156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163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261</v>
      </c>
      <c r="D84" t="s">
        <v>66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164</v>
      </c>
      <c r="D85" t="s">
        <v>165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262</v>
      </c>
      <c r="D86" t="s">
        <v>149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157</v>
      </c>
      <c r="D87" t="s">
        <v>158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159</v>
      </c>
      <c r="D88" t="s">
        <v>160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176</v>
      </c>
      <c r="D89" t="s">
        <v>177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58</v>
      </c>
      <c r="D90" t="s">
        <v>167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168</v>
      </c>
      <c r="D91" t="s">
        <v>169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87</v>
      </c>
      <c r="D92" t="s">
        <v>172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155</v>
      </c>
      <c r="D93" t="s">
        <v>54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249</v>
      </c>
      <c r="D94" t="s">
        <v>180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178</v>
      </c>
      <c r="D95" t="s">
        <v>179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77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175</v>
      </c>
      <c r="D97" t="s">
        <v>154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173</v>
      </c>
      <c r="D98" t="s">
        <v>174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58</v>
      </c>
      <c r="D99" t="s">
        <v>166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170</v>
      </c>
      <c r="D100" t="s">
        <v>171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183</v>
      </c>
      <c r="D101" t="s">
        <v>70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49</v>
      </c>
      <c r="D102" t="s">
        <v>181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63</v>
      </c>
      <c r="D103" t="s">
        <v>162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182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186</v>
      </c>
      <c r="D105" t="s">
        <v>187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188</v>
      </c>
      <c r="D106" t="s">
        <v>189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180</v>
      </c>
      <c r="D107" t="s">
        <v>185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190</v>
      </c>
      <c r="D108" t="s">
        <v>191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192</v>
      </c>
      <c r="D109" t="s">
        <v>187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184</v>
      </c>
      <c r="D110" t="s">
        <v>90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193</v>
      </c>
      <c r="D111" t="s">
        <v>45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194</v>
      </c>
      <c r="D112" t="s">
        <v>195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161</v>
      </c>
      <c r="D113" t="s">
        <v>196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161</v>
      </c>
      <c r="D114" t="s">
        <v>205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199</v>
      </c>
      <c r="D115" t="s">
        <v>200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201</v>
      </c>
      <c r="D116" t="s">
        <v>202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197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206</v>
      </c>
      <c r="D118" t="s">
        <v>207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263</v>
      </c>
      <c r="D119" t="s">
        <v>32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198</v>
      </c>
      <c r="D120" t="s">
        <v>137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203</v>
      </c>
      <c r="D121" t="s">
        <v>204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213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141</v>
      </c>
      <c r="D123" t="s">
        <v>208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264</v>
      </c>
      <c r="D124" t="s">
        <v>219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209</v>
      </c>
      <c r="D125" t="s">
        <v>210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213</v>
      </c>
      <c r="D126" t="s">
        <v>218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216</v>
      </c>
      <c r="D127" t="s">
        <v>217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220</v>
      </c>
      <c r="D128" t="s">
        <v>221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214</v>
      </c>
      <c r="D129" t="s">
        <v>215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211</v>
      </c>
      <c r="D130" t="s">
        <v>212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228</v>
      </c>
      <c r="D131" t="s">
        <v>229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180</v>
      </c>
      <c r="D132" t="s">
        <v>224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225</v>
      </c>
      <c r="D133" t="s">
        <v>226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233</v>
      </c>
      <c r="D134" t="s">
        <v>234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230</v>
      </c>
      <c r="D135" t="s">
        <v>231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134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222</v>
      </c>
      <c r="D137" t="s">
        <v>223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227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235</v>
      </c>
      <c r="D139" t="s">
        <v>215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232</v>
      </c>
      <c r="D140" t="s">
        <v>92</v>
      </c>
      <c r="E140">
        <v>30</v>
      </c>
    </row>
    <row r="141" spans="1:5" x14ac:dyDescent="0.2">
      <c r="A141" t="s">
        <v>250</v>
      </c>
      <c r="B141" t="str">
        <f>A141&amp;COUNTIF($A$2:$A141,A141)</f>
        <v>Guest1</v>
      </c>
      <c r="C141" t="s">
        <v>236</v>
      </c>
      <c r="D141" t="s">
        <v>237</v>
      </c>
      <c r="E141">
        <v>2</v>
      </c>
    </row>
    <row r="142" spans="1:5" x14ac:dyDescent="0.2">
      <c r="A142" t="s">
        <v>250</v>
      </c>
      <c r="B142" t="str">
        <f>A142&amp;COUNTIF($A$2:$A142,A142)</f>
        <v>Guest2</v>
      </c>
      <c r="C142" t="s">
        <v>71</v>
      </c>
      <c r="D142" t="s">
        <v>238</v>
      </c>
      <c r="E142">
        <v>10</v>
      </c>
    </row>
    <row r="143" spans="1:5" x14ac:dyDescent="0.2">
      <c r="A143" t="s">
        <v>250</v>
      </c>
      <c r="B143" t="str">
        <f>A143&amp;COUNTIF($A$2:$A143,A143)</f>
        <v>Guest3</v>
      </c>
      <c r="C143" t="s">
        <v>265</v>
      </c>
      <c r="D143" t="s">
        <v>239</v>
      </c>
      <c r="E143">
        <v>19</v>
      </c>
    </row>
    <row r="144" spans="1:5" x14ac:dyDescent="0.2">
      <c r="A144" t="s">
        <v>250</v>
      </c>
      <c r="B144" t="str">
        <f>A144&amp;COUNTIF($A$2:$A144,A144)</f>
        <v>Guest4</v>
      </c>
      <c r="C144" t="s">
        <v>241</v>
      </c>
      <c r="D144" t="s">
        <v>266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2021-08-09T02:05:27Z</dcterms:modified>
</cp:coreProperties>
</file>