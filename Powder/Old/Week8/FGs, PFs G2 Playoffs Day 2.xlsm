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10507Z-001/"/>
    </mc:Choice>
  </mc:AlternateContent>
  <xr:revisionPtr revIDLastSave="0" documentId="13_ncr:1_{5FE4C814-B3A7-8E4F-B520-2A86AADB9C2B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2" l="1"/>
  <c r="M37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A7" i="1"/>
  <c r="B7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K18" i="2" s="1"/>
  <c r="H38" i="1"/>
  <c r="H20" i="1"/>
  <c r="E38" i="1"/>
  <c r="E20" i="1"/>
  <c r="L37" i="2" l="1"/>
  <c r="J18" i="2"/>
  <c r="L18" i="2"/>
  <c r="K37" i="2"/>
  <c r="J37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F26" i="2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G26" i="2"/>
  <c r="A35" i="1"/>
  <c r="F34" i="2" s="1"/>
  <c r="C23" i="1"/>
  <c r="H22" i="2" s="1"/>
  <c r="B29" i="1"/>
  <c r="G28" i="2" s="1"/>
  <c r="G33" i="2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H16" i="2"/>
  <c r="G16" i="2"/>
  <c r="F16" i="2"/>
  <c r="C17" i="1"/>
  <c r="H15" i="2" s="1"/>
  <c r="B17" i="1"/>
  <c r="G15" i="2" s="1"/>
  <c r="C36" i="1"/>
  <c r="H35" i="2" s="1"/>
  <c r="F33" i="2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G5" i="2"/>
  <c r="A15" i="1"/>
  <c r="F13" i="2" s="1"/>
  <c r="B12" i="1"/>
  <c r="G10" i="2" s="1"/>
  <c r="C9" i="1"/>
  <c r="H7" i="2" s="1"/>
  <c r="F5" i="2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<sst xmlns="http://schemas.openxmlformats.org/spreadsheetml/2006/main" count="364" uniqueCount="228">
  <si>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</si>
  <si>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</si>
  <si>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</si>
  <si>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</si>
  <si>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</si>
  <si>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</si>
  <si>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</si>
  <si>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</si>
  <si>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</si>
  <si>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</si>
  <si>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</si>
  <si>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</si>
  <si>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</si>
  <si>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</si>
  <si>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</si>
  <si>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</si>
  <si>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</si>
  <si>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</si>
  <si>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</si>
  <si>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</si>
  <si>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</si>
  <si>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</si>
  <si>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</si>
  <si>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</si>
  <si>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</si>
  <si>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</si>
  <si>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</si>
  <si>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</si>
  <si>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</si>
  <si>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</si>
  <si>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</si>
  <si>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</si>
  <si>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</si>
  <si>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</si>
  <si>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</si>
  <si>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</si>
  <si>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</si>
  <si>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</si>
  <si>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</si>
  <si>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</si>
  <si>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</si>
  <si>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</si>
  <si>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</si>
  <si>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</si>
  <si>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</si>
  <si>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</si>
  <si>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</si>
  <si>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</si>
  <si>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</si>
  <si>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</si>
  <si>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</si>
  <si>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</si>
  <si>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</si>
  <si>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</si>
  <si>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</si>
  <si>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</si>
  <si>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</si>
  <si>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</si>
  <si>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</si>
  <si>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</si>
  <si>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</si>
  <si>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</si>
  <si>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</si>
  <si>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</si>
  <si>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</si>
  <si>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</si>
  <si>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</si>
  <si>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</si>
  <si>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</si>
  <si>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</si>
  <si>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</si>
  <si>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</si>
  <si>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</si>
  <si>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</si>
  <si>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</si>
  <si>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</si>
  <si>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</si>
  <si>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</si>
  <si>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</si>
  <si>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</si>
  <si>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</si>
  <si>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</si>
  <si>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</si>
  <si>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</si>
  <si>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</si>
  <si>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</si>
  <si>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</si>
  <si>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</si>
  <si>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</si>
  <si>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</si>
  <si>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</si>
  <si>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</si>
  <si>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</si>
  <si>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</si>
  <si>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</si>
  <si>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</si>
  <si>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</si>
  <si>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</si>
  <si>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</si>
  <si>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</si>
  <si>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</si>
  <si>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</si>
  <si>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</si>
  <si>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</si>
  <si>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</si>
  <si>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</si>
  <si>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</si>
  <si>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</si>
  <si>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</si>
  <si>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</si>
  <si>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</si>
  <si>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</si>
  <si>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</si>
  <si>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</si>
  <si>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</si>
  <si>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</si>
  <si>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</si>
  <si>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</si>
  <si>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</si>
  <si>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</si>
  <si>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</si>
  <si>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</si>
  <si>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</si>
  <si>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</si>
  <si>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</si>
  <si>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</si>
  <si>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</si>
  <si>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</si>
  <si>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</si>
  <si>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</si>
  <si>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</si>
  <si>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</si>
  <si>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</si>
  <si>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</si>
  <si>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</si>
  <si>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</si>
  <si>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</si>
  <si>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</si>
  <si>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</si>
  <si>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</si>
  <si>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</si>
  <si>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</si>
  <si>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</si>
  <si>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</si>
  <si>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</si>
  <si>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</si>
  <si>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</si>
  <si>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</si>
  <si>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</si>
  <si>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</si>
  <si>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</si>
  <si>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</si>
  <si>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</si>
  <si>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</si>
  <si>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</si>
  <si>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</si>
  <si>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</si>
  <si>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</si>
  <si>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</si>
  <si>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</si>
  <si>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</si>
  <si>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</si>
  <si>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</si>
  <si>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</si>
  <si>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</si>
  <si>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</si>
  <si>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</si>
  <si>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</si>
  <si>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</si>
  <si>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</si>
  <si>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</si>
  <si>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</si>
  <si>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</si>
  <si>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</si>
  <si>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</si>
  <si>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</si>
  <si>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</si>
  <si>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</si>
  <si>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</si>
  <si>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</si>
  <si>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</si>
  <si>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</si>
  <si>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</si>
  <si>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</si>
  <si>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</si>
  <si>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</si>
  <si>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</si>
  <si>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</si>
  <si>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</si>
  <si>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</si>
  <si>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</si>
  <si>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</si>
  <si>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</si>
  <si>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</si>
  <si>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</si>
  <si>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</si>
  <si>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</si>
  <si>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</si>
  <si>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</si>
  <si>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</si>
  <si>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</si>
  <si>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</si>
  <si>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</si>
  <si>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</si>
  <si>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</si>
  <si>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</si>
  <si>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</si>
  <si>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</si>
  <si>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</si>
  <si>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</si>
  <si>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</si>
  <si>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</si>
  <si>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</si>
  <si>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</si>
  <si>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</si>
  <si>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</si>
  <si>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</si>
  <si>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</si>
  <si>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</si>
  <si>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</si>
  <si>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</si>
  <si>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</si>
  <si>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Fardaws</t>
  </si>
  <si>
    <t>Aimaq</t>
  </si>
  <si>
    <t>Makol</t>
  </si>
  <si>
    <t>PF</t>
  </si>
  <si>
    <t>Mawien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</si>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</sst>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I16" sqref="I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221</v>
      </c>
      <c r="F1" t="s">
        <v>7</v>
      </c>
      <c r="G1" t="str">
        <f>'Stats G2'!B3</f>
        <v>Team Stan</v>
      </c>
    </row>
    <row r="2" spans="2:13" x14ac:dyDescent="0.2">
      <c r="B2" t="str">
        <f>G1</f>
        <v>Team Stan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225</v>
      </c>
    </row>
    <row r="3" spans="2:13" x14ac:dyDescent="0.2">
      <c r="B3">
        <f>I18</f>
        <v>90</v>
      </c>
      <c r="C3" s="3" t="s">
        <v>13</v>
      </c>
      <c r="D3" s="4">
        <f>I37</f>
        <v>108</v>
      </c>
      <c r="F3" t="str">
        <f>'Stats G2'!A5</f>
        <v>Tone</v>
      </c>
      <c r="G3" t="str">
        <f>'Stats G2'!B5</f>
        <v>Anderson</v>
      </c>
      <c r="H3">
        <f>'Stats G2'!C5</f>
        <v>0</v>
      </c>
      <c r="I3">
        <f>'Stats G2'!H5*2+'Stats G2'!N5*3+'Stats G2'!T5</f>
        <v>12</v>
      </c>
      <c r="J3" t="str">
        <f>SUM('Stats G2'!H5+'Stats G2'!N5)&amp;"-"&amp;SUM('Stats G2'!E5+'Stats G2'!K5)</f>
        <v>5-7</v>
      </c>
      <c r="K3" t="str">
        <f>SUM('Stats G2'!N5)&amp;"-"&amp;SUM('Stats G2'!K5)</f>
        <v>2-3</v>
      </c>
      <c r="L3" t="str">
        <f>SUM('Stats G2'!T5)&amp;"-"&amp;SUM('Stats G2'!Q5)</f>
        <v>0-0</v>
      </c>
      <c r="M3">
        <f>'Stats G2'!W5</f>
        <v>1</v>
      </c>
    </row>
    <row r="4" spans="2:13" x14ac:dyDescent="0.2">
      <c r="F4" t="str">
        <f>'Stats G2'!A6</f>
        <v>Ronald</v>
      </c>
      <c r="G4" t="str">
        <f>'Stats G2'!B6</f>
        <v>Leach</v>
      </c>
      <c r="H4">
        <f>'Stats G2'!C6</f>
        <v>32</v>
      </c>
      <c r="I4">
        <f>'Stats G2'!H6*2+'Stats G2'!N6*3+'Stats G2'!T6</f>
        <v>0</v>
      </c>
      <c r="J4" t="str">
        <f>SUM('Stats G2'!H6+'Stats G2'!N6)&amp;"-"&amp;SUM('Stats G2'!E6+'Stats G2'!K6)</f>
        <v>0-3</v>
      </c>
      <c r="K4" t="str">
        <f>SUM('Stats G2'!N6)&amp;"-"&amp;SUM('Stats G2'!K6)</f>
        <v>0-0</v>
      </c>
      <c r="L4" t="str">
        <f>SUM('Stats G2'!T6)&amp;"-"&amp;SUM('Stats G2'!Q6)</f>
        <v>0-2</v>
      </c>
      <c r="M4">
        <f>'Stats G2'!W6</f>
        <v>1</v>
      </c>
    </row>
    <row r="5" spans="2:13" x14ac:dyDescent="0.2">
      <c r="F5" t="str">
        <f>'Stats G2'!A7</f>
        <v>Brendan</v>
      </c>
      <c r="G5" t="str">
        <f>'Stats G2'!B7</f>
        <v>Bailey</v>
      </c>
      <c r="H5">
        <f>'Stats G2'!C7</f>
        <v>1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Zahir</v>
      </c>
      <c r="G6" t="str">
        <f>'Stats G2'!B8</f>
        <v>Porter</v>
      </c>
      <c r="H6">
        <f>'Stats G2'!C8</f>
        <v>5</v>
      </c>
      <c r="I6">
        <f>'Stats G2'!H8*2+'Stats G2'!N8*3+'Stats G2'!T8</f>
        <v>24</v>
      </c>
      <c r="J6" t="str">
        <f>SUM('Stats G2'!H8+'Stats G2'!N8)&amp;"-"&amp;SUM('Stats G2'!E8+'Stats G2'!K8)</f>
        <v>10-24</v>
      </c>
      <c r="K6" t="str">
        <f>SUM('Stats G2'!N8)&amp;"-"&amp;SUM('Stats G2'!K8)</f>
        <v>2-7</v>
      </c>
      <c r="L6" t="str">
        <f>SUM('Stats G2'!T8)&amp;"-"&amp;SUM('Stats G2'!Q8)</f>
        <v>2-2</v>
      </c>
      <c r="M6">
        <f>'Stats G2'!W8</f>
        <v>3</v>
      </c>
    </row>
    <row r="7" spans="2:13" x14ac:dyDescent="0.2">
      <c r="F7" t="str">
        <f>'Stats G2'!A9</f>
        <v>Eli</v>
      </c>
      <c r="G7" t="str">
        <f>'Stats G2'!B9</f>
        <v>Davy</v>
      </c>
      <c r="H7">
        <f>'Stats G2'!C9</f>
        <v>2</v>
      </c>
      <c r="I7">
        <f>'Stats G2'!H9*2+'Stats G2'!N9*3+'Stats G2'!T9</f>
        <v>2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2-3</v>
      </c>
      <c r="M7">
        <f>'Stats G2'!W9</f>
        <v>0</v>
      </c>
    </row>
    <row r="8" spans="2:13" x14ac:dyDescent="0.2">
      <c r="F8" t="str">
        <f>'Stats G2'!A10</f>
        <v>Anthony</v>
      </c>
      <c r="G8" t="str">
        <f>'Stats G2'!B10</f>
        <v>Cox</v>
      </c>
      <c r="H8">
        <f>'Stats G2'!C10</f>
        <v>11</v>
      </c>
      <c r="I8">
        <f>'Stats G2'!H10*2+'Stats G2'!N10*3+'Stats G2'!T10</f>
        <v>2</v>
      </c>
      <c r="J8" t="str">
        <f>SUM('Stats G2'!H10+'Stats G2'!N10)&amp;"-"&amp;SUM('Stats G2'!E10+'Stats G2'!K10)</f>
        <v>1-4</v>
      </c>
      <c r="K8" t="str">
        <f>SUM('Stats G2'!N10)&amp;"-"&amp;SUM('Stats G2'!K10)</f>
        <v>0-1</v>
      </c>
      <c r="L8" t="str">
        <f>SUM('Stats G2'!T10)&amp;"-"&amp;SUM('Stats G2'!Q10)</f>
        <v>0-0</v>
      </c>
      <c r="M8">
        <f>'Stats G2'!W10</f>
        <v>2</v>
      </c>
    </row>
    <row r="9" spans="2:13" x14ac:dyDescent="0.2">
      <c r="F9" t="str">
        <f>'Stats G2'!A11</f>
        <v>Xavier</v>
      </c>
      <c r="G9" t="str">
        <f>'Stats G2'!B11</f>
        <v>Sneed</v>
      </c>
      <c r="H9">
        <f>'Stats G2'!C11</f>
        <v>20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Rayjon</v>
      </c>
      <c r="G10" t="str">
        <f>'Stats G2'!B12</f>
        <v>Tucker</v>
      </c>
      <c r="H10">
        <f>'Stats G2'!C12</f>
        <v>59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Branden</v>
      </c>
      <c r="G11" t="str">
        <f>'Stats G2'!B13</f>
        <v>Carlon</v>
      </c>
      <c r="H11">
        <f>'Stats G2'!C13</f>
        <v>35</v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Quae</v>
      </c>
      <c r="G12" t="str">
        <f>'Stats G2'!B14</f>
        <v>Furlow</v>
      </c>
      <c r="H12">
        <f>'Stats G2'!C14</f>
        <v>3</v>
      </c>
      <c r="I12">
        <f>'Stats G2'!H14*2+'Stats G2'!N14*3+'Stats G2'!T14</f>
        <v>12</v>
      </c>
      <c r="J12" t="str">
        <f>SUM('Stats G2'!H14+'Stats G2'!N14)&amp;"-"&amp;SUM('Stats G2'!E14+'Stats G2'!K14)</f>
        <v>4-13</v>
      </c>
      <c r="K12" t="str">
        <f>SUM('Stats G2'!N14)&amp;"-"&amp;SUM('Stats G2'!K14)</f>
        <v>0-4</v>
      </c>
      <c r="L12" t="str">
        <f>SUM('Stats G2'!T14)&amp;"-"&amp;SUM('Stats G2'!Q14)</f>
        <v>4-7</v>
      </c>
      <c r="M12">
        <f>'Stats G2'!W14</f>
        <v>4</v>
      </c>
    </row>
    <row r="13" spans="2:13" x14ac:dyDescent="0.2">
      <c r="F13" t="str">
        <f>'Stats G2'!A15</f>
        <v>Ibe</v>
      </c>
      <c r="G13" t="str">
        <f>'Stats G2'!B15</f>
        <v>Gerlach</v>
      </c>
      <c r="H13">
        <f>'Stats G2'!C15</f>
        <v>20</v>
      </c>
      <c r="I13">
        <f>'Stats G2'!H15*2+'Stats G2'!N15*3+'Stats G2'!T15</f>
        <v>2</v>
      </c>
      <c r="J13" t="str">
        <f>SUM('Stats G2'!H15+'Stats G2'!N15)&amp;"-"&amp;SUM('Stats G2'!E15+'Stats G2'!K15)</f>
        <v>1-9</v>
      </c>
      <c r="K13" t="str">
        <f>SUM('Stats G2'!N15)&amp;"-"&amp;SUM('Stats G2'!K15)</f>
        <v>0-5</v>
      </c>
      <c r="L13" t="str">
        <f>SUM('Stats G2'!T15)&amp;"-"&amp;SUM('Stats G2'!Q15)</f>
        <v>0-0</v>
      </c>
      <c r="M13">
        <f>'Stats G2'!W15</f>
        <v>4</v>
      </c>
    </row>
    <row r="14" spans="2:13" x14ac:dyDescent="0.2">
      <c r="F14" t="str">
        <f>'Stats G2'!A16</f>
        <v>Justin</v>
      </c>
      <c r="G14" t="str">
        <f>'Stats G2'!B16</f>
        <v>Harmon</v>
      </c>
      <c r="H14">
        <f>'Stats G2'!C16</f>
        <v>1</v>
      </c>
      <c r="I14">
        <f>'Stats G2'!H16*2+'Stats G2'!N16*3+'Stats G2'!T16</f>
        <v>25</v>
      </c>
      <c r="J14" t="str">
        <f>SUM('Stats G2'!H16+'Stats G2'!N16)&amp;"-"&amp;SUM('Stats G2'!E16+'Stats G2'!K16)</f>
        <v>9-21</v>
      </c>
      <c r="K14" t="str">
        <f>SUM('Stats G2'!N16)&amp;"-"&amp;SUM('Stats G2'!K16)</f>
        <v>4-8</v>
      </c>
      <c r="L14" t="str">
        <f>SUM('Stats G2'!T16)&amp;"-"&amp;SUM('Stats G2'!Q16)</f>
        <v>3-3</v>
      </c>
      <c r="M14">
        <f>'Stats G2'!W16</f>
        <v>1</v>
      </c>
    </row>
    <row r="15" spans="2:13" x14ac:dyDescent="0.2">
      <c r="F15" t="str">
        <f>'Stats G2'!A17</f>
        <v>KJ</v>
      </c>
      <c r="G15" t="str">
        <f>'Stats G2'!B17</f>
        <v>Cunningham</v>
      </c>
      <c r="H15">
        <f>'Stats G2'!C17</f>
        <v>0</v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Makol</v>
      </c>
      <c r="G16" t="str">
        <f>'Stats G2'!B18</f>
        <v>Mawien</v>
      </c>
      <c r="H16">
        <f>'Stats G2'!C18</f>
        <v>3</v>
      </c>
      <c r="I16">
        <f>'Stats G2'!H18*2+'Stats G2'!N18*3+'Stats G2'!T18</f>
        <v>11</v>
      </c>
      <c r="J16" t="str">
        <f>SUM('Stats G2'!H18+'Stats G2'!N18)&amp;"-"&amp;SUM('Stats G2'!E18+'Stats G2'!K18)</f>
        <v>5-13</v>
      </c>
      <c r="K16" t="str">
        <f>SUM('Stats G2'!N18)&amp;"-"&amp;SUM('Stats G2'!K18)</f>
        <v>0-3</v>
      </c>
      <c r="L16" t="str">
        <f>SUM('Stats G2'!T18)&amp;"-"&amp;SUM('Stats G2'!Q18)</f>
        <v>1-2</v>
      </c>
      <c r="M16">
        <f>'Stats G2'!W18</f>
        <v>2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90</v>
      </c>
      <c r="J18" t="str">
        <f>SUM('Stats G2'!H20+'Stats G2'!N20)&amp;"-"&amp;SUM('Stats G2'!E20+'Stats G2'!K20)</f>
        <v>35-94</v>
      </c>
      <c r="K18" t="str">
        <f>SUM('Stats G2'!N20)&amp;"-"&amp;SUM('Stats G2'!K20)</f>
        <v>8-31</v>
      </c>
      <c r="L18" t="str">
        <f>SUM('Stats G2'!T20)&amp;"-"&amp;SUM('Stats G2'!Q20)</f>
        <v>12-19</v>
      </c>
      <c r="M18">
        <f>SUM(M3:M17)</f>
        <v>18</v>
      </c>
    </row>
    <row r="20" spans="6:13" x14ac:dyDescent="0.2">
      <c r="F20" t="s">
        <v>11</v>
      </c>
      <c r="G20" t="str">
        <f>'Stats G2'!B21</f>
        <v>Team Joyce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225</v>
      </c>
    </row>
    <row r="22" spans="6:13" x14ac:dyDescent="0.2">
      <c r="F22" t="str">
        <f>'Stats G2'!A23</f>
        <v>Kur</v>
      </c>
      <c r="G22" t="str">
        <f>'Stats G2'!B23</f>
        <v>Kuath</v>
      </c>
      <c r="H22">
        <f>'Stats G2'!C23</f>
        <v>34</v>
      </c>
      <c r="I22">
        <f>'Stats G2'!H23*2+'Stats G2'!N23*3+'Stats G2'!T23</f>
        <v>25</v>
      </c>
      <c r="J22" t="str">
        <f>SUM('Stats G2'!H23+'Stats G2'!N23)&amp;"-"&amp;SUM('Stats G2'!E23+'Stats G2'!K23)</f>
        <v>11-16</v>
      </c>
      <c r="K22" t="str">
        <f>SUM('Stats G2'!N23)&amp;"-"&amp;SUM('Stats G2'!K23)</f>
        <v>0-1</v>
      </c>
      <c r="L22" t="str">
        <f>SUM('Stats G2'!T23)&amp;"-"&amp;SUM('Stats G2'!Q23)</f>
        <v>3-5</v>
      </c>
      <c r="M22">
        <f>'Stats G2'!W23</f>
        <v>3</v>
      </c>
    </row>
    <row r="23" spans="6:13" x14ac:dyDescent="0.2">
      <c r="F23" t="str">
        <f>'Stats G2'!A24</f>
        <v>Neema</v>
      </c>
      <c r="G23" t="str">
        <f>'Stats G2'!B24</f>
        <v>Namdar</v>
      </c>
      <c r="H23">
        <f>'Stats G2'!C24</f>
        <v>0</v>
      </c>
      <c r="I23">
        <f>'Stats G2'!H24*2+'Stats G2'!N24*3+'Stats G2'!T24</f>
        <v>20</v>
      </c>
      <c r="J23" t="str">
        <f>SUM('Stats G2'!H24+'Stats G2'!N24)&amp;"-"&amp;SUM('Stats G2'!E24+'Stats G2'!K24)</f>
        <v>7-12</v>
      </c>
      <c r="K23" t="str">
        <f>SUM('Stats G2'!N24)&amp;"-"&amp;SUM('Stats G2'!K24)</f>
        <v>6-10</v>
      </c>
      <c r="L23" t="str">
        <f>SUM('Stats G2'!T24)&amp;"-"&amp;SUM('Stats G2'!Q24)</f>
        <v>0-0</v>
      </c>
      <c r="M23">
        <f>'Stats G2'!W24</f>
        <v>1</v>
      </c>
    </row>
    <row r="24" spans="6:13" x14ac:dyDescent="0.2">
      <c r="F24" t="str">
        <f>'Stats G2'!A25</f>
        <v>Yoeli</v>
      </c>
      <c r="G24" t="str">
        <f>'Stats G2'!B25</f>
        <v>Childs</v>
      </c>
      <c r="H24">
        <f>'Stats G2'!C25</f>
        <v>23</v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Blaze</v>
      </c>
      <c r="G25" t="str">
        <f>'Stats G2'!B26</f>
        <v>Nield</v>
      </c>
      <c r="H25">
        <f>'Stats G2'!C26</f>
        <v>3</v>
      </c>
      <c r="I25">
        <f>'Stats G2'!H26*2+'Stats G2'!N26*3+'Stats G2'!T26</f>
        <v>15</v>
      </c>
      <c r="J25" t="str">
        <f>SUM('Stats G2'!H26+'Stats G2'!N26)&amp;"-"&amp;SUM('Stats G2'!E26+'Stats G2'!K26)</f>
        <v>6-11</v>
      </c>
      <c r="K25" t="str">
        <f>SUM('Stats G2'!N26)&amp;"-"&amp;SUM('Stats G2'!K26)</f>
        <v>1-6</v>
      </c>
      <c r="L25" t="str">
        <f>SUM('Stats G2'!T26)&amp;"-"&amp;SUM('Stats G2'!Q26)</f>
        <v>2-3</v>
      </c>
      <c r="M25">
        <f>'Stats G2'!W26</f>
        <v>2</v>
      </c>
    </row>
    <row r="26" spans="6:13" x14ac:dyDescent="0.2">
      <c r="F26" t="str">
        <f>'Stats G2'!A27</f>
        <v>?</v>
      </c>
      <c r="G26" t="str">
        <f>'Stats G2'!B27</f>
        <v>?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Nic</v>
      </c>
      <c r="G27" t="str">
        <f>'Stats G2'!B28</f>
        <v>Paulos</v>
      </c>
      <c r="H27">
        <f>'Stats G2'!C28</f>
        <v>31</v>
      </c>
      <c r="I27">
        <f>'Stats G2'!H28*2+'Stats G2'!N28*3+'Stats G2'!T28</f>
        <v>0</v>
      </c>
      <c r="J27" t="str">
        <f>SUM('Stats G2'!H28+'Stats G2'!N28)&amp;"-"&amp;SUM('Stats G2'!E28+'Stats G2'!K28)</f>
        <v>0-5</v>
      </c>
      <c r="K27" t="str">
        <f>SUM('Stats G2'!N28)&amp;"-"&amp;SUM('Stats G2'!K28)</f>
        <v>0-3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Trey</v>
      </c>
      <c r="G28" t="str">
        <f>'Stats G2'!B29</f>
        <v>Farrer</v>
      </c>
      <c r="H28">
        <f>'Stats G2'!C29</f>
        <v>21</v>
      </c>
      <c r="I28">
        <f>'Stats G2'!H29*2+'Stats G2'!N29*3+'Stats G2'!T29</f>
        <v>7</v>
      </c>
      <c r="J28" t="str">
        <f>SUM('Stats G2'!H29+'Stats G2'!N29)&amp;"-"&amp;SUM('Stats G2'!E29+'Stats G2'!K29)</f>
        <v>2-3</v>
      </c>
      <c r="K28" t="str">
        <f>SUM('Stats G2'!N29)&amp;"-"&amp;SUM('Stats G2'!K29)</f>
        <v>0-0</v>
      </c>
      <c r="L28" t="str">
        <f>SUM('Stats G2'!T29)&amp;"-"&amp;SUM('Stats G2'!Q29)</f>
        <v>3-5</v>
      </c>
      <c r="M28">
        <f>'Stats G2'!W29</f>
        <v>3</v>
      </c>
    </row>
    <row r="29" spans="6:13" x14ac:dyDescent="0.2">
      <c r="F29" t="str">
        <f>'Stats G2'!A30</f>
        <v>Connor</v>
      </c>
      <c r="G29" t="str">
        <f>'Stats G2'!B30</f>
        <v>Harding</v>
      </c>
      <c r="H29">
        <f>'Stats G2'!C30</f>
        <v>11</v>
      </c>
      <c r="I29">
        <f>'Stats G2'!H30*2+'Stats G2'!N30*3+'Stats G2'!T30</f>
        <v>18</v>
      </c>
      <c r="J29" t="str">
        <f>SUM('Stats G2'!H30+'Stats G2'!N30)&amp;"-"&amp;SUM('Stats G2'!E30+'Stats G2'!K30)</f>
        <v>6-15</v>
      </c>
      <c r="K29" t="str">
        <f>SUM('Stats G2'!N30)&amp;"-"&amp;SUM('Stats G2'!K30)</f>
        <v>5-9</v>
      </c>
      <c r="L29" t="str">
        <f>SUM('Stats G2'!T30)&amp;"-"&amp;SUM('Stats G2'!Q30)</f>
        <v>1-1</v>
      </c>
      <c r="M29">
        <f>'Stats G2'!W30</f>
        <v>1</v>
      </c>
    </row>
    <row r="30" spans="6:13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Sam</v>
      </c>
      <c r="G31" t="str">
        <f>'Stats G2'!B32</f>
        <v>Velez</v>
      </c>
      <c r="H31">
        <f>'Stats G2'!C32</f>
        <v>1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Gerad</v>
      </c>
      <c r="G32" t="str">
        <f>'Stats G2'!B33</f>
        <v>Davis</v>
      </c>
      <c r="H32">
        <f>'Stats G2'!C33</f>
        <v>10</v>
      </c>
      <c r="I32">
        <f>'Stats G2'!H33*2+'Stats G2'!N33*3+'Stats G2'!T33</f>
        <v>0</v>
      </c>
      <c r="J32" t="str">
        <f>SUM('Stats G2'!H33+'Stats G2'!N33)&amp;"-"&amp;SUM('Stats G2'!E33+'Stats G2'!K33)</f>
        <v>0-1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Fardaws</v>
      </c>
      <c r="G33" t="str">
        <f>'Stats G2'!B34</f>
        <v>Aimaq</v>
      </c>
      <c r="H33">
        <f>'Stats G2'!C34</f>
        <v>35</v>
      </c>
      <c r="I33">
        <f>'Stats G2'!H34*2+'Stats G2'!N34*3+'Stats G2'!T34</f>
        <v>23</v>
      </c>
      <c r="J33" t="str">
        <f>SUM('Stats G2'!H34+'Stats G2'!N34)&amp;"-"&amp;SUM('Stats G2'!E34+'Stats G2'!K34)</f>
        <v>9-18</v>
      </c>
      <c r="K33" t="str">
        <f>SUM('Stats G2'!N34)&amp;"-"&amp;SUM('Stats G2'!K34)</f>
        <v>1-8</v>
      </c>
      <c r="L33" t="str">
        <f>SUM('Stats G2'!T34)&amp;"-"&amp;SUM('Stats G2'!Q34)</f>
        <v>4-7</v>
      </c>
      <c r="M33">
        <f>'Stats G2'!W34</f>
        <v>4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108</v>
      </c>
      <c r="J37" t="str">
        <f>SUM('Stats G2'!H38+'Stats G2'!N38)&amp;"-"&amp;SUM('Stats G2'!E38+'Stats G2'!K38)</f>
        <v>41-81</v>
      </c>
      <c r="K37" t="str">
        <f>SUM('Stats G2'!N38)&amp;"-"&amp;SUM('Stats G2'!K38)</f>
        <v>13-37</v>
      </c>
      <c r="L37" t="str">
        <f>SUM('Stats G2'!T38)&amp;"-"&amp;SUM('Stats G2'!Q38)</f>
        <v>13-21</v>
      </c>
      <c r="M37">
        <f>SUM(M22:M36)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B38"/>
  <sheetViews>
    <sheetView topLeftCell="A4" zoomScale="90" zoomScaleNormal="90" workbookViewId="0">
      <selection activeCell="A23" sqref="A23:XFD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171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225</v>
      </c>
    </row>
    <row r="5" spans="1:24" s="6" customFormat="1" x14ac:dyDescent="0.2">
      <c r="A5" s="5" t="str">
        <f>_xlfn.IFNA(VLOOKUP($B$3&amp;ROWS($A$5:A5),Rosters!$B$2:$C$163,2,0),"?")</f>
        <v>Tone</v>
      </c>
      <c r="B5" s="5" t="str">
        <f>_xlfn.IFNA(VLOOKUP($B$3&amp;ROWS($B$5:B5),Rosters!$B$2:$D$163,3,0),"?")</f>
        <v>Anderson</v>
      </c>
      <c r="C5" s="5">
        <f>_xlfn.IFNA(VLOOKUP($B$3&amp;ROWS($C$5:C5),Rosters!$B$2:$E$163,4,0),"")</f>
        <v>0</v>
      </c>
      <c r="D5" s="5"/>
      <c r="E5" s="5">
        <v>4</v>
      </c>
      <c r="F5" s="5"/>
      <c r="G5" s="5"/>
      <c r="H5" s="5">
        <v>3</v>
      </c>
      <c r="I5" s="5"/>
      <c r="J5" s="5"/>
      <c r="K5" s="5">
        <v>3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1</v>
      </c>
      <c r="X5" s="5"/>
    </row>
    <row r="6" spans="1:24" s="6" customFormat="1" x14ac:dyDescent="0.2">
      <c r="A6" s="6" t="str">
        <f>_xlfn.IFNA(VLOOKUP($B$3&amp;ROWS($A$5:A6),Rosters!$B$2:$C$163,2,0),"?")</f>
        <v>Ronald</v>
      </c>
      <c r="B6" s="6" t="str">
        <f>_xlfn.IFNA(VLOOKUP($B$3&amp;ROWS($B$5:B6),Rosters!$B$2:$D$163,3,0),"?")</f>
        <v>Leach</v>
      </c>
      <c r="C6" s="6">
        <f>_xlfn.IFNA(VLOOKUP($B$3&amp;ROWS($C$5:C6),Rosters!$B$2:$E$163,4,0),"")</f>
        <v>32</v>
      </c>
      <c r="E6" s="6">
        <v>3</v>
      </c>
      <c r="H6" s="6">
        <v>0</v>
      </c>
      <c r="K6" s="6">
        <v>0</v>
      </c>
      <c r="N6" s="6">
        <v>0</v>
      </c>
      <c r="Q6" s="6">
        <v>2</v>
      </c>
      <c r="T6" s="6">
        <v>0</v>
      </c>
      <c r="W6" s="6">
        <v>1</v>
      </c>
    </row>
    <row r="7" spans="1:24" s="6" customFormat="1" x14ac:dyDescent="0.2">
      <c r="A7" s="5" t="str">
        <f>_xlfn.IFNA(VLOOKUP($B$3&amp;ROWS($A$5:A7),Rosters!$B$2:$C$163,2,0),"?")</f>
        <v>Brendan</v>
      </c>
      <c r="B7" s="5" t="str">
        <f>_xlfn.IFNA(VLOOKUP($B$3&amp;ROWS($B$5:B7),Rosters!$B$2:$D$163,3,0),"?")</f>
        <v>Bailey</v>
      </c>
      <c r="C7" s="5">
        <f>_xlfn.IFNA(VLOOKUP($B$3&amp;ROWS($C$5:C7),Rosters!$B$2:$E$163,4,0),"")</f>
        <v>1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Zahir</v>
      </c>
      <c r="B8" s="6" t="str">
        <f>_xlfn.IFNA(VLOOKUP($B$3&amp;ROWS($B$5:B8),Rosters!$B$2:$D$163,3,0),"?")</f>
        <v>Porter</v>
      </c>
      <c r="C8" s="6">
        <f>_xlfn.IFNA(VLOOKUP($B$3&amp;ROWS($C$5:C8),Rosters!$B$2:$E$163,4,0),"")</f>
        <v>5</v>
      </c>
      <c r="E8" s="6">
        <v>17</v>
      </c>
      <c r="H8" s="6">
        <v>8</v>
      </c>
      <c r="K8" s="6">
        <v>7</v>
      </c>
      <c r="N8" s="6">
        <v>2</v>
      </c>
      <c r="Q8" s="6">
        <v>2</v>
      </c>
      <c r="T8" s="6">
        <v>2</v>
      </c>
      <c r="W8" s="6">
        <v>3</v>
      </c>
    </row>
    <row r="9" spans="1:24" s="6" customFormat="1" x14ac:dyDescent="0.2">
      <c r="A9" s="5" t="str">
        <f>_xlfn.IFNA(VLOOKUP($B$3&amp;ROWS($A$5:A9),Rosters!$B$2:$C$163,2,0),"?")</f>
        <v>Eli</v>
      </c>
      <c r="B9" s="5" t="str">
        <f>_xlfn.IFNA(VLOOKUP($B$3&amp;ROWS($B$5:B9),Rosters!$B$2:$D$163,3,0),"?")</f>
        <v>Davy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3</v>
      </c>
      <c r="R9" s="5"/>
      <c r="S9" s="5"/>
      <c r="T9" s="5">
        <v>2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Anthony</v>
      </c>
      <c r="B10" s="6" t="str">
        <f>_xlfn.IFNA(VLOOKUP($B$3&amp;ROWS($B$5:B10),Rosters!$B$2:$D$163,3,0),"?")</f>
        <v>Cox</v>
      </c>
      <c r="C10" s="6">
        <f>_xlfn.IFNA(VLOOKUP($B$3&amp;ROWS($C$5:C10),Rosters!$B$2:$E$163,4,0),"")</f>
        <v>11</v>
      </c>
      <c r="E10" s="6">
        <v>3</v>
      </c>
      <c r="H10" s="6">
        <v>1</v>
      </c>
      <c r="K10" s="6">
        <v>1</v>
      </c>
      <c r="N10" s="6">
        <v>0</v>
      </c>
      <c r="Q10" s="6">
        <v>0</v>
      </c>
      <c r="T10" s="6">
        <v>0</v>
      </c>
      <c r="W10" s="6">
        <v>2</v>
      </c>
    </row>
    <row r="11" spans="1:24" s="6" customFormat="1" x14ac:dyDescent="0.2">
      <c r="A11" s="5" t="str">
        <f>_xlfn.IFNA(VLOOKUP($B$3&amp;ROWS($A$5:A11),Rosters!$B$2:$C$163,2,0),"?")</f>
        <v>Xavier</v>
      </c>
      <c r="B11" s="5" t="str">
        <f>_xlfn.IFNA(VLOOKUP($B$3&amp;ROWS($B$5:B11),Rosters!$B$2:$D$163,3,0),"?")</f>
        <v>Sneed</v>
      </c>
      <c r="C11" s="5">
        <f>_xlfn.IFNA(VLOOKUP($B$3&amp;ROWS($C$5:C11),Rosters!$B$2:$E$163,4,0),"")</f>
        <v>20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Rayjon</v>
      </c>
      <c r="B12" s="6" t="str">
        <f>_xlfn.IFNA(VLOOKUP($B$3&amp;ROWS($B$5:B12),Rosters!$B$2:$D$163,3,0),"?")</f>
        <v>Tucker</v>
      </c>
      <c r="C12" s="6">
        <f>_xlfn.IFNA(VLOOKUP($B$3&amp;ROWS($C$5:C12),Rosters!$B$2:$E$163,4,0),"")</f>
        <v>59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Branden</v>
      </c>
      <c r="B13" s="5" t="str">
        <f>_xlfn.IFNA(VLOOKUP($B$3&amp;ROWS($B$5:B13),Rosters!$B$2:$D$163,3,0),"?")</f>
        <v>Carlon</v>
      </c>
      <c r="C13" s="5">
        <f>_xlfn.IFNA(VLOOKUP($B$3&amp;ROWS($C$5:C13),Rosters!$B$2:$E$163,4,0),"")</f>
        <v>35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Quae</v>
      </c>
      <c r="B14" s="6" t="str">
        <f>_xlfn.IFNA(VLOOKUP($B$3&amp;ROWS($B$5:B14),Rosters!$B$2:$D$163,3,0),"?")</f>
        <v>Furlow</v>
      </c>
      <c r="C14" s="6">
        <f>_xlfn.IFNA(VLOOKUP($B$3&amp;ROWS($C$5:C14),Rosters!$B$2:$E$163,4,0),"")</f>
        <v>3</v>
      </c>
      <c r="E14" s="6">
        <v>9</v>
      </c>
      <c r="H14" s="6">
        <v>4</v>
      </c>
      <c r="K14" s="6">
        <v>4</v>
      </c>
      <c r="N14" s="6">
        <v>0</v>
      </c>
      <c r="Q14" s="6">
        <v>7</v>
      </c>
      <c r="T14" s="6">
        <v>4</v>
      </c>
      <c r="W14" s="6">
        <v>4</v>
      </c>
    </row>
    <row r="15" spans="1:24" s="6" customFormat="1" x14ac:dyDescent="0.2">
      <c r="A15" s="5" t="str">
        <f>_xlfn.IFNA(VLOOKUP($B$3&amp;ROWS($A$5:A15),Rosters!$B$2:$C$163,2,0),"?")</f>
        <v>Ibe</v>
      </c>
      <c r="B15" s="5" t="str">
        <f>_xlfn.IFNA(VLOOKUP($B$3&amp;ROWS($B$5:B15),Rosters!$B$2:$D$163,3,0),"?")</f>
        <v>Gerlach</v>
      </c>
      <c r="C15" s="5">
        <f>_xlfn.IFNA(VLOOKUP($B$3&amp;ROWS($C$5:C15),Rosters!$B$2:$E$163,4,0),"")</f>
        <v>20</v>
      </c>
      <c r="D15" s="5"/>
      <c r="E15" s="5">
        <v>4</v>
      </c>
      <c r="F15" s="5"/>
      <c r="G15" s="5"/>
      <c r="H15" s="5">
        <v>1</v>
      </c>
      <c r="I15" s="5"/>
      <c r="J15" s="5"/>
      <c r="K15" s="5">
        <v>5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4</v>
      </c>
      <c r="X15" s="5"/>
    </row>
    <row r="16" spans="1:24" s="6" customFormat="1" x14ac:dyDescent="0.2">
      <c r="A16" s="6" t="str">
        <f>_xlfn.IFNA(VLOOKUP($B$3&amp;ROWS($A$5:A16),Rosters!$B$2:$C$163,2,0),"?")</f>
        <v>Justin</v>
      </c>
      <c r="B16" s="6" t="str">
        <f>_xlfn.IFNA(VLOOKUP($B$3&amp;ROWS($B$5:B16),Rosters!$B$2:$D$163,3,0),"?")</f>
        <v>Harmon</v>
      </c>
      <c r="C16" s="6">
        <v>1</v>
      </c>
      <c r="E16" s="6">
        <v>13</v>
      </c>
      <c r="H16" s="6">
        <v>5</v>
      </c>
      <c r="K16" s="6">
        <v>8</v>
      </c>
      <c r="N16" s="6">
        <v>4</v>
      </c>
      <c r="Q16" s="6">
        <v>3</v>
      </c>
      <c r="T16" s="6">
        <v>3</v>
      </c>
      <c r="W16" s="6">
        <v>1</v>
      </c>
    </row>
    <row r="17" spans="1:28" s="6" customFormat="1" x14ac:dyDescent="0.2">
      <c r="A17" s="5" t="str">
        <f>_xlfn.IFNA(VLOOKUP($B$3&amp;ROWS($A$5:A17),Rosters!$B$2:$C$163,2,0),"?")</f>
        <v>KJ</v>
      </c>
      <c r="B17" s="5" t="str">
        <f>_xlfn.IFNA(VLOOKUP($B$3&amp;ROWS($B$5:B17),Rosters!$B$2:$D$163,3,0),"?")</f>
        <v>Cunningham</v>
      </c>
      <c r="C17" s="5">
        <f>_xlfn.IFNA(VLOOKUP($B$3&amp;ROWS($C$5:C17),Rosters!$B$2:$E$163,4,0),"")</f>
        <v>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8" s="6" customFormat="1" x14ac:dyDescent="0.2">
      <c r="A18" s="6" t="s">
        <v>224</v>
      </c>
      <c r="B18" s="9" t="s">
        <v>226</v>
      </c>
      <c r="C18" s="6">
        <v>3</v>
      </c>
      <c r="E18" s="6">
        <v>10</v>
      </c>
      <c r="H18" s="6">
        <v>5</v>
      </c>
      <c r="K18" s="6">
        <v>3</v>
      </c>
      <c r="N18" s="6">
        <v>0</v>
      </c>
      <c r="Q18" s="6">
        <v>2</v>
      </c>
      <c r="T18" s="6">
        <v>1</v>
      </c>
      <c r="W18" s="6">
        <v>2</v>
      </c>
      <c r="AA18" s="6">
        <v>3</v>
      </c>
      <c r="AB18" s="6">
        <v>4</v>
      </c>
    </row>
    <row r="19" spans="1:28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AA19" s="6">
        <v>8</v>
      </c>
    </row>
    <row r="20" spans="1:28" s="6" customFormat="1" x14ac:dyDescent="0.2">
      <c r="E20" s="6">
        <f>SUM(E5:E19)</f>
        <v>63</v>
      </c>
      <c r="H20" s="6">
        <f>SUM(H5:H19)</f>
        <v>27</v>
      </c>
      <c r="K20" s="6">
        <f>SUM(K5:K19)</f>
        <v>31</v>
      </c>
      <c r="N20" s="6">
        <f>SUM(N5:N19)</f>
        <v>8</v>
      </c>
      <c r="Q20" s="6">
        <f>SUM(Q5:Q19)</f>
        <v>19</v>
      </c>
      <c r="T20" s="6">
        <f>SUM(T5:T19)</f>
        <v>12</v>
      </c>
      <c r="W20" s="6">
        <f>SUM(W5:W19)</f>
        <v>18</v>
      </c>
      <c r="AA20" s="6">
        <v>9</v>
      </c>
    </row>
    <row r="21" spans="1:28" x14ac:dyDescent="0.2">
      <c r="A21" s="2" t="s">
        <v>15</v>
      </c>
      <c r="B21" s="1" t="s">
        <v>128</v>
      </c>
    </row>
    <row r="22" spans="1:28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225</v>
      </c>
    </row>
    <row r="23" spans="1:28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 s="5">
        <v>15</v>
      </c>
      <c r="F23" s="5"/>
      <c r="G23" s="5"/>
      <c r="H23" s="5">
        <v>11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5</v>
      </c>
      <c r="R23" s="5"/>
      <c r="S23" s="5"/>
      <c r="T23" s="5">
        <v>3</v>
      </c>
      <c r="U23" s="5"/>
      <c r="V23" s="5"/>
      <c r="W23" s="5">
        <v>3</v>
      </c>
      <c r="X23" s="5"/>
    </row>
    <row r="24" spans="1:28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 s="6">
        <v>2</v>
      </c>
      <c r="F24" s="6"/>
      <c r="G24" s="6"/>
      <c r="H24" s="6">
        <v>1</v>
      </c>
      <c r="I24" s="6"/>
      <c r="J24" s="6"/>
      <c r="K24" s="6">
        <v>10</v>
      </c>
      <c r="L24" s="6"/>
      <c r="M24" s="6"/>
      <c r="N24" s="6">
        <v>6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1</v>
      </c>
      <c r="X24" s="6"/>
    </row>
    <row r="25" spans="1:28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8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 s="6">
        <v>5</v>
      </c>
      <c r="F26" s="6"/>
      <c r="G26" s="6"/>
      <c r="H26" s="6">
        <v>5</v>
      </c>
      <c r="I26" s="6"/>
      <c r="J26" s="6"/>
      <c r="K26" s="6">
        <v>6</v>
      </c>
      <c r="L26" s="6"/>
      <c r="M26" s="6"/>
      <c r="N26" s="6">
        <v>1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2</v>
      </c>
      <c r="X26" s="6"/>
    </row>
    <row r="27" spans="1:28" s="6" customFormat="1" x14ac:dyDescent="0.2">
      <c r="A27" s="5" t="s">
        <v>227</v>
      </c>
      <c r="B27" s="5" t="s">
        <v>227</v>
      </c>
      <c r="C27" s="5"/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8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 s="6">
        <v>2</v>
      </c>
      <c r="F28" s="6"/>
      <c r="G28" s="6"/>
      <c r="H28" s="6">
        <v>0</v>
      </c>
      <c r="I28" s="6"/>
      <c r="J28" s="6"/>
      <c r="K28" s="6">
        <v>3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8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 s="5">
        <v>3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5</v>
      </c>
      <c r="R29" s="5"/>
      <c r="S29" s="5"/>
      <c r="T29" s="5">
        <v>3</v>
      </c>
      <c r="U29" s="5"/>
      <c r="V29" s="5"/>
      <c r="W29" s="5">
        <v>3</v>
      </c>
      <c r="X29" s="5"/>
    </row>
    <row r="30" spans="1:28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 s="6">
        <v>6</v>
      </c>
      <c r="F30" s="6"/>
      <c r="G30" s="6"/>
      <c r="H30" s="6">
        <v>1</v>
      </c>
      <c r="I30" s="6"/>
      <c r="J30" s="6"/>
      <c r="K30" s="6">
        <v>9</v>
      </c>
      <c r="L30" s="6"/>
      <c r="M30" s="6"/>
      <c r="N30" s="6">
        <v>5</v>
      </c>
      <c r="O30" s="6"/>
      <c r="P30" s="6"/>
      <c r="Q30" s="6">
        <v>1</v>
      </c>
      <c r="R30" s="6"/>
      <c r="S30" s="6"/>
      <c r="T30" s="6">
        <v>1</v>
      </c>
      <c r="U30" s="6"/>
      <c r="V30" s="6"/>
      <c r="W30" s="6">
        <v>1</v>
      </c>
      <c r="X30" s="6"/>
    </row>
    <row r="31" spans="1:28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8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Gerad</v>
      </c>
      <c r="B33" s="5" t="str">
        <f>_xlfn.IFNA(VLOOKUP($B$21&amp;ROWS($B$23:B33),Rosters!$B$2:$D$163,3,0),"?")</f>
        <v>Davis</v>
      </c>
      <c r="C33" s="5">
        <f>_xlfn.IFNA(VLOOKUP($B$21&amp;ROWS($C$23:C33),Rosters!$B$2:$E$163,4,0),"")</f>
        <v>10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">
        <v>222</v>
      </c>
      <c r="B34" t="s">
        <v>223</v>
      </c>
      <c r="C34">
        <v>35</v>
      </c>
      <c r="D34" s="6"/>
      <c r="E34" s="6">
        <v>10</v>
      </c>
      <c r="F34" s="6"/>
      <c r="G34" s="6"/>
      <c r="H34" s="6">
        <v>8</v>
      </c>
      <c r="I34" s="6"/>
      <c r="J34" s="6"/>
      <c r="K34" s="6">
        <v>8</v>
      </c>
      <c r="L34" s="6"/>
      <c r="M34" s="6"/>
      <c r="N34" s="6">
        <v>1</v>
      </c>
      <c r="O34" s="6"/>
      <c r="P34" s="6"/>
      <c r="Q34" s="6">
        <v>7</v>
      </c>
      <c r="R34" s="6"/>
      <c r="S34" s="6"/>
      <c r="T34" s="6">
        <v>4</v>
      </c>
      <c r="U34" s="6"/>
      <c r="V34" s="6"/>
      <c r="W34" s="6">
        <v>4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44</v>
      </c>
      <c r="H38">
        <f>SUM(H23:H37)</f>
        <v>28</v>
      </c>
      <c r="K38">
        <f>SUM(K23:K37)</f>
        <v>37</v>
      </c>
      <c r="N38">
        <f>SUM(N23:N37)</f>
        <v>13</v>
      </c>
      <c r="Q38">
        <f>SUM(Q23:Q37)</f>
        <v>21</v>
      </c>
      <c r="T38">
        <f>SUM(T23:T37)</f>
        <v>13</v>
      </c>
      <c r="W38">
        <f>SUM(W23:W37)</f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2022-08-04T21:12:09Z</dcterms:modified>
</cp:coreProperties>
</file>