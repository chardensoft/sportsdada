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9T015816Z-001/"/>
    </mc:Choice>
  </mc:AlternateContent>
  <xr:revisionPtr revIDLastSave="0" documentId="13_ncr:1_{E51DE26B-CE9C-984D-9D34-62092C190F2D}" xr6:coauthVersionLast="47" xr6:coauthVersionMax="47" xr10:uidLastSave="{00000000-0000-0000-0000-000000000000}"/>
  <bookViews>
    <workbookView xWindow="7020" yWindow="500" windowWidth="2074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N37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O22" i="2"/>
  <c r="N22" i="2"/>
  <c r="O18" i="2"/>
  <c r="N18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O3" i="2"/>
  <c r="N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 s="1"/>
  <c r="L23" i="2"/>
  <c r="M23" i="2"/>
  <c r="I24" i="2"/>
  <c r="J24" i="2"/>
  <c r="L24" i="2"/>
  <c r="M24" i="2"/>
  <c r="I25" i="2"/>
  <c r="J25" i="2"/>
  <c r="K25" i="2"/>
  <c r="L25" i="2"/>
  <c r="M25" i="2"/>
  <c r="I26" i="2"/>
  <c r="K26" i="2" s="1"/>
  <c r="J26" i="2"/>
  <c r="L26" i="2"/>
  <c r="M26" i="2"/>
  <c r="I27" i="2"/>
  <c r="J27" i="2"/>
  <c r="K27" i="2"/>
  <c r="L27" i="2"/>
  <c r="M27" i="2"/>
  <c r="I28" i="2"/>
  <c r="J28" i="2"/>
  <c r="L28" i="2"/>
  <c r="M28" i="2"/>
  <c r="I29" i="2"/>
  <c r="J29" i="2"/>
  <c r="K29" i="2" s="1"/>
  <c r="L29" i="2"/>
  <c r="M29" i="2"/>
  <c r="I30" i="2"/>
  <c r="J30" i="2"/>
  <c r="L30" i="2"/>
  <c r="M30" i="2"/>
  <c r="I31" i="2"/>
  <c r="J31" i="2"/>
  <c r="K31" i="2"/>
  <c r="L31" i="2"/>
  <c r="M31" i="2"/>
  <c r="I32" i="2"/>
  <c r="J32" i="2"/>
  <c r="L32" i="2"/>
  <c r="M32" i="2"/>
  <c r="I33" i="2"/>
  <c r="J33" i="2"/>
  <c r="K33" i="2" s="1"/>
  <c r="L33" i="2"/>
  <c r="M33" i="2"/>
  <c r="I34" i="2"/>
  <c r="J34" i="2"/>
  <c r="L34" i="2"/>
  <c r="M34" i="2"/>
  <c r="I35" i="2"/>
  <c r="J35" i="2"/>
  <c r="K35" i="2" s="1"/>
  <c r="L35" i="2"/>
  <c r="M35" i="2"/>
  <c r="I36" i="2"/>
  <c r="J36" i="2"/>
  <c r="K36" i="2"/>
  <c r="L36" i="2"/>
  <c r="M36" i="2"/>
  <c r="M22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6" i="2"/>
  <c r="K8" i="2"/>
  <c r="K13" i="2"/>
  <c r="K14" i="2"/>
  <c r="K16" i="2"/>
  <c r="K17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K9" i="2" s="1"/>
  <c r="L9" i="2"/>
  <c r="I10" i="2"/>
  <c r="K10" i="2" s="1"/>
  <c r="J10" i="2"/>
  <c r="L10" i="2"/>
  <c r="I11" i="2"/>
  <c r="J11" i="2"/>
  <c r="L11" i="2"/>
  <c r="I12" i="2"/>
  <c r="J12" i="2"/>
  <c r="L12" i="2"/>
  <c r="I13" i="2"/>
  <c r="J13" i="2"/>
  <c r="L13" i="2"/>
  <c r="I14" i="2"/>
  <c r="J14" i="2"/>
  <c r="L14" i="2"/>
  <c r="I15" i="2"/>
  <c r="J15" i="2"/>
  <c r="K15" i="2" s="1"/>
  <c r="L15" i="2"/>
  <c r="I16" i="2"/>
  <c r="J16" i="2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2" i="2" l="1"/>
  <c r="K30" i="2"/>
  <c r="K12" i="2"/>
  <c r="M37" i="2"/>
  <c r="L37" i="2"/>
  <c r="K24" i="2"/>
  <c r="K34" i="2"/>
  <c r="K5" i="2"/>
  <c r="K28" i="2"/>
  <c r="I37" i="2"/>
  <c r="D3" i="2" s="1"/>
  <c r="K3" i="2"/>
  <c r="K11" i="2"/>
  <c r="M18" i="2"/>
  <c r="K7" i="2"/>
  <c r="C25" i="1"/>
  <c r="H24" i="2" s="1"/>
  <c r="C32" i="1"/>
  <c r="H31" i="2" s="1"/>
  <c r="C29" i="1"/>
  <c r="H28" i="2" s="1"/>
  <c r="B33" i="1"/>
  <c r="G32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K37" i="2" l="1"/>
  <c r="K18" i="2"/>
</calcChain>
</file>

<file path=xl/sharedStrings.xml><?xml version="1.0" encoding="utf-8"?>
<sst xmlns="http://schemas.openxmlformats.org/spreadsheetml/2006/main" count="498" uniqueCount="272">
  <si>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</si>
  <si>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</si>
  <si>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</si>
  <si>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</si>
  <si>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</si>
  <si>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</si>
  <si>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</si>
  <si>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</si>
  <si>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</si>
  <si>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</si>
  <si>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</si>
  <si>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</si>
  <si>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</si>
  <si>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</si>
  <si>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</si>
  <si>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</si>
  <si>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</si>
  <si>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</si>
  <si>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</si>
  <si>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</si>
  <si>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</si>
  <si>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</si>
  <si>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</si>
  <si>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</si>
  <si>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</si>
  <si>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</si>
  <si>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</si>
  <si>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</si>
  <si>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</si>
  <si>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</si>
  <si>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</si>
  <si>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</si>
  <si>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</si>
  <si>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</si>
  <si>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</si>
  <si>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</si>
  <si>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</si>
  <si>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</si>
  <si>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</si>
  <si>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</si>
  <si>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</si>
  <si>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</si>
  <si>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</si>
  <si>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</si>
  <si>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</si>
  <si>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</si>
  <si>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</si>
  <si>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</si>
  <si>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</si>
  <si>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</si>
  <si>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</si>
  <si>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</si>
  <si>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</si>
  <si>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</si>
  <si>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</si>
  <si>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</si>
  <si>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</si>
  <si>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</si>
  <si>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</si>
  <si>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</si>
  <si>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</si>
  <si>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</si>
  <si>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</si>
  <si>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</si>
  <si>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</si>
  <si>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</si>
  <si>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</si>
  <si>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</si>
  <si>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</si>
  <si>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</si>
  <si>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</si>
  <si>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</si>
  <si>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</si>
  <si>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</si>
  <si>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</si>
  <si>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</si>
  <si>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</si>
  <si>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</si>
  <si>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</si>
  <si>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</si>
  <si>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</si>
  <si>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</si>
  <si>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</si>
  <si>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</si>
  <si>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</si>
  <si>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</si>
  <si>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</si>
  <si>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</si>
  <si>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</si>
  <si>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</si>
  <si>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</si>
  <si>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</si>
  <si>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</si>
  <si>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</si>
  <si>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</si>
  <si>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</si>
  <si>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</si>
  <si>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</si>
  <si>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</si>
  <si>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</si>
  <si>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</si>
  <si>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</si>
  <si>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</si>
  <si>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</si>
  <si>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</si>
  <si>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</si>
  <si>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</si>
  <si>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</si>
  <si>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</si>
  <si>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</si>
  <si>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</si>
  <si>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</si>
  <si>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</si>
  <si>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</si>
  <si>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</si>
  <si>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</si>
  <si>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</si>
  <si>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</si>
  <si>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</si>
  <si>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</si>
  <si>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</si>
  <si>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</si>
  <si>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</si>
  <si>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</si>
  <si>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</si>
  <si>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</si>
  <si>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</si>
  <si>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</si>
  <si>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</si>
  <si>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</si>
  <si>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</si>
  <si>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</si>
  <si>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</si>
  <si>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</si>
  <si>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</si>
  <si>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</si>
  <si>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</si>
  <si>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</si>
  <si>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</si>
  <si>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</si>
  <si>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</si>
  <si>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</si>
  <si>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</si>
  <si>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</si>
  <si>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</si>
  <si>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</si>
  <si>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</si>
  <si>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</si>
  <si>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</si>
  <si>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</si>
  <si>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</si>
  <si>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</si>
  <si>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</si>
  <si>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</si>
  <si>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</si>
  <si>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</si>
  <si>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</si>
  <si>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</si>
  <si>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</si>
  <si>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</si>
  <si>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</si>
  <si>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</si>
  <si>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</si>
  <si>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</si>
  <si>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</si>
  <si>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</si>
  <si>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</si>
  <si>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</si>
  <si>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</si>
  <si>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</si>
  <si>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</si>
  <si>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</si>
  <si>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</si>
  <si>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</si>
  <si>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</si>
  <si>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</si>
  <si>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</si>
  <si>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</si>
  <si>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</si>
  <si>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</si>
  <si>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</si>
  <si>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</si>
  <si>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</si>
  <si>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</si>
  <si>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</si>
  <si>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</si>
  <si>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</si>
  <si>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</si>
  <si>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</si>
  <si>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</si>
  <si>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</si>
  <si>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</si>
  <si>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</si>
  <si>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</si>
  <si>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</si>
  <si>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</si>
  <si>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</si>
  <si>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</si>
  <si>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</si>
  <si>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</si>
  <si>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</si>
  <si>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</si>
  <si>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</si>
  <si>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</si>
  <si>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</si>
  <si>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</si>
  <si>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</si>
  <si>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</si>
  <si>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</si>
  <si>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</si>
  <si>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</si>
  <si>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</si>
  <si>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</si>
  <si>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</si>
  <si>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</si>
  <si>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</si>
  <si>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</si>
  <si>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</si>
  <si>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</si>
  <si>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</si>
  <si>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</si>
  <si>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</si>
  <si>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</si>
  <si>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</si>
  <si>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</si>
  <si>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</si>
  <si>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</si>
  <si>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</si>
  <si>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</si>
  <si>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</si>
  <si>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</si>
  <si>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</si>
  <si>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</si>
  <si>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</si>
  <si>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</si>
  <si>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</si>
  <si>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</si>
  <si>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</si>
  <si>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</si>
  <si>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</si>
  <si>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</si>
  <si>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</si>
  <si>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</si>
  <si>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</si>
  <si>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</si>
  <si>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</si>
  <si>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OREB</t>
  </si>
  <si>
    <t>DREB</t>
  </si>
  <si>
    <t>TREB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</si>
  <si>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</si>
  <si>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</si>
  <si>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</si>
  <si>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</si>
  <si>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</si>
  <si>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</si>
  <si>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</si>
  <si>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</si>
  <si>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</si>
  <si>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</si>
  <si>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</si>
  <si>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</si>
  <si>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</si>
  <si>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</si>
  <si>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</si>
  <si>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</si>
  <si>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</si>
  <si>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</si>
  <si>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</si>
  <si>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TV</t>
  </si>
  <si>
    <t>AST</t>
  </si>
  <si>
    <t>BLK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</si>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</sst>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workbookViewId="0">
      <selection activeCell="F5" sqref="F5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249</v>
      </c>
      <c r="F1" t="s">
        <v>3</v>
      </c>
      <c r="G1" t="str">
        <f>'Stats G2'!B3</f>
        <v>Drisdom</v>
      </c>
    </row>
    <row r="2" spans="2:15" x14ac:dyDescent="0.2">
      <c r="B2" t="str">
        <f>G1</f>
        <v>Drisdom</v>
      </c>
      <c r="D2" t="str">
        <f>G20</f>
        <v>Roberts</v>
      </c>
      <c r="F2" t="s">
        <v>1</v>
      </c>
      <c r="G2" t="s">
        <v>2</v>
      </c>
      <c r="H2" t="s">
        <v>0</v>
      </c>
      <c r="I2" t="s">
        <v>246</v>
      </c>
      <c r="J2" t="s">
        <v>247</v>
      </c>
      <c r="K2" t="s">
        <v>248</v>
      </c>
      <c r="L2" t="s">
        <v>245</v>
      </c>
      <c r="M2" t="s">
        <v>271</v>
      </c>
      <c r="N2" t="s">
        <v>269</v>
      </c>
      <c r="O2" t="s">
        <v>270</v>
      </c>
    </row>
    <row r="3" spans="2:15" x14ac:dyDescent="0.2">
      <c r="B3">
        <f>I18</f>
        <v>12</v>
      </c>
      <c r="C3" s="3" t="s">
        <v>6</v>
      </c>
      <c r="D3" s="4">
        <f>I37</f>
        <v>12</v>
      </c>
      <c r="F3" t="str">
        <f>'Stats G2'!A5</f>
        <v>Terrence</v>
      </c>
      <c r="G3" t="str">
        <f>'Stats G2'!B5</f>
        <v>Drisdom</v>
      </c>
      <c r="H3">
        <f>'Stats G2'!C5</f>
        <v>0</v>
      </c>
      <c r="I3">
        <f>'Stats G2'!E5</f>
        <v>1</v>
      </c>
      <c r="J3">
        <f>'Stats G2'!H5</f>
        <v>3</v>
      </c>
      <c r="K3">
        <f>J3+I3</f>
        <v>4</v>
      </c>
      <c r="L3">
        <f>'Stats G2'!K5</f>
        <v>1</v>
      </c>
      <c r="M3">
        <f>'Stats G2'!N5</f>
        <v>0</v>
      </c>
      <c r="N3">
        <f>'Stats G2'!Q5</f>
        <v>0</v>
      </c>
      <c r="O3">
        <f>'Stats G2'!T5</f>
        <v>0</v>
      </c>
    </row>
    <row r="4" spans="2:15" x14ac:dyDescent="0.2">
      <c r="F4" t="str">
        <f>'Stats G2'!A6</f>
        <v>Shaun</v>
      </c>
      <c r="G4" t="str">
        <f>'Stats G2'!B6</f>
        <v>Green</v>
      </c>
      <c r="H4">
        <f>'Stats G2'!C6</f>
        <v>1</v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0</v>
      </c>
      <c r="N4">
        <f>'Stats G2'!Q6</f>
        <v>0</v>
      </c>
      <c r="O4">
        <f>'Stats G2'!T6</f>
        <v>0</v>
      </c>
    </row>
    <row r="5" spans="2:15" x14ac:dyDescent="0.2">
      <c r="F5" t="str">
        <f>'Stats G2'!A7</f>
        <v>Duane</v>
      </c>
      <c r="G5" t="str">
        <f>'Stats G2'!B7</f>
        <v>Brown</v>
      </c>
      <c r="H5">
        <f>'Stats G2'!C7</f>
        <v>2</v>
      </c>
      <c r="I5">
        <f>'Stats G2'!E7</f>
        <v>3</v>
      </c>
      <c r="J5">
        <f>'Stats G2'!H7</f>
        <v>4</v>
      </c>
      <c r="K5">
        <f t="shared" si="0"/>
        <v>7</v>
      </c>
      <c r="L5">
        <f>'Stats G2'!K7</f>
        <v>2</v>
      </c>
      <c r="M5">
        <f>'Stats G2'!N7</f>
        <v>0</v>
      </c>
      <c r="N5">
        <f>'Stats G2'!Q7</f>
        <v>5</v>
      </c>
      <c r="O5">
        <f>'Stats G2'!T7</f>
        <v>1</v>
      </c>
    </row>
    <row r="6" spans="2:15" x14ac:dyDescent="0.2">
      <c r="F6" t="str">
        <f>'Stats G2'!A8</f>
        <v>Tre</v>
      </c>
      <c r="G6" t="str">
        <f>'Stats G2'!B8</f>
        <v>Smith</v>
      </c>
      <c r="H6">
        <f>'Stats G2'!C8</f>
        <v>3</v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  <c r="N6">
        <f>'Stats G2'!Q8</f>
        <v>0</v>
      </c>
      <c r="O6">
        <f>'Stats G2'!T8</f>
        <v>0</v>
      </c>
    </row>
    <row r="7" spans="2:15" x14ac:dyDescent="0.2">
      <c r="F7" t="str">
        <f>'Stats G2'!A9</f>
        <v>Brekott</v>
      </c>
      <c r="G7" t="str">
        <f>'Stats G2'!B9</f>
        <v>Chapman</v>
      </c>
      <c r="H7">
        <f>'Stats G2'!C9</f>
        <v>6</v>
      </c>
      <c r="I7">
        <f>'Stats G2'!E9</f>
        <v>6</v>
      </c>
      <c r="J7">
        <f>'Stats G2'!H9</f>
        <v>2</v>
      </c>
      <c r="K7">
        <f t="shared" si="0"/>
        <v>8</v>
      </c>
      <c r="L7">
        <f>'Stats G2'!K9</f>
        <v>1</v>
      </c>
      <c r="M7">
        <f>'Stats G2'!N9</f>
        <v>1</v>
      </c>
      <c r="N7">
        <f>'Stats G2'!Q9</f>
        <v>3</v>
      </c>
      <c r="O7">
        <f>'Stats G2'!T9</f>
        <v>2</v>
      </c>
    </row>
    <row r="8" spans="2:15" x14ac:dyDescent="0.2">
      <c r="F8" t="str">
        <f>'Stats G2'!A10</f>
        <v>Ronnie</v>
      </c>
      <c r="G8" t="str">
        <f>'Stats G2'!B10</f>
        <v>Price</v>
      </c>
      <c r="H8">
        <f>'Stats G2'!C10</f>
        <v>7</v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  <c r="N8">
        <f>'Stats G2'!Q10</f>
        <v>0</v>
      </c>
      <c r="O8">
        <f>'Stats G2'!T10</f>
        <v>0</v>
      </c>
    </row>
    <row r="9" spans="2:15" x14ac:dyDescent="0.2">
      <c r="F9" t="str">
        <f>'Stats G2'!A11</f>
        <v>Isaiah</v>
      </c>
      <c r="G9" t="str">
        <f>'Stats G2'!B11</f>
        <v>Wright</v>
      </c>
      <c r="H9">
        <f>'Stats G2'!C11</f>
        <v>8</v>
      </c>
      <c r="I9">
        <f>'Stats G2'!E11</f>
        <v>0</v>
      </c>
      <c r="J9">
        <f>'Stats G2'!H11</f>
        <v>1</v>
      </c>
      <c r="K9">
        <f t="shared" si="0"/>
        <v>1</v>
      </c>
      <c r="L9">
        <f>'Stats G2'!K11</f>
        <v>0</v>
      </c>
      <c r="M9">
        <f>'Stats G2'!N11</f>
        <v>1</v>
      </c>
      <c r="N9">
        <f>'Stats G2'!Q11</f>
        <v>4</v>
      </c>
      <c r="O9">
        <f>'Stats G2'!T11</f>
        <v>0</v>
      </c>
    </row>
    <row r="10" spans="2:15" x14ac:dyDescent="0.2">
      <c r="F10" t="str">
        <f>'Stats G2'!A12</f>
        <v>Tim</v>
      </c>
      <c r="G10" t="str">
        <f>'Stats G2'!B12</f>
        <v>Drisdom</v>
      </c>
      <c r="H10">
        <f>'Stats G2'!C12</f>
        <v>11</v>
      </c>
      <c r="I10">
        <f>'Stats G2'!E12</f>
        <v>1</v>
      </c>
      <c r="J10">
        <f>'Stats G2'!H12</f>
        <v>0</v>
      </c>
      <c r="K10">
        <f t="shared" si="0"/>
        <v>1</v>
      </c>
      <c r="L10">
        <f>'Stats G2'!K12</f>
        <v>0</v>
      </c>
      <c r="M10">
        <f>'Stats G2'!N12</f>
        <v>1</v>
      </c>
      <c r="N10">
        <f>'Stats G2'!Q12</f>
        <v>0</v>
      </c>
      <c r="O10">
        <f>'Stats G2'!T12</f>
        <v>0</v>
      </c>
    </row>
    <row r="11" spans="2:15" x14ac:dyDescent="0.2">
      <c r="F11" t="str">
        <f>'Stats G2'!A13</f>
        <v>Dakarai</v>
      </c>
      <c r="G11" t="str">
        <f>'Stats G2'!B13</f>
        <v>Tucker</v>
      </c>
      <c r="H11">
        <f>'Stats G2'!C13</f>
        <v>14</v>
      </c>
      <c r="I11">
        <f>'Stats G2'!E13</f>
        <v>1</v>
      </c>
      <c r="J11">
        <f>'Stats G2'!H13</f>
        <v>3</v>
      </c>
      <c r="K11">
        <f t="shared" si="0"/>
        <v>4</v>
      </c>
      <c r="L11">
        <f>'Stats G2'!K13</f>
        <v>0</v>
      </c>
      <c r="M11">
        <f>'Stats G2'!N13</f>
        <v>1</v>
      </c>
      <c r="N11">
        <f>'Stats G2'!Q13</f>
        <v>2</v>
      </c>
      <c r="O11">
        <f>'Stats G2'!T13</f>
        <v>0</v>
      </c>
    </row>
    <row r="12" spans="2:15" x14ac:dyDescent="0.2">
      <c r="F12" t="str">
        <f>'Stats G2'!A14</f>
        <v>AJ</v>
      </c>
      <c r="G12" t="str">
        <f>'Stats G2'!B14</f>
        <v>Hodges</v>
      </c>
      <c r="H12">
        <f>'Stats G2'!C14</f>
        <v>15</v>
      </c>
      <c r="I12">
        <f>'Stats G2'!E14</f>
        <v>0</v>
      </c>
      <c r="J12">
        <f>'Stats G2'!H14</f>
        <v>3</v>
      </c>
      <c r="K12">
        <f t="shared" si="0"/>
        <v>3</v>
      </c>
      <c r="L12">
        <f>'Stats G2'!K14</f>
        <v>0</v>
      </c>
      <c r="M12">
        <f>'Stats G2'!N14</f>
        <v>0</v>
      </c>
      <c r="N12">
        <f>'Stats G2'!Q14</f>
        <v>3</v>
      </c>
      <c r="O12">
        <f>'Stats G2'!T14</f>
        <v>0</v>
      </c>
    </row>
    <row r="13" spans="2:15" x14ac:dyDescent="0.2">
      <c r="F13" t="str">
        <f>'Stats G2'!A15</f>
        <v>Makol</v>
      </c>
      <c r="G13" t="str">
        <f>'Stats G2'!B15</f>
        <v>Mawien</v>
      </c>
      <c r="H13">
        <f>'Stats G2'!C15</f>
        <v>34</v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  <c r="N13">
        <f>'Stats G2'!Q15</f>
        <v>0</v>
      </c>
      <c r="O13">
        <f>'Stats G2'!T15</f>
        <v>0</v>
      </c>
    </row>
    <row r="14" spans="2:15" x14ac:dyDescent="0.2">
      <c r="F14" t="str">
        <f>'Stats G2'!A16</f>
        <v>Corbin</v>
      </c>
      <c r="G14" t="str">
        <f>'Stats G2'!B16</f>
        <v>Green</v>
      </c>
      <c r="H14">
        <f>'Stats G2'!C16</f>
        <v>98</v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  <c r="N14">
        <f>'Stats G2'!Q16</f>
        <v>0</v>
      </c>
      <c r="O14">
        <f>'Stats G2'!T16</f>
        <v>0</v>
      </c>
    </row>
    <row r="15" spans="2:15" x14ac:dyDescent="0.2">
      <c r="F15" t="str">
        <f>'Stats G2'!A17</f>
        <v>Brandon</v>
      </c>
      <c r="G15" t="str">
        <f>'Stats G2'!B17</f>
        <v>Taylor</v>
      </c>
      <c r="H15">
        <f>'Stats G2'!C17</f>
        <v>0</v>
      </c>
      <c r="I15">
        <f>'Stats G2'!E17</f>
        <v>0</v>
      </c>
      <c r="J15">
        <f>'Stats G2'!H17</f>
        <v>5</v>
      </c>
      <c r="K15">
        <f t="shared" si="0"/>
        <v>5</v>
      </c>
      <c r="L15">
        <f>'Stats G2'!K17</f>
        <v>1</v>
      </c>
      <c r="M15">
        <f>'Stats G2'!N17</f>
        <v>4</v>
      </c>
      <c r="N15">
        <f>'Stats G2'!Q17</f>
        <v>3</v>
      </c>
      <c r="O15">
        <f>'Stats G2'!T17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>
        <f>'Stats G2'!C18</f>
        <v>5</v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  <c r="N16">
        <f>'Stats G2'!Q18</f>
        <v>0</v>
      </c>
      <c r="O16">
        <f>'Stats G2'!T18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  <c r="N17">
        <f>'Stats G2'!Q19</f>
        <v>0</v>
      </c>
      <c r="O17">
        <f>'Stats G2'!T19</f>
        <v>0</v>
      </c>
    </row>
    <row r="18" spans="6:15" x14ac:dyDescent="0.2">
      <c r="H18" s="2" t="s">
        <v>5</v>
      </c>
      <c r="I18">
        <f>SUM(I3:I17)</f>
        <v>12</v>
      </c>
      <c r="J18">
        <f>SUM(J3:J17)</f>
        <v>21</v>
      </c>
      <c r="K18">
        <f>SUM(K3:K17)</f>
        <v>33</v>
      </c>
      <c r="L18">
        <f>SUM(L3:L17)</f>
        <v>5</v>
      </c>
      <c r="M18">
        <f>SUM(M3:M17)</f>
        <v>8</v>
      </c>
      <c r="N18">
        <f>SUM(N3:N17)</f>
        <v>20</v>
      </c>
      <c r="O18">
        <f>SUM(O3:O17)</f>
        <v>3</v>
      </c>
    </row>
    <row r="20" spans="6:15" x14ac:dyDescent="0.2">
      <c r="F20" t="s">
        <v>4</v>
      </c>
      <c r="G20" t="str">
        <f>'Stats G2'!B21</f>
        <v>Roberts</v>
      </c>
    </row>
    <row r="21" spans="6:15" x14ac:dyDescent="0.2">
      <c r="F21" t="s">
        <v>1</v>
      </c>
      <c r="G21" t="s">
        <v>2</v>
      </c>
      <c r="H21" t="s">
        <v>0</v>
      </c>
      <c r="I21" t="s">
        <v>246</v>
      </c>
      <c r="J21" t="s">
        <v>247</v>
      </c>
      <c r="K21" t="s">
        <v>248</v>
      </c>
      <c r="L21" t="s">
        <v>245</v>
      </c>
      <c r="M21" t="s">
        <v>271</v>
      </c>
      <c r="N21" t="s">
        <v>269</v>
      </c>
      <c r="O21" t="s">
        <v>270</v>
      </c>
    </row>
    <row r="22" spans="6:15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G2'!E23</f>
        <v>0</v>
      </c>
      <c r="J22">
        <f>'Stats G2'!H23</f>
        <v>0</v>
      </c>
      <c r="K22">
        <f>J22+I22</f>
        <v>0</v>
      </c>
      <c r="L22">
        <f>'Stats G2'!K23</f>
        <v>1</v>
      </c>
      <c r="M22">
        <f>'Stats G2'!N23</f>
        <v>0</v>
      </c>
      <c r="N22">
        <f>'Stats G2'!Q23</f>
        <v>3</v>
      </c>
      <c r="O22">
        <f>'Stats G2'!T23</f>
        <v>0</v>
      </c>
    </row>
    <row r="23" spans="6:15" x14ac:dyDescent="0.2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G2'!E24</f>
        <v>0</v>
      </c>
      <c r="J23">
        <f>'Stats G2'!H24</f>
        <v>3</v>
      </c>
      <c r="K23">
        <f t="shared" ref="K23:K36" si="1">J23+I23</f>
        <v>3</v>
      </c>
      <c r="L23">
        <f>'Stats G2'!K24</f>
        <v>1</v>
      </c>
      <c r="M23">
        <f>'Stats G2'!N24</f>
        <v>0</v>
      </c>
      <c r="N23">
        <f>'Stats G2'!Q24</f>
        <v>3</v>
      </c>
      <c r="O23">
        <f>'Stats G2'!T24</f>
        <v>0</v>
      </c>
    </row>
    <row r="24" spans="6:15" x14ac:dyDescent="0.2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G2'!E25</f>
        <v>1</v>
      </c>
      <c r="J24">
        <f>'Stats G2'!H25</f>
        <v>6</v>
      </c>
      <c r="K24">
        <f t="shared" si="1"/>
        <v>7</v>
      </c>
      <c r="L24">
        <f>'Stats G2'!K25</f>
        <v>2</v>
      </c>
      <c r="M24">
        <f>'Stats G2'!N25</f>
        <v>3</v>
      </c>
      <c r="N24">
        <f>'Stats G2'!Q25</f>
        <v>8</v>
      </c>
      <c r="O24">
        <f>'Stats G2'!T25</f>
        <v>0</v>
      </c>
    </row>
    <row r="25" spans="6:15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G2'!E26</f>
        <v>0</v>
      </c>
      <c r="J25">
        <f>'Stats G2'!H26</f>
        <v>0</v>
      </c>
      <c r="K25">
        <f t="shared" si="1"/>
        <v>0</v>
      </c>
      <c r="L25">
        <f>'Stats G2'!K26</f>
        <v>0</v>
      </c>
      <c r="M25">
        <f>'Stats G2'!N26</f>
        <v>0</v>
      </c>
      <c r="N25">
        <f>'Stats G2'!Q26</f>
        <v>0</v>
      </c>
      <c r="O25">
        <f>'Stats G2'!T26</f>
        <v>0</v>
      </c>
    </row>
    <row r="26" spans="6:15" x14ac:dyDescent="0.2">
      <c r="F26" t="str">
        <f>'Stats G2'!A27</f>
        <v>Jaleel</v>
      </c>
      <c r="G26" t="str">
        <f>'Stats G2'!B27</f>
        <v>Roberts</v>
      </c>
      <c r="H26">
        <f>'Stats G2'!C27</f>
        <v>9</v>
      </c>
      <c r="I26">
        <f>'Stats G2'!E27</f>
        <v>0</v>
      </c>
      <c r="J26">
        <f>'Stats G2'!H27</f>
        <v>0</v>
      </c>
      <c r="K26">
        <f t="shared" si="1"/>
        <v>0</v>
      </c>
      <c r="L26">
        <f>'Stats G2'!K27</f>
        <v>0</v>
      </c>
      <c r="M26">
        <f>'Stats G2'!N27</f>
        <v>0</v>
      </c>
      <c r="N26">
        <f>'Stats G2'!Q27</f>
        <v>0</v>
      </c>
      <c r="O26">
        <f>'Stats G2'!T27</f>
        <v>0</v>
      </c>
    </row>
    <row r="27" spans="6:15" x14ac:dyDescent="0.2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G2'!E28</f>
        <v>0</v>
      </c>
      <c r="J27">
        <f>'Stats G2'!H28</f>
        <v>0</v>
      </c>
      <c r="K27">
        <f t="shared" si="1"/>
        <v>0</v>
      </c>
      <c r="L27">
        <f>'Stats G2'!K28</f>
        <v>0</v>
      </c>
      <c r="M27">
        <f>'Stats G2'!N28</f>
        <v>0</v>
      </c>
      <c r="N27">
        <f>'Stats G2'!Q28</f>
        <v>0</v>
      </c>
      <c r="O27">
        <f>'Stats G2'!T28</f>
        <v>0</v>
      </c>
    </row>
    <row r="28" spans="6:15" x14ac:dyDescent="0.2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G2'!E29</f>
        <v>7</v>
      </c>
      <c r="J28">
        <f>'Stats G2'!H29</f>
        <v>11</v>
      </c>
      <c r="K28">
        <f t="shared" si="1"/>
        <v>18</v>
      </c>
      <c r="L28">
        <f>'Stats G2'!K29</f>
        <v>1</v>
      </c>
      <c r="M28">
        <f>'Stats G2'!N29</f>
        <v>3</v>
      </c>
      <c r="N28">
        <f>'Stats G2'!Q29</f>
        <v>2</v>
      </c>
      <c r="O28">
        <f>'Stats G2'!T29</f>
        <v>1</v>
      </c>
    </row>
    <row r="29" spans="6:15" x14ac:dyDescent="0.2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G2'!E30</f>
        <v>0</v>
      </c>
      <c r="J29">
        <f>'Stats G2'!H30</f>
        <v>0</v>
      </c>
      <c r="K29">
        <f t="shared" si="1"/>
        <v>0</v>
      </c>
      <c r="L29">
        <f>'Stats G2'!K30</f>
        <v>0</v>
      </c>
      <c r="M29">
        <f>'Stats G2'!N30</f>
        <v>0</v>
      </c>
      <c r="N29">
        <f>'Stats G2'!Q30</f>
        <v>0</v>
      </c>
      <c r="O29">
        <f>'Stats G2'!T30</f>
        <v>0</v>
      </c>
    </row>
    <row r="30" spans="6:15" x14ac:dyDescent="0.2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G2'!E31</f>
        <v>2</v>
      </c>
      <c r="J30">
        <f>'Stats G2'!H31</f>
        <v>1</v>
      </c>
      <c r="K30">
        <f t="shared" si="1"/>
        <v>3</v>
      </c>
      <c r="L30">
        <f>'Stats G2'!K31</f>
        <v>2</v>
      </c>
      <c r="M30">
        <f>'Stats G2'!N31</f>
        <v>1</v>
      </c>
      <c r="N30">
        <f>'Stats G2'!Q31</f>
        <v>1</v>
      </c>
      <c r="O30">
        <f>'Stats G2'!T31</f>
        <v>1</v>
      </c>
    </row>
    <row r="31" spans="6:15" x14ac:dyDescent="0.2">
      <c r="F31" t="str">
        <f>'Stats G2'!A32</f>
        <v>Jordan</v>
      </c>
      <c r="G31" t="str">
        <f>'Stats G2'!B32</f>
        <v>Loveridge</v>
      </c>
      <c r="H31">
        <f>'Stats G2'!C32</f>
        <v>21</v>
      </c>
      <c r="I31">
        <f>'Stats G2'!E32</f>
        <v>0</v>
      </c>
      <c r="J31">
        <f>'Stats G2'!H32</f>
        <v>0</v>
      </c>
      <c r="K31">
        <f t="shared" si="1"/>
        <v>0</v>
      </c>
      <c r="L31">
        <f>'Stats G2'!K32</f>
        <v>0</v>
      </c>
      <c r="M31">
        <f>'Stats G2'!N32</f>
        <v>0</v>
      </c>
      <c r="N31">
        <f>'Stats G2'!Q32</f>
        <v>0</v>
      </c>
      <c r="O31">
        <f>'Stats G2'!T32</f>
        <v>0</v>
      </c>
    </row>
    <row r="32" spans="6:15" x14ac:dyDescent="0.2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G2'!E33</f>
        <v>1</v>
      </c>
      <c r="J32">
        <f>'Stats G2'!H33</f>
        <v>4</v>
      </c>
      <c r="K32">
        <f t="shared" si="1"/>
        <v>5</v>
      </c>
      <c r="L32">
        <f>'Stats G2'!K33</f>
        <v>0</v>
      </c>
      <c r="M32">
        <f>'Stats G2'!N33</f>
        <v>1</v>
      </c>
      <c r="N32">
        <f>'Stats G2'!Q33</f>
        <v>3</v>
      </c>
      <c r="O32">
        <f>'Stats G2'!T33</f>
        <v>0</v>
      </c>
    </row>
    <row r="33" spans="6:15" x14ac:dyDescent="0.2">
      <c r="F33" t="str">
        <f>'Stats G2'!A34</f>
        <v>Brendan</v>
      </c>
      <c r="G33" t="str">
        <f>'Stats G2'!B34</f>
        <v>Morris</v>
      </c>
      <c r="H33">
        <f>'Stats G2'!C34</f>
        <v>23</v>
      </c>
      <c r="I33">
        <f>'Stats G2'!E34</f>
        <v>1</v>
      </c>
      <c r="J33">
        <f>'Stats G2'!H34</f>
        <v>7</v>
      </c>
      <c r="K33">
        <f t="shared" si="1"/>
        <v>8</v>
      </c>
      <c r="L33">
        <f>'Stats G2'!K34</f>
        <v>2</v>
      </c>
      <c r="M33">
        <f>'Stats G2'!N34</f>
        <v>2</v>
      </c>
      <c r="N33">
        <f>'Stats G2'!Q34</f>
        <v>3</v>
      </c>
      <c r="O33">
        <f>'Stats G2'!T34</f>
        <v>1</v>
      </c>
    </row>
    <row r="34" spans="6:15" x14ac:dyDescent="0.2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G2'!E35</f>
        <v>0</v>
      </c>
      <c r="J34">
        <f>'Stats G2'!H35</f>
        <v>3</v>
      </c>
      <c r="K34">
        <f t="shared" si="1"/>
        <v>3</v>
      </c>
      <c r="L34">
        <f>'Stats G2'!K35</f>
        <v>0</v>
      </c>
      <c r="M34">
        <f>'Stats G2'!N35</f>
        <v>1</v>
      </c>
      <c r="N34">
        <f>'Stats G2'!Q35</f>
        <v>0</v>
      </c>
      <c r="O34">
        <f>'Stats G2'!T35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</f>
        <v>0</v>
      </c>
      <c r="M35">
        <f>'Stats G2'!N36</f>
        <v>0</v>
      </c>
      <c r="N35">
        <f>'Stats G2'!Q36</f>
        <v>0</v>
      </c>
      <c r="O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G2'!K37</f>
        <v>0</v>
      </c>
      <c r="M36">
        <f>'Stats G2'!N37</f>
        <v>0</v>
      </c>
      <c r="N36">
        <f>'Stats G2'!Q37</f>
        <v>0</v>
      </c>
      <c r="O36">
        <f>'Stats G2'!T37</f>
        <v>0</v>
      </c>
    </row>
    <row r="37" spans="6:15" x14ac:dyDescent="0.2">
      <c r="H37" s="2" t="s">
        <v>5</v>
      </c>
      <c r="I37">
        <f>SUM(I22:I36)</f>
        <v>12</v>
      </c>
      <c r="J37">
        <f>SUM(J22:J36)</f>
        <v>35</v>
      </c>
      <c r="K37">
        <f>SUM(K22:K36)</f>
        <v>47</v>
      </c>
      <c r="L37">
        <f>SUM(L22:L36)</f>
        <v>9</v>
      </c>
      <c r="M37">
        <f>SUM(M22:M36)</f>
        <v>11</v>
      </c>
      <c r="N37">
        <f>SUM(N22:N36)</f>
        <v>23</v>
      </c>
      <c r="O37">
        <f>SUM(O22:O36)</f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D18" sqref="D18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17</v>
      </c>
    </row>
    <row r="4" spans="1:21" x14ac:dyDescent="0.2">
      <c r="A4" t="s">
        <v>1</v>
      </c>
      <c r="B4" t="s">
        <v>2</v>
      </c>
      <c r="C4" t="s">
        <v>0</v>
      </c>
      <c r="E4" t="s">
        <v>246</v>
      </c>
      <c r="H4" t="s">
        <v>247</v>
      </c>
      <c r="K4" t="s">
        <v>245</v>
      </c>
      <c r="N4" t="s">
        <v>268</v>
      </c>
      <c r="Q4" t="s">
        <v>269</v>
      </c>
      <c r="T4" t="s">
        <v>270</v>
      </c>
    </row>
    <row r="5" spans="1:21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3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Duane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3</v>
      </c>
      <c r="F7" s="5"/>
      <c r="G7" s="5"/>
      <c r="H7" s="5">
        <v>4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5</v>
      </c>
      <c r="R7" s="5"/>
      <c r="S7" s="5"/>
      <c r="T7" s="5">
        <v>1</v>
      </c>
      <c r="U7" s="5"/>
    </row>
    <row r="8" spans="1:21" s="6" customFormat="1" x14ac:dyDescent="0.2">
      <c r="A8" s="6" t="str">
        <f>_xlfn.IFNA(VLOOKUP($B$3&amp;ROWS($A$5:A8),Rosters!$B$2:$C$162,2,0),"?")</f>
        <v>Tre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Brekott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6</v>
      </c>
      <c r="F9" s="5"/>
      <c r="G9" s="5"/>
      <c r="H9" s="5">
        <v>2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3</v>
      </c>
      <c r="R9" s="5"/>
      <c r="S9" s="5"/>
      <c r="T9" s="5">
        <v>2</v>
      </c>
      <c r="U9" s="5"/>
    </row>
    <row r="10" spans="1:21" s="6" customFormat="1" x14ac:dyDescent="0.2">
      <c r="A10" s="6" t="str">
        <f>_xlfn.IFNA(VLOOKUP($B$3&amp;ROWS($A$5:A10),Rosters!$B$2:$C$162,2,0),"?")</f>
        <v>Ronnie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Isaiah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1</v>
      </c>
      <c r="O11" s="5"/>
      <c r="P11" s="5"/>
      <c r="Q11" s="5">
        <v>4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1</v>
      </c>
      <c r="H12" s="6">
        <v>0</v>
      </c>
      <c r="K12" s="6">
        <v>0</v>
      </c>
      <c r="N12" s="6">
        <v>1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1</v>
      </c>
      <c r="F13" s="5"/>
      <c r="G13" s="5"/>
      <c r="H13" s="5">
        <v>3</v>
      </c>
      <c r="I13" s="5"/>
      <c r="J13" s="5"/>
      <c r="K13" s="5">
        <v>0</v>
      </c>
      <c r="L13" s="5"/>
      <c r="M13" s="5"/>
      <c r="N13" s="5">
        <v>1</v>
      </c>
      <c r="O13" s="5"/>
      <c r="P13" s="5"/>
      <c r="Q13" s="5">
        <v>2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0</v>
      </c>
      <c r="H14" s="6">
        <v>3</v>
      </c>
      <c r="K14" s="6">
        <v>0</v>
      </c>
      <c r="N14" s="6">
        <v>0</v>
      </c>
      <c r="Q14" s="6">
        <v>3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60</v>
      </c>
      <c r="B17" s="5" t="s">
        <v>112</v>
      </c>
      <c r="C17" s="5">
        <v>0</v>
      </c>
      <c r="D17" s="5"/>
      <c r="E17" s="5">
        <v>0</v>
      </c>
      <c r="F17" s="5"/>
      <c r="G17" s="5"/>
      <c r="H17" s="5">
        <v>5</v>
      </c>
      <c r="I17" s="5"/>
      <c r="J17" s="5"/>
      <c r="K17" s="5">
        <v>1</v>
      </c>
      <c r="L17" s="5"/>
      <c r="M17" s="5"/>
      <c r="N17" s="5">
        <v>4</v>
      </c>
      <c r="O17" s="5"/>
      <c r="P17" s="5"/>
      <c r="Q17" s="5">
        <v>3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>
        <v>5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12</v>
      </c>
      <c r="H20">
        <f>SUM(H5:H19)</f>
        <v>21</v>
      </c>
      <c r="K20">
        <f>SUM(K5:K19)</f>
        <v>5</v>
      </c>
      <c r="N20">
        <f>SUM(N5:N19)</f>
        <v>8</v>
      </c>
      <c r="Q20">
        <f>SUM(Q5:Q19)</f>
        <v>20</v>
      </c>
      <c r="T20">
        <f>SUM(T5:T19)</f>
        <v>3</v>
      </c>
    </row>
    <row r="21" spans="1:21" x14ac:dyDescent="0.2">
      <c r="A21" s="2" t="s">
        <v>8</v>
      </c>
      <c r="B21" s="1" t="s">
        <v>21</v>
      </c>
    </row>
    <row r="22" spans="1:21" x14ac:dyDescent="0.2">
      <c r="A22" t="s">
        <v>1</v>
      </c>
      <c r="B22" t="s">
        <v>2</v>
      </c>
      <c r="C22" t="s">
        <v>0</v>
      </c>
      <c r="E22" t="s">
        <v>246</v>
      </c>
      <c r="H22" t="s">
        <v>247</v>
      </c>
      <c r="K22" t="s">
        <v>245</v>
      </c>
      <c r="N22" t="s">
        <v>268</v>
      </c>
      <c r="Q22" t="s">
        <v>269</v>
      </c>
      <c r="T22" t="s">
        <v>270</v>
      </c>
    </row>
    <row r="23" spans="1:21" s="6" customFormat="1" x14ac:dyDescent="0.2">
      <c r="A23" s="5" t="str">
        <f>_xlfn.IFNA(VLOOKUP($B$21&amp;ROWS($A$23:A23),Rosters!$B$2:$C$162,2,0),"?")</f>
        <v>Tone</v>
      </c>
      <c r="B23" s="5" t="str">
        <f>_xlfn.IFNA(VLOOKUP($B$21&amp;ROWS($B$23:B23),Rosters!$B$2:$D$162,3,0),"?")</f>
        <v>Anderson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3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Charles</v>
      </c>
      <c r="B24" s="6" t="str">
        <f>_xlfn.IFNA(VLOOKUP($B$21&amp;ROWS($B$23:B24),Rosters!$B$2:$D$162,3,0),"?")</f>
        <v>Nunn</v>
      </c>
      <c r="C24" s="6">
        <f>_xlfn.IFNA(VLOOKUP($B$21&amp;ROWS($C$23:C24),Rosters!$B$2:$E$162,4,0),"")</f>
        <v>1</v>
      </c>
      <c r="E24" s="6">
        <v>0</v>
      </c>
      <c r="H24" s="6">
        <v>3</v>
      </c>
      <c r="K24" s="6">
        <v>1</v>
      </c>
      <c r="N24" s="6">
        <v>0</v>
      </c>
      <c r="Q24" s="6">
        <v>3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Brandon</v>
      </c>
      <c r="B25" s="5" t="str">
        <f>_xlfn.IFNA(VLOOKUP($B$21&amp;ROWS($B$23:B25),Rosters!$B$2:$D$162,3,0),"?")</f>
        <v>Sly</v>
      </c>
      <c r="C25" s="5">
        <f>_xlfn.IFNA(VLOOKUP($B$21&amp;ROWS($C$23:C25),Rosters!$B$2:$E$162,4,0),"")</f>
        <v>2</v>
      </c>
      <c r="D25" s="5"/>
      <c r="E25" s="5">
        <v>1</v>
      </c>
      <c r="F25" s="5"/>
      <c r="G25" s="5"/>
      <c r="H25" s="5">
        <v>6</v>
      </c>
      <c r="I25" s="5"/>
      <c r="J25" s="5"/>
      <c r="K25" s="5">
        <v>2</v>
      </c>
      <c r="L25" s="5"/>
      <c r="M25" s="5"/>
      <c r="N25" s="5">
        <v>3</v>
      </c>
      <c r="O25" s="5"/>
      <c r="P25" s="5"/>
      <c r="Q25" s="5">
        <v>8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Duce</v>
      </c>
      <c r="B26" s="6" t="str">
        <f>_xlfn.IFNA(VLOOKUP($B$21&amp;ROWS($B$23:B26),Rosters!$B$2:$D$162,3,0),"?")</f>
        <v>Zaid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Jaleel</v>
      </c>
      <c r="B27" s="5" t="str">
        <f>_xlfn.IFNA(VLOOKUP($B$21&amp;ROWS($B$23:B27),Rosters!$B$2:$D$162,3,0),"?")</f>
        <v>Roberts</v>
      </c>
      <c r="C27" s="5">
        <f>_xlfn.IFNA(VLOOKUP($B$21&amp;ROWS($C$23:C27),Rosters!$B$2:$E$162,4,0),"")</f>
        <v>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Rayjon</v>
      </c>
      <c r="B28" s="6" t="str">
        <f>_xlfn.IFNA(VLOOKUP($B$21&amp;ROWS($B$23:B28),Rosters!$B$2:$D$162,3,0),"?")</f>
        <v>Tucker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Kentrell</v>
      </c>
      <c r="B29" s="5" t="str">
        <f>_xlfn.IFNA(VLOOKUP($B$21&amp;ROWS($B$23:B29),Rosters!$B$2:$D$162,3,0),"?")</f>
        <v>Barkley</v>
      </c>
      <c r="C29" s="5">
        <f>_xlfn.IFNA(VLOOKUP($B$21&amp;ROWS($C$23:C29),Rosters!$B$2:$E$162,4,0),"")</f>
        <v>12</v>
      </c>
      <c r="D29" s="5"/>
      <c r="E29" s="5">
        <v>7</v>
      </c>
      <c r="F29" s="5"/>
      <c r="G29" s="5"/>
      <c r="H29" s="5">
        <v>11</v>
      </c>
      <c r="I29" s="5"/>
      <c r="J29" s="5"/>
      <c r="K29" s="5">
        <v>1</v>
      </c>
      <c r="L29" s="5"/>
      <c r="M29" s="5"/>
      <c r="N29" s="5">
        <v>3</v>
      </c>
      <c r="O29" s="5"/>
      <c r="P29" s="5"/>
      <c r="Q29" s="5">
        <v>2</v>
      </c>
      <c r="R29" s="5"/>
      <c r="S29" s="5"/>
      <c r="T29" s="5">
        <v>1</v>
      </c>
      <c r="U29" s="5"/>
    </row>
    <row r="30" spans="1:21" s="6" customFormat="1" x14ac:dyDescent="0.2">
      <c r="A30" s="6" t="str">
        <f>_xlfn.IFNA(VLOOKUP($B$21&amp;ROWS($A$23:A30),Rosters!$B$2:$C$162,2,0),"?")</f>
        <v>Dontay</v>
      </c>
      <c r="B30" s="6" t="str">
        <f>_xlfn.IFNA(VLOOKUP($B$21&amp;ROWS($B$23:B30),Rosters!$B$2:$D$162,3,0),"?")</f>
        <v>Bassett</v>
      </c>
      <c r="C30" s="6">
        <f>_xlfn.IFNA(VLOOKUP($B$21&amp;ROWS($C$23:C30),Rosters!$B$2:$E$162,4,0),"")</f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Kyndahl</v>
      </c>
      <c r="B31" s="5" t="str">
        <f>_xlfn.IFNA(VLOOKUP($B$21&amp;ROWS($B$23:B31),Rosters!$B$2:$D$162,3,0),"?")</f>
        <v>Hill</v>
      </c>
      <c r="C31" s="5">
        <f>_xlfn.IFNA(VLOOKUP($B$21&amp;ROWS($C$23:C31),Rosters!$B$2:$E$162,4,0),"")</f>
        <v>15</v>
      </c>
      <c r="D31" s="5"/>
      <c r="E31" s="5">
        <v>2</v>
      </c>
      <c r="F31" s="5"/>
      <c r="G31" s="5"/>
      <c r="H31" s="5">
        <v>1</v>
      </c>
      <c r="I31" s="5"/>
      <c r="J31" s="5"/>
      <c r="K31" s="5">
        <v>2</v>
      </c>
      <c r="L31" s="5"/>
      <c r="M31" s="5"/>
      <c r="N31" s="5">
        <v>1</v>
      </c>
      <c r="O31" s="5"/>
      <c r="P31" s="5"/>
      <c r="Q31" s="5">
        <v>1</v>
      </c>
      <c r="R31" s="5"/>
      <c r="S31" s="5"/>
      <c r="T31" s="5">
        <v>1</v>
      </c>
      <c r="U31" s="5"/>
    </row>
    <row r="32" spans="1:21" s="6" customFormat="1" x14ac:dyDescent="0.2">
      <c r="A32" s="6" t="str">
        <f>_xlfn.IFNA(VLOOKUP($B$21&amp;ROWS($A$23:A32),Rosters!$B$2:$C$162,2,0),"?")</f>
        <v>Jordan</v>
      </c>
      <c r="B32" s="6" t="str">
        <f>_xlfn.IFNA(VLOOKUP($B$21&amp;ROWS($B$23:B32),Rosters!$B$2:$D$162,3,0),"?")</f>
        <v>Loveridge</v>
      </c>
      <c r="C32" s="6">
        <f>_xlfn.IFNA(VLOOKUP($B$21&amp;ROWS($C$23:C32),Rosters!$B$2:$E$162,4,0),"")</f>
        <v>21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Thomas</v>
      </c>
      <c r="B33" s="5" t="str">
        <f>_xlfn.IFNA(VLOOKUP($B$21&amp;ROWS($B$23:B33),Rosters!$B$2:$D$162,3,0),"?")</f>
        <v>Bullock</v>
      </c>
      <c r="C33" s="5">
        <f>_xlfn.IFNA(VLOOKUP($B$21&amp;ROWS($C$23:C33),Rosters!$B$2:$E$162,4,0),"")</f>
        <v>22</v>
      </c>
      <c r="D33" s="5"/>
      <c r="E33" s="5">
        <v>1</v>
      </c>
      <c r="F33" s="5"/>
      <c r="G33" s="5"/>
      <c r="H33" s="5">
        <v>4</v>
      </c>
      <c r="I33" s="5"/>
      <c r="J33" s="5"/>
      <c r="K33" s="5">
        <v>0</v>
      </c>
      <c r="L33" s="5"/>
      <c r="M33" s="5"/>
      <c r="N33" s="5">
        <v>1</v>
      </c>
      <c r="O33" s="5"/>
      <c r="P33" s="5"/>
      <c r="Q33" s="5">
        <v>3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Brendan</v>
      </c>
      <c r="B34" s="6" t="str">
        <f>_xlfn.IFNA(VLOOKUP($B$21&amp;ROWS($B$23:B34),Rosters!$B$2:$D$162,3,0),"?")</f>
        <v>Morris</v>
      </c>
      <c r="C34" s="6">
        <f>_xlfn.IFNA(VLOOKUP($B$21&amp;ROWS($C$23:C34),Rosters!$B$2:$E$162,4,0),"")</f>
        <v>23</v>
      </c>
      <c r="D34"/>
      <c r="E34" s="6">
        <v>1</v>
      </c>
      <c r="F34"/>
      <c r="G34"/>
      <c r="H34" s="6">
        <v>7</v>
      </c>
      <c r="I34"/>
      <c r="J34"/>
      <c r="K34" s="6">
        <v>2</v>
      </c>
      <c r="L34"/>
      <c r="M34"/>
      <c r="N34" s="6">
        <v>2</v>
      </c>
      <c r="O34"/>
      <c r="P34"/>
      <c r="Q34" s="6">
        <v>3</v>
      </c>
      <c r="R34"/>
      <c r="S34"/>
      <c r="T34" s="6">
        <v>1</v>
      </c>
      <c r="U34"/>
    </row>
    <row r="35" spans="1:21" s="6" customFormat="1" x14ac:dyDescent="0.2">
      <c r="A35" s="5" t="str">
        <f>_xlfn.IFNA(VLOOKUP($B$21&amp;ROWS($A$23:A35),Rosters!$B$2:$C$162,2,0),"?")</f>
        <v>Demarcus</v>
      </c>
      <c r="B35" s="5" t="str">
        <f>_xlfn.IFNA(VLOOKUP($B$21&amp;ROWS($B$23:B35),Rosters!$B$2:$D$162,3,0),"?")</f>
        <v>Harrison</v>
      </c>
      <c r="C35" s="5">
        <f>_xlfn.IFNA(VLOOKUP($B$21&amp;ROWS($C$23:C35),Rosters!$B$2:$E$162,4,0),"")</f>
        <v>31</v>
      </c>
      <c r="D35" s="5"/>
      <c r="E35" s="5">
        <v>0</v>
      </c>
      <c r="F35" s="5"/>
      <c r="G35" s="5"/>
      <c r="H35" s="5">
        <v>3</v>
      </c>
      <c r="I35" s="5"/>
      <c r="J35" s="5"/>
      <c r="K35" s="5">
        <v>0</v>
      </c>
      <c r="L35" s="5"/>
      <c r="M35" s="5"/>
      <c r="N35" s="5">
        <v>1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12</v>
      </c>
      <c r="H38">
        <f>SUM(H23:H37)</f>
        <v>35</v>
      </c>
      <c r="K38">
        <f>SUM(K23:K37)</f>
        <v>9</v>
      </c>
      <c r="N38">
        <f>SUM(N23:N37)</f>
        <v>11</v>
      </c>
      <c r="Q38">
        <f>SUM(Q23:Q37)</f>
        <v>23</v>
      </c>
      <c r="T38">
        <f>SUM(T23:T37)</f>
        <v>3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B5" sqref="B5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252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253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254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251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255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256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257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260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261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262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250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263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264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265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265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265</v>
      </c>
      <c r="B143" t="str">
        <f>A143&amp;COUNTIF($A$2:$A143,A143)</f>
        <v>Guest3</v>
      </c>
      <c r="C143" t="s">
        <v>266</v>
      </c>
      <c r="D143" t="s">
        <v>241</v>
      </c>
      <c r="E143">
        <v>19</v>
      </c>
    </row>
    <row r="144" spans="1:5" x14ac:dyDescent="0.2">
      <c r="A144" t="s">
        <v>265</v>
      </c>
      <c r="B144" t="str">
        <f>A144&amp;COUNTIF($A$2:$A144,A144)</f>
        <v>Guest4</v>
      </c>
      <c r="C144" t="s">
        <v>243</v>
      </c>
      <c r="D144" t="s">
        <v>267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2021-08-09T02:10:45Z</dcterms:modified>
</cp:coreProperties>
</file>