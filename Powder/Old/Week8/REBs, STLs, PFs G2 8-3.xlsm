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8/"/>
    </mc:Choice>
  </mc:AlternateContent>
  <xr:revisionPtr revIDLastSave="0" documentId="13_ncr:1_{BEA3BC00-67D2-0F4E-A29A-8BBB39A0B2BE}" xr6:coauthVersionLast="47" xr6:coauthVersionMax="47" xr10:uidLastSave="{00000000-0000-0000-0000-000000000000}"/>
  <bookViews>
    <workbookView xWindow="8760" yWindow="1000" windowWidth="19620" windowHeight="148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2" l="1"/>
  <c r="N37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O22" i="2"/>
  <c r="N22" i="2"/>
  <c r="O18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N18" i="2" s="1"/>
  <c r="O12" i="2"/>
  <c r="N13" i="2"/>
  <c r="O13" i="2"/>
  <c r="N14" i="2"/>
  <c r="O14" i="2"/>
  <c r="N15" i="2"/>
  <c r="O15" i="2"/>
  <c r="N16" i="2"/>
  <c r="O16" i="2"/>
  <c r="N17" i="2"/>
  <c r="O17" i="2"/>
  <c r="O3" i="2"/>
  <c r="N3" i="2"/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L23" i="2"/>
  <c r="M23" i="2"/>
  <c r="I24" i="2"/>
  <c r="J24" i="2"/>
  <c r="L24" i="2"/>
  <c r="M24" i="2"/>
  <c r="I25" i="2"/>
  <c r="J25" i="2"/>
  <c r="L25" i="2"/>
  <c r="M25" i="2"/>
  <c r="I26" i="2"/>
  <c r="J26" i="2"/>
  <c r="L26" i="2"/>
  <c r="M26" i="2"/>
  <c r="I27" i="2"/>
  <c r="J27" i="2"/>
  <c r="K27" i="2" s="1"/>
  <c r="L27" i="2"/>
  <c r="M27" i="2"/>
  <c r="I28" i="2"/>
  <c r="J28" i="2"/>
  <c r="L28" i="2"/>
  <c r="M28" i="2"/>
  <c r="I29" i="2"/>
  <c r="J29" i="2"/>
  <c r="K29" i="2" s="1"/>
  <c r="L29" i="2"/>
  <c r="M29" i="2"/>
  <c r="I30" i="2"/>
  <c r="J30" i="2"/>
  <c r="L30" i="2"/>
  <c r="M30" i="2"/>
  <c r="I31" i="2"/>
  <c r="J31" i="2"/>
  <c r="K31" i="2"/>
  <c r="L31" i="2"/>
  <c r="M31" i="2"/>
  <c r="I32" i="2"/>
  <c r="J32" i="2"/>
  <c r="L32" i="2"/>
  <c r="M32" i="2"/>
  <c r="I33" i="2"/>
  <c r="J33" i="2"/>
  <c r="L33" i="2"/>
  <c r="M33" i="2"/>
  <c r="I34" i="2"/>
  <c r="J34" i="2"/>
  <c r="L34" i="2"/>
  <c r="M34" i="2"/>
  <c r="I35" i="2"/>
  <c r="J35" i="2"/>
  <c r="K35" i="2" s="1"/>
  <c r="L35" i="2"/>
  <c r="M35" i="2"/>
  <c r="I36" i="2"/>
  <c r="J36" i="2"/>
  <c r="K36" i="2"/>
  <c r="L36" i="2"/>
  <c r="M36" i="2"/>
  <c r="M22" i="2"/>
  <c r="L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17" i="2"/>
  <c r="K3" i="2"/>
  <c r="I4" i="2"/>
  <c r="J4" i="2"/>
  <c r="L4" i="2"/>
  <c r="I5" i="2"/>
  <c r="J5" i="2"/>
  <c r="K5" i="2" s="1"/>
  <c r="L5" i="2"/>
  <c r="I6" i="2"/>
  <c r="J6" i="2"/>
  <c r="L6" i="2"/>
  <c r="I7" i="2"/>
  <c r="J7" i="2"/>
  <c r="L7" i="2"/>
  <c r="I8" i="2"/>
  <c r="J8" i="2"/>
  <c r="L8" i="2"/>
  <c r="I9" i="2"/>
  <c r="J9" i="2"/>
  <c r="L9" i="2"/>
  <c r="I10" i="2"/>
  <c r="J10" i="2"/>
  <c r="L10" i="2"/>
  <c r="I11" i="2"/>
  <c r="J11" i="2"/>
  <c r="L11" i="2"/>
  <c r="I12" i="2"/>
  <c r="J12" i="2"/>
  <c r="L12" i="2"/>
  <c r="I13" i="2"/>
  <c r="J13" i="2"/>
  <c r="L13" i="2"/>
  <c r="I14" i="2"/>
  <c r="J14" i="2"/>
  <c r="L14" i="2"/>
  <c r="I15" i="2"/>
  <c r="J15" i="2"/>
  <c r="L15" i="2"/>
  <c r="I16" i="2"/>
  <c r="J16" i="2"/>
  <c r="K16" i="2" s="1"/>
  <c r="L16" i="2"/>
  <c r="I17" i="2"/>
  <c r="J17" i="2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22" i="2" l="1"/>
  <c r="K24" i="2"/>
  <c r="K34" i="2"/>
  <c r="K32" i="2"/>
  <c r="K12" i="2"/>
  <c r="K11" i="2"/>
  <c r="K8" i="2"/>
  <c r="K13" i="2"/>
  <c r="K9" i="2"/>
  <c r="K10" i="2"/>
  <c r="K7" i="2"/>
  <c r="K28" i="2"/>
  <c r="K23" i="2"/>
  <c r="K25" i="2"/>
  <c r="K15" i="2"/>
  <c r="M18" i="2"/>
  <c r="L37" i="2"/>
  <c r="K14" i="2"/>
  <c r="M37" i="2"/>
  <c r="K6" i="2"/>
  <c r="K33" i="2"/>
  <c r="I37" i="2"/>
  <c r="D3" i="2" s="1"/>
  <c r="K30" i="2"/>
  <c r="K26" i="2"/>
  <c r="C32" i="1"/>
  <c r="H31" i="2" s="1"/>
  <c r="B33" i="1"/>
  <c r="G32" i="2" s="1"/>
  <c r="C29" i="1"/>
  <c r="H28" i="2" s="1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G23" i="2"/>
  <c r="C35" i="1"/>
  <c r="A33" i="1"/>
  <c r="F32" i="2" s="1"/>
  <c r="B30" i="1"/>
  <c r="G29" i="2" s="1"/>
  <c r="C27" i="1"/>
  <c r="H26" i="2" s="1"/>
  <c r="A25" i="1"/>
  <c r="F24" i="2" s="1"/>
  <c r="F5" i="2"/>
  <c r="A36" i="1"/>
  <c r="F35" i="2" s="1"/>
  <c r="C30" i="1"/>
  <c r="H29" i="2" s="1"/>
  <c r="B12" i="1"/>
  <c r="G10" i="2" s="1"/>
  <c r="H23" i="2"/>
  <c r="A30" i="1"/>
  <c r="F29" i="2" s="1"/>
  <c r="B19" i="1"/>
  <c r="C10" i="1"/>
  <c r="H8" i="2" s="1"/>
  <c r="A35" i="1"/>
  <c r="G16" i="2"/>
  <c r="C9" i="1"/>
  <c r="H7" i="2" s="1"/>
  <c r="B29" i="1"/>
  <c r="G28" i="2" s="1"/>
  <c r="F16" i="2"/>
  <c r="B9" i="1"/>
  <c r="G7" i="2" s="1"/>
  <c r="C16" i="1"/>
  <c r="H14" i="2" s="1"/>
  <c r="C8" i="1"/>
  <c r="H6" i="2" s="1"/>
  <c r="A23" i="1"/>
  <c r="F22" i="2" s="1"/>
  <c r="F36" i="2"/>
  <c r="B34" i="1"/>
  <c r="G33" i="2" s="1"/>
  <c r="C31" i="1"/>
  <c r="H30" i="2" s="1"/>
  <c r="A29" i="1"/>
  <c r="F28" i="2" s="1"/>
  <c r="G25" i="2"/>
  <c r="B14" i="1"/>
  <c r="G12" i="2" s="1"/>
  <c r="F23" i="2"/>
  <c r="A28" i="1"/>
  <c r="F27" i="2" s="1"/>
  <c r="B5" i="1"/>
  <c r="G3" i="2" s="1"/>
  <c r="C19" i="1"/>
  <c r="B35" i="1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F25" i="2"/>
  <c r="F13" i="2"/>
  <c r="A13" i="1"/>
  <c r="F11" i="2" s="1"/>
  <c r="C11" i="1"/>
  <c r="H9" i="2" s="1"/>
  <c r="A5" i="1"/>
  <c r="F3" i="2" s="1"/>
  <c r="B11" i="1"/>
  <c r="G9" i="2" s="1"/>
  <c r="H36" i="2"/>
  <c r="A19" i="1"/>
  <c r="B10" i="1"/>
  <c r="G8" i="2" s="1"/>
  <c r="G36" i="2"/>
  <c r="C34" i="1"/>
  <c r="H33" i="2" s="1"/>
  <c r="H25" i="2"/>
  <c r="A10" i="1"/>
  <c r="F8" i="2" s="1"/>
  <c r="A16" i="1"/>
  <c r="F14" i="2" s="1"/>
  <c r="A8" i="1"/>
  <c r="F6" i="2" s="1"/>
  <c r="G13" i="2"/>
  <c r="G5" i="2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K18" i="2" l="1"/>
  <c r="K37" i="2"/>
</calcChain>
</file>

<file path=xl/sharedStrings.xml><?xml version="1.0" encoding="utf-8"?>
<sst xmlns="http://schemas.openxmlformats.org/spreadsheetml/2006/main" count="515" uniqueCount="276">
  <si>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</si>
  <si>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</si>
  <si>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</si>
  <si>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</si>
  <si>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</si>
  <si>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</si>
  <si>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</si>
  <si>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</si>
  <si>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</si>
  <si>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</si>
  <si>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</si>
  <si>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</si>
  <si>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</si>
  <si>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</si>
  <si>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</si>
  <si>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</si>
  <si>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</si>
  <si>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</si>
  <si>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</si>
  <si>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</si>
  <si>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</si>
  <si>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</si>
  <si>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</si>
  <si>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</si>
  <si>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</si>
  <si>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</si>
  <si>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</si>
  <si>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</si>
  <si>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</si>
  <si>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</si>
  <si>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</si>
  <si>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</si>
  <si>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</si>
  <si>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</si>
  <si>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</si>
  <si>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</si>
  <si>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</si>
  <si>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</si>
  <si>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</si>
  <si>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</si>
  <si>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</si>
  <si>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</si>
  <si>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</si>
  <si>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</si>
  <si>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</si>
  <si>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</si>
  <si>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</si>
  <si>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</si>
  <si>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</si>
  <si>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</si>
  <si>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</si>
  <si>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</si>
  <si>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</si>
  <si>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</si>
  <si>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</si>
  <si>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</si>
  <si>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</si>
  <si>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</si>
  <si>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</si>
  <si>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</si>
  <si>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</si>
  <si>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</si>
  <si>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</si>
  <si>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</si>
  <si>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</si>
  <si>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</si>
  <si>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</si>
  <si>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</si>
  <si>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</si>
  <si>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</si>
  <si>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</si>
  <si>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</si>
  <si>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</si>
  <si>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</si>
  <si>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</si>
  <si>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</si>
  <si>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</si>
  <si>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</si>
  <si>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</si>
  <si>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</si>
  <si>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</si>
  <si>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</si>
  <si>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</si>
  <si>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</si>
  <si>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</si>
  <si>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</si>
  <si>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</si>
  <si>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</si>
  <si>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</si>
  <si>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</si>
  <si>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</si>
  <si>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</si>
  <si>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</si>
  <si>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</si>
  <si>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</si>
  <si>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</si>
  <si>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</si>
  <si>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</si>
  <si>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</si>
  <si>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</si>
  <si>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</si>
  <si>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</si>
  <si>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</si>
  <si>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</si>
  <si>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</si>
  <si>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</si>
  <si>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</si>
  <si>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</si>
  <si>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</si>
  <si>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</si>
  <si>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</si>
  <si>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</si>
  <si>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</si>
  <si>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</si>
  <si>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</si>
  <si>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</si>
  <si>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</si>
  <si>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</si>
  <si>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</si>
  <si>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</si>
  <si>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</si>
  <si>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</si>
  <si>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</si>
  <si>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</si>
  <si>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</si>
  <si>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</si>
  <si>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</si>
  <si>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</si>
  <si>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</si>
  <si>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</si>
  <si>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</si>
  <si>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</si>
  <si>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</si>
  <si>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</si>
  <si>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</si>
  <si>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</si>
  <si>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</si>
  <si>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</si>
  <si>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</si>
  <si>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</si>
  <si>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</si>
  <si>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</si>
  <si>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</si>
  <si>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</si>
  <si>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</si>
  <si>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</si>
  <si>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</si>
  <si>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</si>
  <si>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</si>
  <si>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</si>
  <si>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</si>
  <si>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</si>
  <si>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</si>
  <si>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</si>
  <si>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</si>
  <si>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</si>
  <si>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</si>
  <si>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</si>
  <si>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</si>
  <si>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</si>
  <si>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</si>
  <si>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</si>
  <si>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</si>
  <si>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</si>
  <si>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</si>
  <si>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</si>
  <si>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</si>
  <si>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</si>
  <si>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</si>
  <si>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</si>
  <si>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</si>
  <si>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</si>
  <si>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</si>
  <si>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</si>
  <si>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</si>
  <si>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</si>
  <si>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</si>
  <si>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</si>
  <si>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</si>
  <si>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</si>
  <si>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</si>
  <si>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</si>
  <si>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</si>
  <si>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</si>
  <si>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</si>
  <si>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</si>
  <si>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</si>
  <si>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</si>
  <si>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</si>
  <si>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</si>
  <si>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</si>
  <si>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</si>
  <si>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</si>
  <si>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</si>
  <si>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</si>
  <si>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</si>
  <si>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</si>
  <si>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</si>
  <si>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</si>
  <si>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</si>
  <si>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</si>
  <si>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</si>
  <si>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</si>
  <si>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</si>
  <si>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</si>
  <si>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</si>
  <si>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</si>
  <si>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</si>
  <si>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</si>
  <si>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</si>
  <si>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</si>
  <si>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</si>
  <si>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</si>
  <si>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</si>
  <si>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</si>
  <si>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</si>
  <si>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</si>
  <si>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</si>
  <si>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</si>
  <si>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</si>
  <si>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</si>
  <si>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</si>
  <si>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</si>
  <si>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</si>
  <si>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</si>
  <si>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</si>
  <si>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</si>
  <si>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</si>
  <si>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</si>
  <si>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</si>
  <si>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</si>
  <si>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</si>
  <si>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</si>
  <si>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</si>
  <si>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</si>
  <si>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</si>
  <si>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</si>
  <si>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</si>
  <si>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</si>
  <si>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</si>
  <si>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</si>
  <si>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</si>
  <si>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</si>
  <si>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</si>
  <si>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</si>
  <si>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OREB</t>
  </si>
  <si>
    <t>DREB</t>
  </si>
  <si>
    <t>TREB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</si>
  <si>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</si>
  <si>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</si>
  <si>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</si>
  <si>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</si>
  <si>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</si>
  <si>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</si>
  <si>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</si>
  <si>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</si>
  <si>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</si>
  <si>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</si>
  <si>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</si>
  <si>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</si>
  <si>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</si>
  <si>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</si>
  <si>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</si>
  <si>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</si>
  <si>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</si>
  <si>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</si>
  <si>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Dwayne</t>
  </si>
  <si>
    <t>Brekkott</t>
  </si>
  <si>
    <t>TOV</t>
  </si>
  <si>
    <t>BLK</t>
  </si>
  <si>
    <t>AST</t>
  </si>
  <si>
    <t xml:space="preserve"> </t>
  </si>
  <si>
    <t>Heiden</t>
  </si>
  <si>
    <t>Brigham</t>
  </si>
  <si>
    <t>Batemen</t>
  </si>
  <si>
    <t>Farre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</si>
</sst>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topLeftCell="B12" workbookViewId="0">
      <selection activeCell="G34" sqref="G34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7</v>
      </c>
      <c r="F1" t="s">
        <v>3</v>
      </c>
      <c r="G1" t="str">
        <f>'Stats G1'!B3</f>
        <v>Arok</v>
      </c>
    </row>
    <row r="2" spans="2:15" x14ac:dyDescent="0.2">
      <c r="B2" t="str">
        <f>G1</f>
        <v>Arok</v>
      </c>
      <c r="D2" t="str">
        <f>G20</f>
        <v>Dastrop</v>
      </c>
      <c r="F2" t="s">
        <v>1</v>
      </c>
      <c r="G2" t="s">
        <v>2</v>
      </c>
      <c r="H2" t="s">
        <v>0</v>
      </c>
      <c r="I2" t="s">
        <v>245</v>
      </c>
      <c r="J2" t="s">
        <v>246</v>
      </c>
      <c r="K2" t="s">
        <v>247</v>
      </c>
      <c r="L2" t="s">
        <v>244</v>
      </c>
      <c r="M2" t="s">
        <v>270</v>
      </c>
      <c r="N2" t="s">
        <v>268</v>
      </c>
      <c r="O2" t="s">
        <v>269</v>
      </c>
    </row>
    <row r="3" spans="2:15" x14ac:dyDescent="0.2">
      <c r="B3">
        <f>I18</f>
        <v>15</v>
      </c>
      <c r="C3" s="3" t="s">
        <v>6</v>
      </c>
      <c r="D3" s="4">
        <f>I37</f>
        <v>10</v>
      </c>
      <c r="F3" t="str">
        <f>'Stats G1'!A5</f>
        <v>Dillon</v>
      </c>
      <c r="G3" t="str">
        <f>'Stats G1'!B5</f>
        <v>Jones</v>
      </c>
      <c r="H3">
        <f>'Stats G1'!C5</f>
        <v>1</v>
      </c>
      <c r="I3">
        <f>'Stats G1'!E5</f>
        <v>0</v>
      </c>
      <c r="J3">
        <f>'Stats G1'!H5</f>
        <v>0</v>
      </c>
      <c r="K3">
        <f>J3+I3</f>
        <v>0</v>
      </c>
      <c r="L3">
        <f>'Stats G1'!K5</f>
        <v>0</v>
      </c>
      <c r="M3">
        <f>'Stats G1'!N5</f>
        <v>0</v>
      </c>
      <c r="N3">
        <f>'Stats G1'!Q5</f>
        <v>0</v>
      </c>
      <c r="O3">
        <f>'Stats G1'!T5</f>
        <v>0</v>
      </c>
    </row>
    <row r="4" spans="2:15" x14ac:dyDescent="0.2">
      <c r="F4" t="str">
        <f>'Stats G1'!A6</f>
        <v>Mark</v>
      </c>
      <c r="G4" t="str">
        <f>'Stats G1'!B6</f>
        <v>Burton</v>
      </c>
      <c r="H4">
        <f>'Stats G1'!C6</f>
        <v>3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0</v>
      </c>
      <c r="M4">
        <f>'Stats G1'!N6</f>
        <v>0</v>
      </c>
      <c r="N4">
        <f>'Stats G1'!Q6</f>
        <v>0</v>
      </c>
      <c r="O4">
        <f>'Stats G1'!T6</f>
        <v>0</v>
      </c>
    </row>
    <row r="5" spans="2:15" x14ac:dyDescent="0.2">
      <c r="F5" t="str">
        <f>'Stats G1'!A7</f>
        <v>Zach</v>
      </c>
      <c r="G5" t="str">
        <f>'Stats G1'!B7</f>
        <v>Mogbo</v>
      </c>
      <c r="H5">
        <f>'Stats G1'!C7</f>
        <v>4</v>
      </c>
      <c r="I5">
        <f>'Stats G1'!E7</f>
        <v>1</v>
      </c>
      <c r="J5">
        <f>'Stats G1'!H7</f>
        <v>7</v>
      </c>
      <c r="K5">
        <f t="shared" si="0"/>
        <v>8</v>
      </c>
      <c r="L5">
        <f>'Stats G1'!K7</f>
        <v>1</v>
      </c>
      <c r="M5">
        <f>'Stats G1'!N7</f>
        <v>3</v>
      </c>
      <c r="N5">
        <f>'Stats G1'!Q7</f>
        <v>2</v>
      </c>
      <c r="O5">
        <f>'Stats G1'!T7</f>
        <v>0</v>
      </c>
    </row>
    <row r="6" spans="2:15" x14ac:dyDescent="0.2">
      <c r="F6" t="str">
        <f>'Stats G1'!A8</f>
        <v>Deng</v>
      </c>
      <c r="G6" t="str">
        <f>'Stats G1'!B8</f>
        <v>Mayar</v>
      </c>
      <c r="H6">
        <f>'Stats G1'!C8</f>
        <v>5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  <c r="N6">
        <f>'Stats G1'!Q8</f>
        <v>0</v>
      </c>
      <c r="O6">
        <f>'Stats G1'!T8</f>
        <v>0</v>
      </c>
    </row>
    <row r="7" spans="2:15" x14ac:dyDescent="0.2">
      <c r="F7" t="str">
        <f>'Stats G1'!A9</f>
        <v>Zach</v>
      </c>
      <c r="G7" t="str">
        <f>'Stats G1'!B9</f>
        <v>Cassita</v>
      </c>
      <c r="H7">
        <f>'Stats G1'!C9</f>
        <v>6</v>
      </c>
      <c r="I7">
        <f>'Stats G1'!E9</f>
        <v>2</v>
      </c>
      <c r="J7">
        <f>'Stats G1'!H9</f>
        <v>8</v>
      </c>
      <c r="K7">
        <f t="shared" si="0"/>
        <v>10</v>
      </c>
      <c r="L7">
        <f>'Stats G1'!K9</f>
        <v>1</v>
      </c>
      <c r="M7">
        <f>'Stats G1'!N9</f>
        <v>6</v>
      </c>
      <c r="N7">
        <f>'Stats G1'!Q9</f>
        <v>5</v>
      </c>
      <c r="O7">
        <f>'Stats G1'!T9</f>
        <v>0</v>
      </c>
    </row>
    <row r="8" spans="2:15" x14ac:dyDescent="0.2">
      <c r="F8" t="str">
        <f>'Stats G1'!A10</f>
        <v>Zues</v>
      </c>
      <c r="G8" t="str">
        <f>'Stats G1'!B10</f>
        <v>Martinez</v>
      </c>
      <c r="H8">
        <f>'Stats G1'!C10</f>
        <v>7</v>
      </c>
      <c r="I8">
        <f>'Stats G1'!E10</f>
        <v>1</v>
      </c>
      <c r="J8">
        <f>'Stats G1'!H10</f>
        <v>5</v>
      </c>
      <c r="K8">
        <f t="shared" si="0"/>
        <v>6</v>
      </c>
      <c r="L8">
        <f>'Stats G1'!K10</f>
        <v>1</v>
      </c>
      <c r="M8">
        <f>'Stats G1'!N10</f>
        <v>6</v>
      </c>
      <c r="N8">
        <f>'Stats G1'!Q10</f>
        <v>4</v>
      </c>
      <c r="O8">
        <f>'Stats G1'!T10</f>
        <v>0</v>
      </c>
    </row>
    <row r="9" spans="2:15" x14ac:dyDescent="0.2">
      <c r="F9" t="str">
        <f>'Stats G1'!A11</f>
        <v>Dom</v>
      </c>
      <c r="G9" t="str">
        <f>'Stats G1'!B11</f>
        <v>Philip</v>
      </c>
      <c r="H9">
        <f>'Stats G1'!C11</f>
        <v>8</v>
      </c>
      <c r="I9">
        <f>'Stats G1'!E11</f>
        <v>0</v>
      </c>
      <c r="J9">
        <f>'Stats G1'!H11</f>
        <v>0</v>
      </c>
      <c r="K9">
        <f t="shared" si="0"/>
        <v>0</v>
      </c>
      <c r="L9">
        <f>'Stats G1'!K11</f>
        <v>0</v>
      </c>
      <c r="M9">
        <f>'Stats G1'!N11</f>
        <v>0</v>
      </c>
      <c r="N9">
        <f>'Stats G1'!Q11</f>
        <v>0</v>
      </c>
      <c r="O9">
        <f>'Stats G1'!T11</f>
        <v>0</v>
      </c>
    </row>
    <row r="10" spans="2:15" x14ac:dyDescent="0.2">
      <c r="F10" t="str">
        <f>'Stats G1'!A12</f>
        <v>Gerad</v>
      </c>
      <c r="G10" t="str">
        <f>'Stats G1'!B12</f>
        <v>David</v>
      </c>
      <c r="H10">
        <f>'Stats G1'!C12</f>
        <v>14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G1'!K12</f>
        <v>0</v>
      </c>
      <c r="M10">
        <f>'Stats G1'!N12</f>
        <v>0</v>
      </c>
      <c r="N10">
        <f>'Stats G1'!Q12</f>
        <v>0</v>
      </c>
      <c r="O10">
        <f>'Stats G1'!T12</f>
        <v>0</v>
      </c>
    </row>
    <row r="11" spans="2:15" x14ac:dyDescent="0.2">
      <c r="F11" t="str">
        <f>'Stats G1'!A13</f>
        <v>Trigga</v>
      </c>
      <c r="G11" t="str">
        <f>'Stats G1'!B13</f>
        <v>Trei</v>
      </c>
      <c r="H11">
        <f>'Stats G1'!C13</f>
        <v>17</v>
      </c>
      <c r="I11">
        <f>'Stats G1'!E13</f>
        <v>0</v>
      </c>
      <c r="J11">
        <f>'Stats G1'!H13</f>
        <v>0</v>
      </c>
      <c r="K11">
        <f t="shared" si="0"/>
        <v>0</v>
      </c>
      <c r="L11">
        <f>'Stats G1'!K13</f>
        <v>0</v>
      </c>
      <c r="M11">
        <f>'Stats G1'!N13</f>
        <v>0</v>
      </c>
      <c r="N11">
        <f>'Stats G1'!Q13</f>
        <v>0</v>
      </c>
      <c r="O11">
        <f>'Stats G1'!T13</f>
        <v>0</v>
      </c>
    </row>
    <row r="12" spans="2:15" x14ac:dyDescent="0.2">
      <c r="F12" t="str">
        <f>'Stats G1'!A14</f>
        <v>Lual</v>
      </c>
      <c r="G12" t="str">
        <f>'Stats G1'!B14</f>
        <v>Arok</v>
      </c>
      <c r="H12">
        <f>'Stats G1'!C14</f>
        <v>20</v>
      </c>
      <c r="I12">
        <f>'Stats G1'!E14</f>
        <v>1</v>
      </c>
      <c r="J12">
        <f>'Stats G1'!H14</f>
        <v>4</v>
      </c>
      <c r="K12">
        <f t="shared" si="0"/>
        <v>5</v>
      </c>
      <c r="L12">
        <f>'Stats G1'!K14</f>
        <v>1</v>
      </c>
      <c r="M12">
        <f>'Stats G1'!N14</f>
        <v>2</v>
      </c>
      <c r="N12">
        <f>'Stats G1'!Q14</f>
        <v>2</v>
      </c>
      <c r="O12">
        <f>'Stats G1'!T14</f>
        <v>2</v>
      </c>
    </row>
    <row r="13" spans="2:15" x14ac:dyDescent="0.2">
      <c r="F13" t="str">
        <f>'Stats G1'!A15</f>
        <v>Jackson</v>
      </c>
      <c r="G13" t="str">
        <f>'Stats G1'!B15</f>
        <v>Heiden</v>
      </c>
      <c r="H13">
        <f>'Stats G1'!C15</f>
        <v>24</v>
      </c>
      <c r="I13">
        <f>'Stats G1'!E15</f>
        <v>2</v>
      </c>
      <c r="J13">
        <f>'Stats G1'!H15</f>
        <v>2</v>
      </c>
      <c r="K13">
        <f t="shared" si="0"/>
        <v>4</v>
      </c>
      <c r="L13">
        <f>'Stats G1'!K15</f>
        <v>2</v>
      </c>
      <c r="M13">
        <f>'Stats G1'!N15</f>
        <v>2</v>
      </c>
      <c r="N13">
        <f>'Stats G1'!Q15</f>
        <v>0</v>
      </c>
      <c r="O13">
        <f>'Stats G1'!T15</f>
        <v>1</v>
      </c>
    </row>
    <row r="14" spans="2:15" x14ac:dyDescent="0.2">
      <c r="F14" t="str">
        <f>'Stats G1'!A16</f>
        <v>Both</v>
      </c>
      <c r="G14" t="str">
        <f>'Stats G1'!B16</f>
        <v>Gach</v>
      </c>
      <c r="H14">
        <f>'Stats G1'!C16</f>
        <v>11</v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G1'!K16</f>
        <v>0</v>
      </c>
      <c r="M14">
        <f>'Stats G1'!N16</f>
        <v>0</v>
      </c>
      <c r="N14">
        <f>'Stats G1'!Q16</f>
        <v>0</v>
      </c>
      <c r="O14">
        <f>'Stats G1'!T16</f>
        <v>0</v>
      </c>
    </row>
    <row r="15" spans="2:15" x14ac:dyDescent="0.2">
      <c r="F15" t="str">
        <f>'Stats G1'!A17</f>
        <v>Makol</v>
      </c>
      <c r="G15" t="str">
        <f>'Stats G1'!B17</f>
        <v>Mawien</v>
      </c>
      <c r="H15">
        <f>'Stats G1'!C17</f>
        <v>35</v>
      </c>
      <c r="I15">
        <f>'Stats G1'!E17</f>
        <v>7</v>
      </c>
      <c r="J15">
        <f>'Stats G1'!H17</f>
        <v>11</v>
      </c>
      <c r="K15">
        <f t="shared" si="0"/>
        <v>18</v>
      </c>
      <c r="L15">
        <f>'Stats G1'!K17</f>
        <v>1</v>
      </c>
      <c r="M15">
        <f>'Stats G1'!N17</f>
        <v>1</v>
      </c>
      <c r="N15">
        <f>'Stats G1'!Q17</f>
        <v>5</v>
      </c>
      <c r="O15">
        <f>'Stats G1'!T17</f>
        <v>1</v>
      </c>
    </row>
    <row r="16" spans="2:15" x14ac:dyDescent="0.2">
      <c r="F16" t="str">
        <f>'Stats G1'!A18</f>
        <v>CJ</v>
      </c>
      <c r="G16" t="str">
        <f>'Stats G1'!B18</f>
        <v>Rodriquez</v>
      </c>
      <c r="H16">
        <f>'Stats G1'!C18</f>
        <v>55</v>
      </c>
      <c r="I16">
        <f>'Stats G1'!E18</f>
        <v>1</v>
      </c>
      <c r="J16">
        <f>'Stats G1'!H18</f>
        <v>1</v>
      </c>
      <c r="K16">
        <f t="shared" si="0"/>
        <v>2</v>
      </c>
      <c r="L16">
        <f>'Stats G1'!K18</f>
        <v>3</v>
      </c>
      <c r="M16">
        <f>'Stats G1'!N18</f>
        <v>4</v>
      </c>
      <c r="N16">
        <f>'Stats G1'!Q18</f>
        <v>0</v>
      </c>
      <c r="O16">
        <f>'Stats G1'!T18</f>
        <v>0</v>
      </c>
    </row>
    <row r="17" spans="6:15" x14ac:dyDescent="0.2">
      <c r="F17" t="s">
        <v>94</v>
      </c>
      <c r="G17" t="s">
        <v>95</v>
      </c>
      <c r="H17">
        <v>4</v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  <c r="N17">
        <f>'Stats G1'!Q19</f>
        <v>0</v>
      </c>
      <c r="O17">
        <f>'Stats G1'!T19</f>
        <v>0</v>
      </c>
    </row>
    <row r="18" spans="6:15" x14ac:dyDescent="0.2">
      <c r="H18" s="2" t="s">
        <v>5</v>
      </c>
      <c r="I18">
        <f t="shared" ref="I18:O18" si="1">SUM(I3:I17)</f>
        <v>15</v>
      </c>
      <c r="J18">
        <f t="shared" si="1"/>
        <v>38</v>
      </c>
      <c r="K18">
        <f t="shared" si="1"/>
        <v>53</v>
      </c>
      <c r="L18">
        <f t="shared" si="1"/>
        <v>10</v>
      </c>
      <c r="M18">
        <f t="shared" si="1"/>
        <v>24</v>
      </c>
      <c r="N18">
        <f t="shared" si="1"/>
        <v>18</v>
      </c>
      <c r="O18">
        <f t="shared" si="1"/>
        <v>4</v>
      </c>
    </row>
    <row r="20" spans="6:15" x14ac:dyDescent="0.2">
      <c r="F20" t="s">
        <v>4</v>
      </c>
      <c r="G20" t="str">
        <f>'Stats G1'!B21</f>
        <v>Dastrop</v>
      </c>
    </row>
    <row r="21" spans="6:15" x14ac:dyDescent="0.2">
      <c r="F21" t="s">
        <v>1</v>
      </c>
      <c r="G21" t="s">
        <v>2</v>
      </c>
      <c r="H21" t="s">
        <v>0</v>
      </c>
      <c r="I21" t="s">
        <v>245</v>
      </c>
      <c r="J21" t="s">
        <v>246</v>
      </c>
      <c r="K21" t="s">
        <v>247</v>
      </c>
      <c r="L21" t="s">
        <v>244</v>
      </c>
      <c r="M21" t="s">
        <v>270</v>
      </c>
      <c r="N21" t="s">
        <v>268</v>
      </c>
      <c r="O21" t="s">
        <v>269</v>
      </c>
    </row>
    <row r="22" spans="6:15" x14ac:dyDescent="0.2">
      <c r="F22" t="str">
        <f>'Stats G1'!A23</f>
        <v>Taylor</v>
      </c>
      <c r="G22" t="str">
        <f>'Stats G1'!B23</f>
        <v>Miller</v>
      </c>
      <c r="H22">
        <f>'Stats G1'!C23</f>
        <v>0</v>
      </c>
      <c r="I22">
        <f>'Stats G1'!E23</f>
        <v>1</v>
      </c>
      <c r="J22">
        <f>'Stats G1'!H23</f>
        <v>8</v>
      </c>
      <c r="K22">
        <f>J22+I22</f>
        <v>9</v>
      </c>
      <c r="L22">
        <f>'Stats G1'!K23</f>
        <v>4</v>
      </c>
      <c r="M22">
        <f>'Stats G1'!N23</f>
        <v>10</v>
      </c>
      <c r="N22">
        <f>'Stats G1'!Q23</f>
        <v>2</v>
      </c>
      <c r="O22">
        <f>'Stats G1'!T23</f>
        <v>0</v>
      </c>
    </row>
    <row r="23" spans="6:15" x14ac:dyDescent="0.2">
      <c r="F23" t="str">
        <f>'Stats G1'!A24</f>
        <v>Cory</v>
      </c>
      <c r="G23" t="str">
        <f>'Stats G1'!B24</f>
        <v>Calvert</v>
      </c>
      <c r="H23">
        <f>'Stats G1'!C24</f>
        <v>3</v>
      </c>
      <c r="I23">
        <f>'Stats G1'!E24</f>
        <v>2</v>
      </c>
      <c r="J23">
        <f>'Stats G1'!H24</f>
        <v>4</v>
      </c>
      <c r="K23">
        <f t="shared" ref="K23:K36" si="2">J23+I23</f>
        <v>6</v>
      </c>
      <c r="L23">
        <f>'Stats G1'!K24</f>
        <v>1</v>
      </c>
      <c r="M23">
        <f>'Stats G1'!N24</f>
        <v>4</v>
      </c>
      <c r="N23">
        <f>'Stats G1'!Q24</f>
        <v>2</v>
      </c>
      <c r="O23">
        <f>'Stats G1'!T24</f>
        <v>0</v>
      </c>
    </row>
    <row r="24" spans="6:15" x14ac:dyDescent="0.2">
      <c r="F24" t="str">
        <f>'Stats G1'!A25</f>
        <v>Jordan</v>
      </c>
      <c r="G24" t="str">
        <f>'Stats G1'!B25</f>
        <v>Gazdik</v>
      </c>
      <c r="H24">
        <f>'Stats G1'!C25</f>
        <v>2</v>
      </c>
      <c r="I24">
        <f>'Stats G1'!E25</f>
        <v>0</v>
      </c>
      <c r="J24">
        <f>'Stats G1'!H25</f>
        <v>0</v>
      </c>
      <c r="K24">
        <f t="shared" si="2"/>
        <v>0</v>
      </c>
      <c r="L24">
        <f>'Stats G1'!K25</f>
        <v>0</v>
      </c>
      <c r="M24">
        <f>'Stats G1'!N25</f>
        <v>0</v>
      </c>
      <c r="N24">
        <f>'Stats G1'!Q25</f>
        <v>0</v>
      </c>
      <c r="O24">
        <f>'Stats G1'!T25</f>
        <v>0</v>
      </c>
    </row>
    <row r="25" spans="6:15" x14ac:dyDescent="0.2">
      <c r="F25" t="str">
        <f>'Stats G1'!A26</f>
        <v>Trey</v>
      </c>
      <c r="G25" t="str">
        <f>'Stats G1'!B26</f>
        <v>Farre</v>
      </c>
      <c r="H25">
        <f>'Stats G1'!C26</f>
        <v>3</v>
      </c>
      <c r="I25">
        <f>'Stats G1'!E26</f>
        <v>1</v>
      </c>
      <c r="J25">
        <f>'Stats G1'!H26</f>
        <v>4</v>
      </c>
      <c r="K25">
        <f t="shared" si="2"/>
        <v>5</v>
      </c>
      <c r="L25">
        <f>'Stats G1'!K26</f>
        <v>2</v>
      </c>
      <c r="M25">
        <f>'Stats G1'!N26</f>
        <v>2</v>
      </c>
      <c r="N25">
        <f>'Stats G1'!Q26</f>
        <v>2</v>
      </c>
      <c r="O25">
        <f>'Stats G1'!T26</f>
        <v>2</v>
      </c>
    </row>
    <row r="26" spans="6:15" x14ac:dyDescent="0.2">
      <c r="F26" t="str">
        <f>'Stats G1'!A27</f>
        <v>Chris</v>
      </c>
      <c r="G26" t="str">
        <f>'Stats G1'!B27</f>
        <v>Seeley</v>
      </c>
      <c r="H26">
        <f>'Stats G1'!C27</f>
        <v>4</v>
      </c>
      <c r="I26">
        <f>'Stats G1'!E27</f>
        <v>0</v>
      </c>
      <c r="J26">
        <f>'Stats G1'!H27</f>
        <v>0</v>
      </c>
      <c r="K26">
        <f t="shared" si="2"/>
        <v>0</v>
      </c>
      <c r="L26">
        <f>'Stats G1'!K27</f>
        <v>0</v>
      </c>
      <c r="M26">
        <f>'Stats G1'!N27</f>
        <v>0</v>
      </c>
      <c r="N26">
        <f>'Stats G1'!Q27</f>
        <v>0</v>
      </c>
      <c r="O26">
        <f>'Stats G1'!T27</f>
        <v>0</v>
      </c>
    </row>
    <row r="27" spans="6:15" x14ac:dyDescent="0.2">
      <c r="F27" t="str">
        <f>'Stats G1'!A28</f>
        <v>Kylor</v>
      </c>
      <c r="G27" t="str">
        <f>'Stats G1'!B28</f>
        <v>Kelley</v>
      </c>
      <c r="H27">
        <f>'Stats G1'!C28</f>
        <v>6</v>
      </c>
      <c r="I27">
        <f>'Stats G1'!E28</f>
        <v>0</v>
      </c>
      <c r="J27">
        <f>'Stats G1'!H28</f>
        <v>0</v>
      </c>
      <c r="K27">
        <f t="shared" si="2"/>
        <v>0</v>
      </c>
      <c r="L27">
        <f>'Stats G1'!K28</f>
        <v>0</v>
      </c>
      <c r="M27">
        <f>'Stats G1'!N28</f>
        <v>0</v>
      </c>
      <c r="N27">
        <f>'Stats G1'!Q28</f>
        <v>0</v>
      </c>
      <c r="O27">
        <f>'Stats G1'!T28</f>
        <v>0</v>
      </c>
    </row>
    <row r="28" spans="6:15" x14ac:dyDescent="0.2">
      <c r="F28" t="str">
        <f>'Stats G1'!A29</f>
        <v>Hunter</v>
      </c>
      <c r="G28" t="str">
        <f>'Stats G1'!B29</f>
        <v>Erickson</v>
      </c>
      <c r="H28">
        <f>'Stats G1'!C29</f>
        <v>10</v>
      </c>
      <c r="I28">
        <f>'Stats G1'!E29</f>
        <v>4</v>
      </c>
      <c r="J28">
        <f>'Stats G1'!H29</f>
        <v>10</v>
      </c>
      <c r="K28">
        <f t="shared" si="2"/>
        <v>14</v>
      </c>
      <c r="L28">
        <f>'Stats G1'!K29</f>
        <v>0</v>
      </c>
      <c r="M28">
        <f>'Stats G1'!N29</f>
        <v>6</v>
      </c>
      <c r="N28">
        <f>'Stats G1'!Q29</f>
        <v>4</v>
      </c>
      <c r="O28">
        <f>'Stats G1'!T29</f>
        <v>1</v>
      </c>
    </row>
    <row r="29" spans="6:15" x14ac:dyDescent="0.2">
      <c r="F29" t="str">
        <f>'Stats G1'!A30</f>
        <v>Sedrick</v>
      </c>
      <c r="G29" t="str">
        <f>'Stats G1'!B30</f>
        <v>Barefield</v>
      </c>
      <c r="H29">
        <f>'Stats G1'!C30</f>
        <v>11</v>
      </c>
      <c r="I29">
        <f>'Stats G1'!E30</f>
        <v>0</v>
      </c>
      <c r="J29">
        <f>'Stats G1'!H30</f>
        <v>0</v>
      </c>
      <c r="K29">
        <f t="shared" si="2"/>
        <v>0</v>
      </c>
      <c r="L29">
        <f>'Stats G1'!K30</f>
        <v>0</v>
      </c>
      <c r="M29">
        <f>'Stats G1'!N30</f>
        <v>0</v>
      </c>
      <c r="N29">
        <f>'Stats G1'!Q30</f>
        <v>0</v>
      </c>
      <c r="O29">
        <f>'Stats G1'!T30</f>
        <v>0</v>
      </c>
    </row>
    <row r="30" spans="6:15" x14ac:dyDescent="0.2">
      <c r="F30" t="str">
        <f>'Stats G1'!A31</f>
        <v>Mckay</v>
      </c>
      <c r="G30" t="str">
        <f>'Stats G1'!B31</f>
        <v>Johnson</v>
      </c>
      <c r="H30">
        <f>'Stats G1'!C31</f>
        <v>13</v>
      </c>
      <c r="I30">
        <f>'Stats G1'!E31</f>
        <v>2</v>
      </c>
      <c r="J30">
        <f>'Stats G1'!H31</f>
        <v>2</v>
      </c>
      <c r="K30">
        <f t="shared" si="2"/>
        <v>4</v>
      </c>
      <c r="L30">
        <f>'Stats G1'!K31</f>
        <v>1</v>
      </c>
      <c r="M30">
        <f>'Stats G1'!N31</f>
        <v>1</v>
      </c>
      <c r="N30">
        <f>'Stats G1'!Q31</f>
        <v>1</v>
      </c>
      <c r="O30">
        <f>'Stats G1'!T31</f>
        <v>0</v>
      </c>
    </row>
    <row r="31" spans="6:15" x14ac:dyDescent="0.2">
      <c r="F31" t="str">
        <f>'Stats G1'!A32</f>
        <v>Khalil</v>
      </c>
      <c r="G31" t="str">
        <f>'Stats G1'!B32</f>
        <v>Ahmad</v>
      </c>
      <c r="H31">
        <f>'Stats G1'!C32</f>
        <v>14</v>
      </c>
      <c r="I31">
        <f>'Stats G1'!E32</f>
        <v>0</v>
      </c>
      <c r="J31">
        <f>'Stats G1'!H32</f>
        <v>0</v>
      </c>
      <c r="K31">
        <f t="shared" si="2"/>
        <v>0</v>
      </c>
      <c r="L31">
        <f>'Stats G1'!K32</f>
        <v>0</v>
      </c>
      <c r="M31">
        <f>'Stats G1'!N32</f>
        <v>0</v>
      </c>
      <c r="N31">
        <f>'Stats G1'!Q32</f>
        <v>0</v>
      </c>
      <c r="O31">
        <f>'Stats G1'!T32</f>
        <v>0</v>
      </c>
    </row>
    <row r="32" spans="6:15" x14ac:dyDescent="0.2">
      <c r="F32" t="str">
        <f>'Stats G1'!A33</f>
        <v>Payton</v>
      </c>
      <c r="G32" t="str">
        <f>'Stats G1'!B33</f>
        <v>Dastrop</v>
      </c>
      <c r="H32">
        <f>'Stats G1'!C33</f>
        <v>15</v>
      </c>
      <c r="I32">
        <f>'Stats G1'!E33</f>
        <v>0</v>
      </c>
      <c r="J32">
        <f>'Stats G1'!H33</f>
        <v>5</v>
      </c>
      <c r="K32">
        <f t="shared" si="2"/>
        <v>5</v>
      </c>
      <c r="L32">
        <f>'Stats G1'!K33</f>
        <v>1</v>
      </c>
      <c r="M32">
        <f>'Stats G1'!N33</f>
        <v>2</v>
      </c>
      <c r="N32">
        <f>'Stats G1'!Q33</f>
        <v>2</v>
      </c>
      <c r="O32">
        <f>'Stats G1'!T33</f>
        <v>0</v>
      </c>
    </row>
    <row r="33" spans="6:15" x14ac:dyDescent="0.2">
      <c r="F33" t="str">
        <f>'Stats G1'!A34</f>
        <v>John</v>
      </c>
      <c r="G33" t="str">
        <f>'Stats G1'!B34</f>
        <v>Bennett</v>
      </c>
      <c r="H33">
        <f>'Stats G1'!C34</f>
        <v>22</v>
      </c>
      <c r="I33">
        <f>'Stats G1'!E34</f>
        <v>0</v>
      </c>
      <c r="J33">
        <f>'Stats G1'!H34</f>
        <v>0</v>
      </c>
      <c r="K33">
        <f t="shared" si="2"/>
        <v>0</v>
      </c>
      <c r="L33">
        <f>'Stats G1'!K34</f>
        <v>0</v>
      </c>
      <c r="M33">
        <f>'Stats G1'!N34</f>
        <v>0</v>
      </c>
      <c r="N33">
        <f>'Stats G1'!Q34</f>
        <v>0</v>
      </c>
      <c r="O33">
        <f>'Stats G1'!T34</f>
        <v>0</v>
      </c>
    </row>
    <row r="34" spans="6:15" x14ac:dyDescent="0.2">
      <c r="F34" t="s">
        <v>115</v>
      </c>
      <c r="G34" t="s">
        <v>116</v>
      </c>
      <c r="H34">
        <v>1</v>
      </c>
      <c r="I34">
        <f>'Stats G1'!E35</f>
        <v>0</v>
      </c>
      <c r="J34">
        <f>'Stats G1'!H35</f>
        <v>0</v>
      </c>
      <c r="K34">
        <f t="shared" si="2"/>
        <v>0</v>
      </c>
      <c r="L34">
        <f>'Stats G1'!K35</f>
        <v>0</v>
      </c>
      <c r="M34">
        <f>'Stats G1'!N35</f>
        <v>0</v>
      </c>
      <c r="N34">
        <f>'Stats G1'!Q35</f>
        <v>0</v>
      </c>
      <c r="O34">
        <f>'Stats G1'!T35</f>
        <v>0</v>
      </c>
    </row>
    <row r="35" spans="6:15" x14ac:dyDescent="0.2">
      <c r="F35" t="str">
        <f>'Stats G1'!A36</f>
        <v>Johnny</v>
      </c>
      <c r="G35" t="str">
        <f>'Stats G1'!B36</f>
        <v>Dupre</v>
      </c>
      <c r="H35">
        <f>'Stats G1'!C36</f>
        <v>41</v>
      </c>
      <c r="I35">
        <f>'Stats G1'!E36</f>
        <v>0</v>
      </c>
      <c r="J35">
        <f>'Stats G1'!H36</f>
        <v>2</v>
      </c>
      <c r="K35">
        <f t="shared" si="2"/>
        <v>2</v>
      </c>
      <c r="L35">
        <f>'Stats G1'!K36</f>
        <v>1</v>
      </c>
      <c r="M35">
        <f>'Stats G1'!N36</f>
        <v>0</v>
      </c>
      <c r="N35">
        <f>'Stats G1'!Q36</f>
        <v>1</v>
      </c>
      <c r="O35">
        <f>'Stats G1'!T36</f>
        <v>0</v>
      </c>
    </row>
    <row r="36" spans="6:15" x14ac:dyDescent="0.2">
      <c r="F36" t="str">
        <f>'Stats G1'!A37</f>
        <v>Brigham</v>
      </c>
      <c r="G36" t="str">
        <f>'Stats G1'!B37</f>
        <v>Batemen</v>
      </c>
      <c r="H36">
        <f>'Stats G1'!C37</f>
        <v>45</v>
      </c>
      <c r="I36">
        <f>'Stats G1'!E37</f>
        <v>0</v>
      </c>
      <c r="J36">
        <f>'Stats G1'!H37</f>
        <v>1</v>
      </c>
      <c r="K36">
        <f t="shared" si="2"/>
        <v>1</v>
      </c>
      <c r="L36">
        <f>'Stats G1'!K37</f>
        <v>1</v>
      </c>
      <c r="M36">
        <f>'Stats G1'!N37</f>
        <v>3</v>
      </c>
      <c r="N36">
        <f>'Stats G1'!Q37</f>
        <v>1</v>
      </c>
      <c r="O36">
        <f>'Stats G1'!T37</f>
        <v>0</v>
      </c>
    </row>
    <row r="37" spans="6:15" x14ac:dyDescent="0.2">
      <c r="H37" s="2" t="s">
        <v>5</v>
      </c>
      <c r="I37">
        <f t="shared" ref="I37:O37" si="3">SUM(I22:I36)</f>
        <v>10</v>
      </c>
      <c r="J37">
        <f t="shared" si="3"/>
        <v>36</v>
      </c>
      <c r="K37">
        <f t="shared" si="3"/>
        <v>46</v>
      </c>
      <c r="L37">
        <f t="shared" si="3"/>
        <v>11</v>
      </c>
      <c r="M37">
        <f t="shared" si="3"/>
        <v>28</v>
      </c>
      <c r="N37">
        <f t="shared" si="3"/>
        <v>15</v>
      </c>
      <c r="O37">
        <f t="shared" si="3"/>
        <v>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workbookViewId="0">
      <selection activeCell="B20" sqref="B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13</v>
      </c>
    </row>
    <row r="4" spans="1:21" x14ac:dyDescent="0.2">
      <c r="A4" t="s">
        <v>1</v>
      </c>
      <c r="B4" t="s">
        <v>2</v>
      </c>
      <c r="C4" t="s">
        <v>0</v>
      </c>
      <c r="E4" t="s">
        <v>245</v>
      </c>
      <c r="H4" t="s">
        <v>246</v>
      </c>
      <c r="K4" t="s">
        <v>244</v>
      </c>
      <c r="N4" t="s">
        <v>270</v>
      </c>
      <c r="Q4" t="s">
        <v>268</v>
      </c>
      <c r="T4" t="s">
        <v>269</v>
      </c>
    </row>
    <row r="5" spans="1:21" s="6" customFormat="1" x14ac:dyDescent="0.2">
      <c r="A5" s="5" t="str">
        <f>_xlfn.IFNA(VLOOKUP($B$3&amp;ROWS($A$5:A5),Rosters!$B$2:$C$162,2,0),"?")</f>
        <v>Dillon</v>
      </c>
      <c r="B5" s="5" t="str">
        <f>_xlfn.IFNA(VLOOKUP($B$3&amp;ROWS($B$5:B5),Rosters!$B$2:$D$162,3,0),"?")</f>
        <v>Jones</v>
      </c>
      <c r="C5" s="5">
        <f>_xlfn.IFNA(VLOOKUP($B$3&amp;ROWS($C$5:C5),Rosters!$B$2:$E$162,4,0),"")</f>
        <v>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Mark</v>
      </c>
      <c r="B6" s="6" t="str">
        <f>_xlfn.IFNA(VLOOKUP($B$3&amp;ROWS($B$5:B6),Rosters!$B$2:$D$162,3,0),"?")</f>
        <v>Burton</v>
      </c>
      <c r="C6" s="6">
        <f>_xlfn.IFNA(VLOOKUP($B$3&amp;ROWS($C$5:C6),Rosters!$B$2:$E$162,4,0),"")</f>
        <v>3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">
        <v>88</v>
      </c>
      <c r="B7" s="5" t="s">
        <v>173</v>
      </c>
      <c r="C7" s="5">
        <f>_xlfn.IFNA(VLOOKUP($B$3&amp;ROWS($C$5:C7),Rosters!$B$2:$E$162,4,0),"")</f>
        <v>4</v>
      </c>
      <c r="D7" s="5"/>
      <c r="E7" s="5">
        <v>1</v>
      </c>
      <c r="F7" s="5"/>
      <c r="G7" s="5"/>
      <c r="H7" s="5">
        <v>7</v>
      </c>
      <c r="I7" s="5"/>
      <c r="J7" s="5"/>
      <c r="K7" s="5">
        <v>1</v>
      </c>
      <c r="L7" s="5"/>
      <c r="M7" s="5"/>
      <c r="N7" s="5">
        <v>3</v>
      </c>
      <c r="O7" s="5"/>
      <c r="P7" s="5"/>
      <c r="Q7" s="5">
        <v>2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Deng</v>
      </c>
      <c r="B8" s="6" t="str">
        <f>_xlfn.IFNA(VLOOKUP($B$3&amp;ROWS($B$5:B8),Rosters!$B$2:$D$162,3,0),"?")</f>
        <v>Mayar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Zach</v>
      </c>
      <c r="B9" s="5" t="str">
        <f>_xlfn.IFNA(VLOOKUP($B$3&amp;ROWS($B$5:B9),Rosters!$B$2:$D$162,3,0),"?")</f>
        <v>Cassita</v>
      </c>
      <c r="C9" s="5">
        <f>_xlfn.IFNA(VLOOKUP($B$3&amp;ROWS($C$5:C9),Rosters!$B$2:$E$162,4,0),"")</f>
        <v>6</v>
      </c>
      <c r="D9" s="5"/>
      <c r="E9" s="5">
        <v>2</v>
      </c>
      <c r="F9" s="5"/>
      <c r="G9" s="5"/>
      <c r="H9" s="5">
        <v>8</v>
      </c>
      <c r="I9" s="5"/>
      <c r="J9" s="5"/>
      <c r="K9" s="5">
        <v>1</v>
      </c>
      <c r="L9" s="5"/>
      <c r="M9" s="5"/>
      <c r="N9" s="5">
        <v>6</v>
      </c>
      <c r="O9" s="5"/>
      <c r="P9" s="5"/>
      <c r="Q9" s="5">
        <v>5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Zues</v>
      </c>
      <c r="B10" s="6" t="str">
        <f>_xlfn.IFNA(VLOOKUP($B$3&amp;ROWS($B$5:B10),Rosters!$B$2:$D$162,3,0),"?")</f>
        <v>Martinez</v>
      </c>
      <c r="C10" s="6">
        <f>_xlfn.IFNA(VLOOKUP($B$3&amp;ROWS($C$5:C10),Rosters!$B$2:$E$162,4,0),"")</f>
        <v>7</v>
      </c>
      <c r="E10" s="6">
        <v>1</v>
      </c>
      <c r="H10" s="6">
        <v>5</v>
      </c>
      <c r="K10" s="6">
        <v>1</v>
      </c>
      <c r="N10" s="6">
        <v>6</v>
      </c>
      <c r="Q10" s="6">
        <v>4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Dom</v>
      </c>
      <c r="B11" s="5" t="str">
        <f>_xlfn.IFNA(VLOOKUP($B$3&amp;ROWS($B$5:B11),Rosters!$B$2:$D$162,3,0),"?")</f>
        <v>Philip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Gerad</v>
      </c>
      <c r="B12" s="6" t="str">
        <f>_xlfn.IFNA(VLOOKUP($B$3&amp;ROWS($B$5:B12),Rosters!$B$2:$D$162,3,0),"?")</f>
        <v>David</v>
      </c>
      <c r="C12" s="6">
        <f>_xlfn.IFNA(VLOOKUP($B$3&amp;ROWS($C$5:C12),Rosters!$B$2:$E$162,4,0),"")</f>
        <v>14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Trigga</v>
      </c>
      <c r="B13" s="5" t="str">
        <f>_xlfn.IFNA(VLOOKUP($B$3&amp;ROWS($B$5:B13),Rosters!$B$2:$D$162,3,0),"?")</f>
        <v>Trei</v>
      </c>
      <c r="C13" s="5">
        <f>_xlfn.IFNA(VLOOKUP($B$3&amp;ROWS($C$5:C13),Rosters!$B$2:$E$162,4,0),"")</f>
        <v>17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Lual</v>
      </c>
      <c r="B14" s="6" t="str">
        <f>_xlfn.IFNA(VLOOKUP($B$3&amp;ROWS($B$5:B14),Rosters!$B$2:$D$162,3,0),"?")</f>
        <v>Arok</v>
      </c>
      <c r="C14" s="6">
        <f>_xlfn.IFNA(VLOOKUP($B$3&amp;ROWS($C$5:C14),Rosters!$B$2:$E$162,4,0),"")</f>
        <v>20</v>
      </c>
      <c r="E14" s="6">
        <v>1</v>
      </c>
      <c r="H14" s="6">
        <v>4</v>
      </c>
      <c r="K14" s="6">
        <v>1</v>
      </c>
      <c r="N14" s="6">
        <v>2</v>
      </c>
      <c r="Q14" s="6">
        <v>2</v>
      </c>
      <c r="T14" s="6">
        <v>2</v>
      </c>
    </row>
    <row r="15" spans="1:21" s="6" customFormat="1" x14ac:dyDescent="0.2">
      <c r="A15" s="5" t="s">
        <v>138</v>
      </c>
      <c r="B15" s="5" t="s">
        <v>272</v>
      </c>
      <c r="C15" s="5">
        <f>_xlfn.IFNA(VLOOKUP($B$3&amp;ROWS($C$5:C15),Rosters!$B$2:$E$162,4,0),"")</f>
        <v>24</v>
      </c>
      <c r="D15" s="5"/>
      <c r="E15" s="5">
        <v>2</v>
      </c>
      <c r="F15" s="5"/>
      <c r="G15" s="5"/>
      <c r="H15" s="5">
        <v>2</v>
      </c>
      <c r="I15" s="5"/>
      <c r="J15" s="5"/>
      <c r="K15" s="5">
        <v>2</v>
      </c>
      <c r="L15" s="5"/>
      <c r="M15" s="5"/>
      <c r="N15" s="5">
        <v>2</v>
      </c>
      <c r="O15" s="5"/>
      <c r="P15" s="5"/>
      <c r="Q15" s="5">
        <v>0</v>
      </c>
      <c r="R15" s="5"/>
      <c r="S15" s="5"/>
      <c r="T15" s="5">
        <v>1</v>
      </c>
      <c r="U15" s="5"/>
    </row>
    <row r="16" spans="1:21" s="6" customFormat="1" x14ac:dyDescent="0.2">
      <c r="A16" s="6" t="str">
        <f>_xlfn.IFNA(VLOOKUP($B$3&amp;ROWS($A$5:A16),Rosters!$B$2:$C$162,2,0),"?")</f>
        <v>Both</v>
      </c>
      <c r="B16" s="6" t="str">
        <f>_xlfn.IFNA(VLOOKUP($B$3&amp;ROWS($B$5:B16),Rosters!$B$2:$D$162,3,0),"?")</f>
        <v>Gach</v>
      </c>
      <c r="C16" s="6">
        <f>_xlfn.IFNA(VLOOKUP($B$3&amp;ROWS($C$5:C16),Rosters!$B$2:$E$162,4,0),"")</f>
        <v>11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">
        <v>37</v>
      </c>
      <c r="B17" s="5" t="s">
        <v>38</v>
      </c>
      <c r="C17" s="5">
        <v>35</v>
      </c>
      <c r="D17" s="5"/>
      <c r="E17" s="5">
        <v>7</v>
      </c>
      <c r="F17" s="5"/>
      <c r="G17" s="5"/>
      <c r="H17" s="5">
        <v>11</v>
      </c>
      <c r="I17" s="5"/>
      <c r="J17" s="5"/>
      <c r="K17" s="5">
        <v>1</v>
      </c>
      <c r="L17" s="5"/>
      <c r="M17" s="5"/>
      <c r="N17" s="5">
        <v>1</v>
      </c>
      <c r="O17" s="5"/>
      <c r="P17" s="5"/>
      <c r="Q17" s="5">
        <v>5</v>
      </c>
      <c r="R17" s="5"/>
      <c r="S17" s="5"/>
      <c r="T17" s="5">
        <v>1</v>
      </c>
      <c r="U17" s="5"/>
      <c r="W17" s="6" t="s">
        <v>271</v>
      </c>
    </row>
    <row r="18" spans="1:23" s="6" customFormat="1" x14ac:dyDescent="0.2">
      <c r="A18" t="s">
        <v>171</v>
      </c>
      <c r="B18" t="s">
        <v>172</v>
      </c>
      <c r="C18" s="6">
        <v>55</v>
      </c>
      <c r="E18" s="6">
        <v>1</v>
      </c>
      <c r="H18" s="6">
        <v>1</v>
      </c>
      <c r="K18" s="6">
        <v>3</v>
      </c>
      <c r="N18" s="6">
        <v>4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15</v>
      </c>
      <c r="H20">
        <f>SUM(H5:H19)</f>
        <v>38</v>
      </c>
      <c r="K20">
        <f>SUM(K5:K19)</f>
        <v>10</v>
      </c>
      <c r="N20">
        <f>SUM(N5:N19)</f>
        <v>24</v>
      </c>
      <c r="Q20">
        <f>SUM(Q5:Q19)</f>
        <v>18</v>
      </c>
      <c r="T20">
        <f>SUM(T5:T19)</f>
        <v>4</v>
      </c>
    </row>
    <row r="21" spans="1:23" x14ac:dyDescent="0.2">
      <c r="A21" s="2" t="s">
        <v>9</v>
      </c>
      <c r="B21" s="1" t="s">
        <v>16</v>
      </c>
    </row>
    <row r="22" spans="1:23" x14ac:dyDescent="0.2">
      <c r="A22" t="s">
        <v>1</v>
      </c>
      <c r="B22" t="s">
        <v>2</v>
      </c>
      <c r="C22" t="s">
        <v>0</v>
      </c>
      <c r="E22" t="s">
        <v>245</v>
      </c>
      <c r="H22" t="s">
        <v>246</v>
      </c>
      <c r="K22" t="s">
        <v>244</v>
      </c>
      <c r="N22" t="s">
        <v>270</v>
      </c>
      <c r="Q22" t="s">
        <v>268</v>
      </c>
      <c r="T22" t="s">
        <v>269</v>
      </c>
    </row>
    <row r="23" spans="1:23" s="6" customFormat="1" x14ac:dyDescent="0.2">
      <c r="A23" s="5" t="str">
        <f>_xlfn.IFNA(VLOOKUP($B$21&amp;ROWS($A$23:A23),Rosters!$B$2:$C$162,2,0),"?")</f>
        <v>Taylor</v>
      </c>
      <c r="B23" s="5" t="str">
        <f>_xlfn.IFNA(VLOOKUP($B$21&amp;ROWS($B$23:B23),Rosters!$B$2:$D$162,3,0),"?")</f>
        <v>Miller</v>
      </c>
      <c r="C23" s="5">
        <f>_xlfn.IFNA(VLOOKUP($B$21&amp;ROWS($C$23:C23),Rosters!$B$2:$E$162,4,0),"")</f>
        <v>0</v>
      </c>
      <c r="D23" s="5"/>
      <c r="E23" s="5">
        <v>1</v>
      </c>
      <c r="F23" s="5"/>
      <c r="G23" s="5"/>
      <c r="H23" s="5">
        <v>8</v>
      </c>
      <c r="I23" s="5"/>
      <c r="J23" s="5"/>
      <c r="K23" s="5">
        <v>4</v>
      </c>
      <c r="L23" s="5"/>
      <c r="M23" s="5"/>
      <c r="N23" s="5">
        <v>10</v>
      </c>
      <c r="O23" s="5"/>
      <c r="P23" s="5"/>
      <c r="Q23" s="5">
        <v>2</v>
      </c>
      <c r="R23" s="5"/>
      <c r="S23" s="5"/>
      <c r="T23" s="5">
        <v>0</v>
      </c>
      <c r="U23" s="5"/>
    </row>
    <row r="24" spans="1:23" s="6" customFormat="1" x14ac:dyDescent="0.2">
      <c r="A24" s="6" t="s">
        <v>107</v>
      </c>
      <c r="B24" s="6" t="s">
        <v>108</v>
      </c>
      <c r="C24" s="6">
        <v>3</v>
      </c>
      <c r="E24" s="6">
        <v>2</v>
      </c>
      <c r="H24" s="6">
        <v>4</v>
      </c>
      <c r="K24" s="6">
        <v>1</v>
      </c>
      <c r="N24" s="6">
        <v>4</v>
      </c>
      <c r="Q24" s="6">
        <v>2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Jordan</v>
      </c>
      <c r="B25" s="5" t="str">
        <f>_xlfn.IFNA(VLOOKUP($B$21&amp;ROWS($B$23:B25),Rosters!$B$2:$D$162,3,0),"?")</f>
        <v>Gazdik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">
        <v>156</v>
      </c>
      <c r="B26" s="6" t="s">
        <v>275</v>
      </c>
      <c r="C26" s="6">
        <v>3</v>
      </c>
      <c r="E26" s="6">
        <v>1</v>
      </c>
      <c r="H26" s="6">
        <v>4</v>
      </c>
      <c r="K26" s="6">
        <v>2</v>
      </c>
      <c r="N26" s="6">
        <v>2</v>
      </c>
      <c r="Q26" s="6">
        <v>2</v>
      </c>
      <c r="T26" s="6">
        <v>2</v>
      </c>
    </row>
    <row r="27" spans="1:23" s="6" customFormat="1" x14ac:dyDescent="0.2">
      <c r="A27" s="5" t="str">
        <f>_xlfn.IFNA(VLOOKUP($B$21&amp;ROWS($A$23:A27),Rosters!$B$2:$C$162,2,0),"?")</f>
        <v>Chris</v>
      </c>
      <c r="B27" s="5" t="str">
        <f>_xlfn.IFNA(VLOOKUP($B$21&amp;ROWS($B$23:B27),Rosters!$B$2:$D$162,3,0),"?")</f>
        <v>Seeley</v>
      </c>
      <c r="C27" s="5">
        <f>_xlfn.IFNA(VLOOKUP($B$21&amp;ROWS($C$23:C27),Rosters!$B$2:$E$162,4,0),"")</f>
        <v>4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Kylor</v>
      </c>
      <c r="B28" s="6" t="str">
        <f>_xlfn.IFNA(VLOOKUP($B$21&amp;ROWS($B$23:B28),Rosters!$B$2:$D$162,3,0),"?")</f>
        <v>Kelley</v>
      </c>
      <c r="C28" s="6">
        <f>_xlfn.IFNA(VLOOKUP($B$21&amp;ROWS($C$23:C28),Rosters!$B$2:$E$162,4,0),"")</f>
        <v>6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Hunter</v>
      </c>
      <c r="B29" s="5" t="str">
        <f>_xlfn.IFNA(VLOOKUP($B$21&amp;ROWS($B$23:B29),Rosters!$B$2:$D$162,3,0),"?")</f>
        <v>Erickson</v>
      </c>
      <c r="C29" s="5">
        <f>_xlfn.IFNA(VLOOKUP($B$21&amp;ROWS($C$23:C29),Rosters!$B$2:$E$162,4,0),"")</f>
        <v>10</v>
      </c>
      <c r="D29" s="5"/>
      <c r="E29" s="5">
        <v>4</v>
      </c>
      <c r="F29" s="5"/>
      <c r="G29" s="5"/>
      <c r="H29" s="5">
        <v>10</v>
      </c>
      <c r="I29" s="5"/>
      <c r="J29" s="5"/>
      <c r="K29" s="5">
        <v>0</v>
      </c>
      <c r="L29" s="5"/>
      <c r="M29" s="5"/>
      <c r="N29" s="5">
        <v>6</v>
      </c>
      <c r="O29" s="5"/>
      <c r="P29" s="5"/>
      <c r="Q29" s="5">
        <v>4</v>
      </c>
      <c r="R29" s="5"/>
      <c r="S29" s="5"/>
      <c r="T29" s="5">
        <v>1</v>
      </c>
      <c r="U29" s="5"/>
    </row>
    <row r="30" spans="1:23" s="6" customFormat="1" x14ac:dyDescent="0.2">
      <c r="A30" s="6" t="str">
        <f>_xlfn.IFNA(VLOOKUP($B$21&amp;ROWS($A$23:A30),Rosters!$B$2:$C$162,2,0),"?")</f>
        <v>Sedrick</v>
      </c>
      <c r="B30" s="6" t="str">
        <f>_xlfn.IFNA(VLOOKUP($B$21&amp;ROWS($B$23:B30),Rosters!$B$2:$D$162,3,0),"?")</f>
        <v>Barefield</v>
      </c>
      <c r="C30" s="6">
        <f>_xlfn.IFNA(VLOOKUP($B$21&amp;ROWS($C$23:C30),Rosters!$B$2:$E$162,4,0),"")</f>
        <v>11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Mckay</v>
      </c>
      <c r="B31" s="5" t="str">
        <f>_xlfn.IFNA(VLOOKUP($B$21&amp;ROWS($B$23:B31),Rosters!$B$2:$D$162,3,0),"?")</f>
        <v>Johnson</v>
      </c>
      <c r="C31" s="5">
        <f>_xlfn.IFNA(VLOOKUP($B$21&amp;ROWS($C$23:C31),Rosters!$B$2:$E$162,4,0),"")</f>
        <v>13</v>
      </c>
      <c r="D31" s="5"/>
      <c r="E31" s="5">
        <v>2</v>
      </c>
      <c r="F31" s="5"/>
      <c r="G31" s="5"/>
      <c r="H31" s="5">
        <v>2</v>
      </c>
      <c r="I31" s="5"/>
      <c r="J31" s="5"/>
      <c r="K31" s="5">
        <v>1</v>
      </c>
      <c r="L31" s="5"/>
      <c r="M31" s="5"/>
      <c r="N31" s="5">
        <v>1</v>
      </c>
      <c r="O31" s="5"/>
      <c r="P31" s="5"/>
      <c r="Q31" s="5">
        <v>1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Khalil</v>
      </c>
      <c r="B32" s="6" t="str">
        <f>_xlfn.IFNA(VLOOKUP($B$21&amp;ROWS($B$23:B32),Rosters!$B$2:$D$162,3,0),"?")</f>
        <v>Ahmad</v>
      </c>
      <c r="C32" s="6">
        <f>_xlfn.IFNA(VLOOKUP($B$21&amp;ROWS($C$23:C32),Rosters!$B$2:$E$162,4,0),"")</f>
        <v>14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Payton</v>
      </c>
      <c r="B33" s="5" t="str">
        <f>_xlfn.IFNA(VLOOKUP($B$21&amp;ROWS($B$23:B33),Rosters!$B$2:$D$162,3,0),"?")</f>
        <v>Dastrop</v>
      </c>
      <c r="C33" s="5">
        <f>_xlfn.IFNA(VLOOKUP($B$21&amp;ROWS($C$23:C33),Rosters!$B$2:$E$162,4,0),"")</f>
        <v>15</v>
      </c>
      <c r="D33" s="5"/>
      <c r="E33" s="5">
        <v>0</v>
      </c>
      <c r="F33" s="5"/>
      <c r="G33" s="5"/>
      <c r="H33" s="5">
        <v>5</v>
      </c>
      <c r="I33" s="5"/>
      <c r="J33" s="5"/>
      <c r="K33" s="5">
        <v>1</v>
      </c>
      <c r="L33" s="5"/>
      <c r="M33" s="5"/>
      <c r="N33" s="5">
        <v>2</v>
      </c>
      <c r="O33" s="5"/>
      <c r="P33" s="5"/>
      <c r="Q33" s="5">
        <v>2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John</v>
      </c>
      <c r="B34" s="6" t="str">
        <f>_xlfn.IFNA(VLOOKUP($B$21&amp;ROWS($B$23:B34),Rosters!$B$2:$D$162,3,0),"?")</f>
        <v>Bennett</v>
      </c>
      <c r="C34" s="6">
        <f>_xlfn.IFNA(VLOOKUP($B$21&amp;ROWS($C$23:C34),Rosters!$B$2:$E$162,4,0),"")</f>
        <v>22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Caleb</v>
      </c>
      <c r="B35" s="5" t="str">
        <f>_xlfn.IFNA(VLOOKUP($B$21&amp;ROWS($B$23:B35),Rosters!$B$2:$D$162,3,0),"?")</f>
        <v>Lohner</v>
      </c>
      <c r="C35" s="5">
        <f>_xlfn.IFNA(VLOOKUP($B$21&amp;ROWS($C$23:C35),Rosters!$B$2:$E$162,4,0),"")</f>
        <v>33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Johnny</v>
      </c>
      <c r="B36" s="6" t="str">
        <f>_xlfn.IFNA(VLOOKUP($B$21&amp;ROWS($B$23:B36),Rosters!$B$2:$D$162,3,0),"?")</f>
        <v>Dupre</v>
      </c>
      <c r="C36" s="6">
        <f>_xlfn.IFNA(VLOOKUP($B$21&amp;ROWS($C$23:C36),Rosters!$B$2:$E$162,4,0),"")</f>
        <v>41</v>
      </c>
      <c r="D36"/>
      <c r="E36" s="6">
        <v>0</v>
      </c>
      <c r="F36"/>
      <c r="G36"/>
      <c r="H36" s="6">
        <v>2</v>
      </c>
      <c r="I36"/>
      <c r="J36"/>
      <c r="K36" s="6">
        <v>1</v>
      </c>
      <c r="L36"/>
      <c r="M36"/>
      <c r="N36" s="6">
        <v>0</v>
      </c>
      <c r="O36"/>
      <c r="P36"/>
      <c r="Q36" s="6">
        <v>1</v>
      </c>
      <c r="R36"/>
      <c r="S36"/>
      <c r="T36" s="6">
        <v>0</v>
      </c>
      <c r="U36"/>
    </row>
    <row r="37" spans="1:21" s="6" customFormat="1" x14ac:dyDescent="0.2">
      <c r="A37" s="5" t="s">
        <v>273</v>
      </c>
      <c r="B37" s="5" t="s">
        <v>274</v>
      </c>
      <c r="C37" s="5">
        <v>45</v>
      </c>
      <c r="D37" s="5"/>
      <c r="E37" s="5">
        <v>0</v>
      </c>
      <c r="F37" s="5"/>
      <c r="G37" s="5"/>
      <c r="H37" s="5">
        <v>1</v>
      </c>
      <c r="I37" s="5"/>
      <c r="J37" s="5"/>
      <c r="K37" s="5">
        <v>1</v>
      </c>
      <c r="L37" s="5"/>
      <c r="M37" s="5"/>
      <c r="N37" s="5">
        <v>3</v>
      </c>
      <c r="O37" s="5"/>
      <c r="P37" s="5"/>
      <c r="Q37" s="5">
        <v>1</v>
      </c>
      <c r="R37" s="5"/>
      <c r="S37" s="5"/>
      <c r="T37" s="5">
        <v>0</v>
      </c>
      <c r="U37" s="5"/>
    </row>
    <row r="38" spans="1:21" x14ac:dyDescent="0.2">
      <c r="E38">
        <f>SUM(E23:E37)</f>
        <v>10</v>
      </c>
      <c r="H38">
        <f>SUM(H23:H37)</f>
        <v>36</v>
      </c>
      <c r="K38">
        <f>SUM(K23:K37)</f>
        <v>11</v>
      </c>
      <c r="N38">
        <f>SUM(N23:N37)</f>
        <v>28</v>
      </c>
      <c r="Q38">
        <f>SUM(Q23:Q37)</f>
        <v>15</v>
      </c>
      <c r="T38">
        <f>SUM(T23:T37)</f>
        <v>3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266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250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267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251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252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249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253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254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255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256</v>
      </c>
      <c r="D50" t="s">
        <v>257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258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259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260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248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261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262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263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263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263</v>
      </c>
      <c r="B143" t="str">
        <f>A143&amp;COUNTIF($A$2:$A143,A143)</f>
        <v>Guest3</v>
      </c>
      <c r="C143" t="s">
        <v>264</v>
      </c>
      <c r="D143" t="s">
        <v>240</v>
      </c>
      <c r="E143">
        <v>19</v>
      </c>
    </row>
    <row r="144" spans="1:5" x14ac:dyDescent="0.2">
      <c r="A144" t="s">
        <v>263</v>
      </c>
      <c r="B144" t="str">
        <f>A144&amp;COUNTIF($A$2:$A144,A144)</f>
        <v>Guest4</v>
      </c>
      <c r="C144" t="s">
        <v>242</v>
      </c>
      <c r="D144" t="s">
        <v>265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2021-08-04T05:18:45Z</dcterms:modified>
</cp:coreProperties>
</file>