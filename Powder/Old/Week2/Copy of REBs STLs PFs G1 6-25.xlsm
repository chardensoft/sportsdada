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2/"/>
    </mc:Choice>
  </mc:AlternateContent>
  <xr:revisionPtr revIDLastSave="0" documentId="13_ncr:1_{28C72929-BA97-5441-BDB3-BF05AAD1F731}" xr6:coauthVersionLast="47" xr6:coauthVersionMax="47" xr10:uidLastSave="{00000000-0000-0000-0000-000000000000}"/>
  <bookViews>
    <workbookView xWindow="0" yWindow="500" windowWidth="23260" windowHeight="12580" xr2:uid="{EE0D2CFE-D8D2-0843-8E19-49493B39F60E}"/>
  </bookViews>
  <sheets>
    <sheet name="G1 Box Score" sheetId="2" r:id="rId1"/>
    <sheet name="Stats G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3" i="2" l="1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N37" i="2"/>
  <c r="O37" i="2"/>
  <c r="O22" i="2"/>
  <c r="N22" i="2"/>
  <c r="N18" i="2"/>
  <c r="O18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N17" i="2"/>
  <c r="O17" i="2"/>
  <c r="O3" i="2"/>
  <c r="N3" i="2"/>
  <c r="K23" i="2"/>
  <c r="K26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I23" i="2"/>
  <c r="J23" i="2"/>
  <c r="M23" i="2"/>
  <c r="I24" i="2"/>
  <c r="K24" i="2" s="1"/>
  <c r="J24" i="2"/>
  <c r="M24" i="2"/>
  <c r="I25" i="2"/>
  <c r="K25" i="2" s="1"/>
  <c r="J25" i="2"/>
  <c r="M25" i="2"/>
  <c r="I26" i="2"/>
  <c r="J26" i="2"/>
  <c r="M26" i="2"/>
  <c r="I27" i="2"/>
  <c r="J27" i="2"/>
  <c r="K27" i="2" s="1"/>
  <c r="M27" i="2"/>
  <c r="I28" i="2"/>
  <c r="J28" i="2"/>
  <c r="K28" i="2" s="1"/>
  <c r="M28" i="2"/>
  <c r="I29" i="2"/>
  <c r="J29" i="2"/>
  <c r="K29" i="2" s="1"/>
  <c r="M29" i="2"/>
  <c r="I30" i="2"/>
  <c r="J30" i="2"/>
  <c r="M30" i="2"/>
  <c r="I31" i="2"/>
  <c r="J31" i="2"/>
  <c r="M31" i="2"/>
  <c r="I32" i="2"/>
  <c r="J32" i="2"/>
  <c r="M32" i="2"/>
  <c r="I33" i="2"/>
  <c r="J33" i="2"/>
  <c r="M33" i="2"/>
  <c r="I34" i="2"/>
  <c r="J34" i="2"/>
  <c r="K34" i="2" s="1"/>
  <c r="M34" i="2"/>
  <c r="I35" i="2"/>
  <c r="J35" i="2"/>
  <c r="K35" i="2" s="1"/>
  <c r="M35" i="2"/>
  <c r="I36" i="2"/>
  <c r="J36" i="2"/>
  <c r="K36" i="2" s="1"/>
  <c r="M36" i="2"/>
  <c r="M22" i="2"/>
  <c r="J22" i="2"/>
  <c r="K22" i="2" s="1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J4" i="2"/>
  <c r="J5" i="2"/>
  <c r="K5" i="2" s="1"/>
  <c r="J6" i="2"/>
  <c r="J7" i="2"/>
  <c r="J8" i="2"/>
  <c r="J9" i="2"/>
  <c r="K9" i="2" s="1"/>
  <c r="J10" i="2"/>
  <c r="J11" i="2"/>
  <c r="J12" i="2"/>
  <c r="K12" i="2" s="1"/>
  <c r="J13" i="2"/>
  <c r="K13" i="2" s="1"/>
  <c r="J14" i="2"/>
  <c r="K14" i="2" s="1"/>
  <c r="J15" i="2"/>
  <c r="J16" i="2"/>
  <c r="J17" i="2"/>
  <c r="K17" i="2" s="1"/>
  <c r="J3" i="2"/>
  <c r="I4" i="2"/>
  <c r="I5" i="2"/>
  <c r="I6" i="2"/>
  <c r="I7" i="2"/>
  <c r="I8" i="2"/>
  <c r="I9" i="2"/>
  <c r="I10" i="2"/>
  <c r="I11" i="2"/>
  <c r="I12" i="2"/>
  <c r="I13" i="2"/>
  <c r="I14" i="2"/>
  <c r="I15" i="2"/>
  <c r="K15" i="2" s="1"/>
  <c r="I16" i="2"/>
  <c r="K16" i="2" s="1"/>
  <c r="I17" i="2"/>
  <c r="I3" i="2"/>
  <c r="T38" i="1"/>
  <c r="Q38" i="1"/>
  <c r="N38" i="1"/>
  <c r="K38" i="1"/>
  <c r="H38" i="1"/>
  <c r="E38" i="1"/>
  <c r="T20" i="1"/>
  <c r="Q20" i="1"/>
  <c r="N20" i="1"/>
  <c r="K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4" i="2" l="1"/>
  <c r="K32" i="2"/>
  <c r="K11" i="2"/>
  <c r="K3" i="2"/>
  <c r="K31" i="2"/>
  <c r="K33" i="2"/>
  <c r="K6" i="2"/>
  <c r="K10" i="2"/>
  <c r="K30" i="2"/>
  <c r="K7" i="2"/>
  <c r="K8" i="2"/>
  <c r="L37" i="2"/>
  <c r="L18" i="2"/>
  <c r="J37" i="2"/>
  <c r="I37" i="2"/>
  <c r="M37" i="2"/>
  <c r="M18" i="2"/>
  <c r="I18" i="2"/>
  <c r="J18" i="2"/>
  <c r="H3" i="2"/>
  <c r="G3" i="2"/>
  <c r="F3" i="2"/>
  <c r="K37" i="2" l="1"/>
  <c r="D3" i="2" s="1"/>
  <c r="K18" i="2"/>
  <c r="B3" i="2" s="1"/>
</calcChain>
</file>

<file path=xl/sharedStrings.xml><?xml version="1.0" encoding="utf-8"?>
<sst xmlns="http://schemas.openxmlformats.org/spreadsheetml/2006/main" count="107" uniqueCount="58">
  <si>
    <t>#</t>
  </si>
  <si>
    <t>Select</t>
  </si>
  <si>
    <t>First</t>
  </si>
  <si>
    <t>Last</t>
  </si>
  <si>
    <t>?</t>
  </si>
  <si>
    <t>Home Team (Gray)</t>
  </si>
  <si>
    <t>Home (Gray)</t>
  </si>
  <si>
    <t>Away (Black)</t>
  </si>
  <si>
    <t>OREB</t>
  </si>
  <si>
    <t>DREB</t>
  </si>
  <si>
    <t>TREB</t>
  </si>
  <si>
    <t>STL</t>
  </si>
  <si>
    <t>PF</t>
  </si>
  <si>
    <t>Away Team (Black)</t>
  </si>
  <si>
    <t>Total:</t>
  </si>
  <si>
    <t>Gray</t>
  </si>
  <si>
    <t>Black</t>
  </si>
  <si>
    <t>-</t>
  </si>
  <si>
    <t>Gray Team</t>
  </si>
  <si>
    <t>Black Team</t>
  </si>
  <si>
    <t>GAME 1 REBs</t>
  </si>
  <si>
    <t>Neema</t>
  </si>
  <si>
    <t>Namdar</t>
  </si>
  <si>
    <t>Sam</t>
  </si>
  <si>
    <t>Velez</t>
  </si>
  <si>
    <t>Tyus</t>
  </si>
  <si>
    <t>Jefferson</t>
  </si>
  <si>
    <t>Frank</t>
  </si>
  <si>
    <t>Jackson</t>
  </si>
  <si>
    <t>Trey</t>
  </si>
  <si>
    <t>Kennedy</t>
  </si>
  <si>
    <t>Will</t>
  </si>
  <si>
    <t>Joyce</t>
  </si>
  <si>
    <t>Jael</t>
  </si>
  <si>
    <t>Vaughn</t>
  </si>
  <si>
    <t>Fardaws</t>
  </si>
  <si>
    <t>Aimaq</t>
  </si>
  <si>
    <t>Yoeli</t>
  </si>
  <si>
    <t>Childs</t>
  </si>
  <si>
    <t>Nicholas</t>
  </si>
  <si>
    <t>Paulos</t>
  </si>
  <si>
    <t>Zach</t>
  </si>
  <si>
    <t>Seljaas</t>
  </si>
  <si>
    <t>Orchard</t>
  </si>
  <si>
    <t>Merril</t>
  </si>
  <si>
    <t>Parker</t>
  </si>
  <si>
    <t>Van Dyke</t>
  </si>
  <si>
    <t>Riley</t>
  </si>
  <si>
    <t>Battin</t>
  </si>
  <si>
    <t>Danny</t>
  </si>
  <si>
    <t>Berger</t>
  </si>
  <si>
    <t>Jalen</t>
  </si>
  <si>
    <t>Moore</t>
  </si>
  <si>
    <t>Zavon</t>
  </si>
  <si>
    <t>Sean</t>
  </si>
  <si>
    <t>Harris</t>
  </si>
  <si>
    <t>Peter</t>
  </si>
  <si>
    <t>Brown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</si>
</sst>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0" tint="-0.249977111117893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4" fillId="2" borderId="0" xfId="0" applyFont="1" applyFill="1"/>
    <xf numFmtId="0" fontId="5" fillId="2" borderId="0" xfId="0" applyFont="1" applyFill="1"/>
    <xf numFmtId="0" fontId="5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topLeftCell="A10" workbookViewId="0">
      <selection activeCell="G21" sqref="G21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20</v>
      </c>
      <c r="F1" t="s">
        <v>5</v>
      </c>
      <c r="G1" t="s">
        <v>50</v>
      </c>
    </row>
    <row r="2" spans="2:15" x14ac:dyDescent="0.2">
      <c r="B2" t="s">
        <v>15</v>
      </c>
      <c r="D2" t="s">
        <v>16</v>
      </c>
      <c r="F2" t="s">
        <v>2</v>
      </c>
      <c r="G2" t="s">
        <v>3</v>
      </c>
      <c r="H2" t="s">
        <v>0</v>
      </c>
      <c r="I2" t="s">
        <v>8</v>
      </c>
      <c r="J2" t="s">
        <v>9</v>
      </c>
      <c r="K2" t="s">
        <v>10</v>
      </c>
      <c r="L2" t="s">
        <v>11</v>
      </c>
      <c r="M2" t="s">
        <v>12</v>
      </c>
    </row>
    <row r="3" spans="2:15" x14ac:dyDescent="0.2">
      <c r="B3">
        <f>K18</f>
        <v>47</v>
      </c>
      <c r="C3" s="3" t="s">
        <v>17</v>
      </c>
      <c r="D3" s="4">
        <f>K37</f>
        <v>43</v>
      </c>
      <c r="F3" t="str">
        <f>'Stats G1'!A5</f>
        <v>Sam</v>
      </c>
      <c r="G3" t="str">
        <f>'Stats G1'!B5</f>
        <v>Orchard</v>
      </c>
      <c r="H3">
        <f>'Stats G1'!C5</f>
        <v>3</v>
      </c>
      <c r="I3">
        <f>'Stats G1'!E5</f>
        <v>1</v>
      </c>
      <c r="J3">
        <f>'Stats G1'!H5</f>
        <v>4</v>
      </c>
      <c r="K3">
        <f>J3+I3</f>
        <v>5</v>
      </c>
      <c r="L3">
        <f>'Stats G1'!K5</f>
        <v>2</v>
      </c>
      <c r="M3">
        <f>'Stats G1'!N5</f>
        <v>1</v>
      </c>
      <c r="N3">
        <f>'Stats G1'!Q5</f>
        <v>0</v>
      </c>
      <c r="O3">
        <f>'Stats G1'!T5</f>
        <v>0</v>
      </c>
    </row>
    <row r="4" spans="2:15" x14ac:dyDescent="0.2">
      <c r="F4" t="str">
        <f>'Stats G1'!A6</f>
        <v>Sam</v>
      </c>
      <c r="G4" t="str">
        <f>'Stats G1'!B6</f>
        <v>Merril</v>
      </c>
      <c r="H4">
        <f>'Stats G1'!C6</f>
        <v>5</v>
      </c>
      <c r="I4">
        <f>'Stats G1'!E6</f>
        <v>1</v>
      </c>
      <c r="J4">
        <f>'Stats G1'!H6</f>
        <v>5</v>
      </c>
      <c r="K4">
        <f t="shared" ref="K4:K17" si="0">J4+I4</f>
        <v>6</v>
      </c>
      <c r="L4">
        <f>'Stats G1'!K6</f>
        <v>1</v>
      </c>
      <c r="M4">
        <f>'Stats G1'!N6</f>
        <v>4</v>
      </c>
      <c r="N4">
        <f>'Stats G1'!Q6</f>
        <v>0</v>
      </c>
      <c r="O4">
        <f>'Stats G1'!T6</f>
        <v>0</v>
      </c>
    </row>
    <row r="5" spans="2:15" x14ac:dyDescent="0.2">
      <c r="F5" t="str">
        <f>'Stats G1'!A7</f>
        <v>Parker</v>
      </c>
      <c r="G5" t="str">
        <f>'Stats G1'!B7</f>
        <v>Van Dyke</v>
      </c>
      <c r="H5">
        <f>'Stats G1'!C7</f>
        <v>7</v>
      </c>
      <c r="I5">
        <f>'Stats G1'!E7</f>
        <v>1</v>
      </c>
      <c r="J5">
        <f>'Stats G1'!H7</f>
        <v>5</v>
      </c>
      <c r="K5">
        <f t="shared" si="0"/>
        <v>6</v>
      </c>
      <c r="L5">
        <f>'Stats G1'!K7</f>
        <v>1</v>
      </c>
      <c r="M5">
        <f>'Stats G1'!N7</f>
        <v>0</v>
      </c>
      <c r="N5">
        <f>'Stats G1'!Q7</f>
        <v>0</v>
      </c>
      <c r="O5">
        <f>'Stats G1'!T7</f>
        <v>0</v>
      </c>
    </row>
    <row r="6" spans="2:15" x14ac:dyDescent="0.2">
      <c r="F6" t="str">
        <f>'Stats G1'!A8</f>
        <v>Riley</v>
      </c>
      <c r="G6" t="str">
        <f>'Stats G1'!B8</f>
        <v>Battin</v>
      </c>
      <c r="H6">
        <f>'Stats G1'!C8</f>
        <v>11</v>
      </c>
      <c r="I6">
        <f>'Stats G1'!E8</f>
        <v>4</v>
      </c>
      <c r="J6">
        <f>'Stats G1'!H8</f>
        <v>7</v>
      </c>
      <c r="K6">
        <f t="shared" si="0"/>
        <v>11</v>
      </c>
      <c r="L6">
        <f>'Stats G1'!K8</f>
        <v>0</v>
      </c>
      <c r="M6">
        <f>'Stats G1'!N8</f>
        <v>2</v>
      </c>
      <c r="N6">
        <f>'Stats G1'!Q8</f>
        <v>0</v>
      </c>
      <c r="O6">
        <f>'Stats G1'!T8</f>
        <v>0</v>
      </c>
    </row>
    <row r="7" spans="2:15" x14ac:dyDescent="0.2">
      <c r="F7" t="str">
        <f>'Stats G1'!A9</f>
        <v>Danny</v>
      </c>
      <c r="G7" t="str">
        <f>'Stats G1'!B9</f>
        <v>Berger</v>
      </c>
      <c r="H7">
        <f>'Stats G1'!C9</f>
        <v>12</v>
      </c>
      <c r="I7">
        <f>'Stats G1'!E9</f>
        <v>0</v>
      </c>
      <c r="J7">
        <f>'Stats G1'!H9</f>
        <v>3</v>
      </c>
      <c r="K7">
        <f t="shared" si="0"/>
        <v>3</v>
      </c>
      <c r="L7">
        <f>'Stats G1'!K9</f>
        <v>1</v>
      </c>
      <c r="M7">
        <f>'Stats G1'!N9</f>
        <v>0</v>
      </c>
      <c r="N7">
        <f>'Stats G1'!Q9</f>
        <v>0</v>
      </c>
      <c r="O7">
        <f>'Stats G1'!T9</f>
        <v>0</v>
      </c>
    </row>
    <row r="8" spans="2:15" x14ac:dyDescent="0.2">
      <c r="F8" t="str">
        <f>'Stats G1'!A10</f>
        <v>Peter</v>
      </c>
      <c r="G8" t="str">
        <f>'Stats G1'!B10</f>
        <v>Brown</v>
      </c>
      <c r="H8">
        <f>'Stats G1'!C10</f>
        <v>21</v>
      </c>
      <c r="I8">
        <f>'Stats G1'!E10</f>
        <v>0</v>
      </c>
      <c r="J8">
        <f>'Stats G1'!H10</f>
        <v>2</v>
      </c>
      <c r="K8">
        <f t="shared" si="0"/>
        <v>2</v>
      </c>
      <c r="L8">
        <f>'Stats G1'!K10</f>
        <v>3</v>
      </c>
      <c r="M8">
        <f>'Stats G1'!N10</f>
        <v>5</v>
      </c>
      <c r="N8">
        <f>'Stats G1'!Q10</f>
        <v>0</v>
      </c>
      <c r="O8">
        <f>'Stats G1'!T10</f>
        <v>0</v>
      </c>
    </row>
    <row r="9" spans="2:15" x14ac:dyDescent="0.2">
      <c r="F9" t="str">
        <f>'Stats G1'!A11</f>
        <v>Jalen</v>
      </c>
      <c r="G9" t="str">
        <f>'Stats G1'!B11</f>
        <v>Moore</v>
      </c>
      <c r="H9">
        <f>'Stats G1'!C11</f>
        <v>21</v>
      </c>
      <c r="I9">
        <f>'Stats G1'!E11</f>
        <v>0</v>
      </c>
      <c r="J9">
        <f>'Stats G1'!H11</f>
        <v>0</v>
      </c>
      <c r="K9">
        <f t="shared" si="0"/>
        <v>0</v>
      </c>
      <c r="L9">
        <f>'Stats G1'!K11</f>
        <v>0</v>
      </c>
      <c r="M9">
        <f>'Stats G1'!N11</f>
        <v>0</v>
      </c>
      <c r="N9">
        <f>'Stats G1'!Q11</f>
        <v>0</v>
      </c>
      <c r="O9">
        <f>'Stats G1'!T11</f>
        <v>0</v>
      </c>
    </row>
    <row r="10" spans="2:15" x14ac:dyDescent="0.2">
      <c r="F10" t="str">
        <f>'Stats G1'!A12</f>
        <v>Zavon</v>
      </c>
      <c r="G10" t="str">
        <f>'Stats G1'!B12</f>
        <v>Jackson</v>
      </c>
      <c r="H10">
        <f>'Stats G1'!C12</f>
        <v>24</v>
      </c>
      <c r="I10">
        <f>'Stats G1'!E12</f>
        <v>2</v>
      </c>
      <c r="J10">
        <f>'Stats G1'!H12</f>
        <v>5</v>
      </c>
      <c r="K10">
        <f t="shared" si="0"/>
        <v>7</v>
      </c>
      <c r="L10">
        <f>'Stats G1'!K12</f>
        <v>0</v>
      </c>
      <c r="M10">
        <f>'Stats G1'!N12</f>
        <v>0</v>
      </c>
      <c r="N10">
        <f>'Stats G1'!Q12</f>
        <v>0</v>
      </c>
      <c r="O10">
        <f>'Stats G1'!T12</f>
        <v>0</v>
      </c>
    </row>
    <row r="11" spans="2:15" x14ac:dyDescent="0.2">
      <c r="F11" t="str">
        <f>'Stats G1'!A13</f>
        <v>Sean</v>
      </c>
      <c r="G11" t="str">
        <f>'Stats G1'!B13</f>
        <v>Harris</v>
      </c>
      <c r="H11">
        <f>'Stats G1'!C13</f>
        <v>30</v>
      </c>
      <c r="I11">
        <f>'Stats G1'!E13</f>
        <v>1</v>
      </c>
      <c r="J11">
        <f>'Stats G1'!H13</f>
        <v>6</v>
      </c>
      <c r="K11">
        <f t="shared" si="0"/>
        <v>7</v>
      </c>
      <c r="L11">
        <f>'Stats G1'!K13</f>
        <v>1</v>
      </c>
      <c r="M11">
        <f>'Stats G1'!N13</f>
        <v>1</v>
      </c>
      <c r="N11">
        <f>'Stats G1'!Q13</f>
        <v>0</v>
      </c>
      <c r="O11">
        <f>'Stats G1'!T13</f>
        <v>0</v>
      </c>
    </row>
    <row r="12" spans="2:15" x14ac:dyDescent="0.2">
      <c r="F12" t="str">
        <f>'Stats G1'!A14</f>
        <v>?</v>
      </c>
      <c r="G12" t="str">
        <f>'Stats G1'!B14</f>
        <v>?</v>
      </c>
      <c r="H12">
        <f>'Stats G1'!C14</f>
        <v>0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  <c r="N12">
        <f>'Stats G1'!Q14</f>
        <v>0</v>
      </c>
      <c r="O12">
        <f>'Stats G1'!T14</f>
        <v>0</v>
      </c>
    </row>
    <row r="13" spans="2:15" x14ac:dyDescent="0.2">
      <c r="F13" t="str">
        <f>'Stats G1'!A15</f>
        <v>?</v>
      </c>
      <c r="G13" t="str">
        <f>'Stats G1'!B15</f>
        <v>?</v>
      </c>
      <c r="H13">
        <f>'Stats G1'!C15</f>
        <v>0</v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G1'!K15</f>
        <v>0</v>
      </c>
      <c r="M13">
        <f>'Stats G1'!N15</f>
        <v>0</v>
      </c>
      <c r="N13">
        <f>'Stats G1'!Q15</f>
        <v>0</v>
      </c>
      <c r="O13">
        <f>'Stats G1'!T15</f>
        <v>0</v>
      </c>
    </row>
    <row r="14" spans="2:15" x14ac:dyDescent="0.2">
      <c r="F14" t="str">
        <f>'Stats G1'!A16</f>
        <v>?</v>
      </c>
      <c r="G14" t="str">
        <f>'Stats G1'!B16</f>
        <v>?</v>
      </c>
      <c r="H14">
        <f>'Stats G1'!C16</f>
        <v>0</v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G1'!K16</f>
        <v>0</v>
      </c>
      <c r="M14">
        <f>'Stats G1'!N16</f>
        <v>0</v>
      </c>
      <c r="N14">
        <f>'Stats G1'!Q16</f>
        <v>0</v>
      </c>
      <c r="O14">
        <f>'Stats G1'!T16</f>
        <v>0</v>
      </c>
    </row>
    <row r="15" spans="2:15" x14ac:dyDescent="0.2">
      <c r="F15" t="str">
        <f>'Stats G1'!A17</f>
        <v>?</v>
      </c>
      <c r="G15" t="str">
        <f>'Stats G1'!B17</f>
        <v>?</v>
      </c>
      <c r="H15">
        <f>'Stats G1'!C17</f>
        <v>0</v>
      </c>
      <c r="I15">
        <f>'Stats G1'!E17</f>
        <v>0</v>
      </c>
      <c r="J15">
        <f>'Stats G1'!H17</f>
        <v>0</v>
      </c>
      <c r="K15">
        <f t="shared" si="0"/>
        <v>0</v>
      </c>
      <c r="L15">
        <f>'Stats G1'!K17</f>
        <v>0</v>
      </c>
      <c r="M15">
        <f>'Stats G1'!N17</f>
        <v>0</v>
      </c>
      <c r="N15">
        <f>'Stats G1'!Q17</f>
        <v>0</v>
      </c>
      <c r="O15">
        <f>'Stats G1'!T17</f>
        <v>0</v>
      </c>
    </row>
    <row r="16" spans="2:15" x14ac:dyDescent="0.2">
      <c r="F16" t="str">
        <f>'Stats G1'!A18</f>
        <v>?</v>
      </c>
      <c r="G16" t="str">
        <f>'Stats G1'!B18</f>
        <v>?</v>
      </c>
      <c r="H16">
        <f>'Stats G1'!C18</f>
        <v>0</v>
      </c>
      <c r="I16">
        <f>'Stats G1'!E18</f>
        <v>0</v>
      </c>
      <c r="J16">
        <f>'Stats G1'!H18</f>
        <v>0</v>
      </c>
      <c r="K16">
        <f t="shared" si="0"/>
        <v>0</v>
      </c>
      <c r="L16">
        <f>'Stats G1'!K18</f>
        <v>0</v>
      </c>
      <c r="M16">
        <f>'Stats G1'!N18</f>
        <v>0</v>
      </c>
      <c r="N16">
        <f>'Stats G1'!Q18</f>
        <v>0</v>
      </c>
      <c r="O16">
        <f>'Stats G1'!T18</f>
        <v>0</v>
      </c>
    </row>
    <row r="17" spans="6:15" x14ac:dyDescent="0.2">
      <c r="F17" t="str">
        <f>'Stats G1'!A19</f>
        <v>?</v>
      </c>
      <c r="G17" t="str">
        <f>'Stats G1'!B19</f>
        <v>?</v>
      </c>
      <c r="H17">
        <f>'Stats G1'!C19</f>
        <v>0</v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  <c r="N17">
        <f>'Stats G1'!Q19</f>
        <v>0</v>
      </c>
      <c r="O17">
        <f>'Stats G1'!T19</f>
        <v>0</v>
      </c>
    </row>
    <row r="18" spans="6:15" x14ac:dyDescent="0.2">
      <c r="H18" s="2" t="s">
        <v>14</v>
      </c>
      <c r="I18">
        <f t="shared" ref="I18:M18" si="1">SUM(I3:I17)</f>
        <v>10</v>
      </c>
      <c r="J18">
        <f t="shared" si="1"/>
        <v>37</v>
      </c>
      <c r="K18">
        <f t="shared" si="1"/>
        <v>47</v>
      </c>
      <c r="L18">
        <f t="shared" si="1"/>
        <v>9</v>
      </c>
      <c r="M18">
        <f t="shared" si="1"/>
        <v>13</v>
      </c>
      <c r="N18">
        <f>'Stats G1'!Q20</f>
        <v>0</v>
      </c>
      <c r="O18">
        <f>'Stats G1'!T20</f>
        <v>0</v>
      </c>
    </row>
    <row r="20" spans="6:15" x14ac:dyDescent="0.2">
      <c r="F20" t="s">
        <v>13</v>
      </c>
      <c r="G20" t="s">
        <v>32</v>
      </c>
    </row>
    <row r="21" spans="6:15" x14ac:dyDescent="0.2">
      <c r="F21" t="s">
        <v>2</v>
      </c>
      <c r="G21" t="s">
        <v>3</v>
      </c>
      <c r="H21" t="s">
        <v>0</v>
      </c>
      <c r="I21" t="s">
        <v>8</v>
      </c>
      <c r="J21" t="s">
        <v>9</v>
      </c>
      <c r="K21" t="s">
        <v>10</v>
      </c>
      <c r="L21" t="s">
        <v>11</v>
      </c>
      <c r="M21" t="s">
        <v>12</v>
      </c>
    </row>
    <row r="22" spans="6:15" x14ac:dyDescent="0.2">
      <c r="F22" t="str">
        <f>'Stats G1'!A23</f>
        <v>Neema</v>
      </c>
      <c r="G22" t="str">
        <f>'Stats G1'!B23</f>
        <v>Namdar</v>
      </c>
      <c r="H22">
        <f>'Stats G1'!C23</f>
        <v>0</v>
      </c>
      <c r="I22">
        <f>'Stats G1'!E23</f>
        <v>0</v>
      </c>
      <c r="J22">
        <f>'Stats G1'!H23</f>
        <v>1</v>
      </c>
      <c r="K22">
        <f t="shared" ref="K22:K36" si="2">J22+I22</f>
        <v>1</v>
      </c>
      <c r="L22">
        <f>'Stats G1'!K23</f>
        <v>1</v>
      </c>
      <c r="M22">
        <f>'Stats G1'!N23</f>
        <v>3</v>
      </c>
      <c r="N22">
        <f>'Stats G1'!Q23</f>
        <v>0</v>
      </c>
      <c r="O22">
        <f>'Stats G1'!T23</f>
        <v>0</v>
      </c>
    </row>
    <row r="23" spans="6:15" x14ac:dyDescent="0.2">
      <c r="F23" t="str">
        <f>'Stats G1'!A24</f>
        <v>Sam</v>
      </c>
      <c r="G23" t="str">
        <f>'Stats G1'!B24</f>
        <v>Velez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si="2"/>
        <v>0</v>
      </c>
      <c r="L23">
        <f>'Stats G1'!K24</f>
        <v>0</v>
      </c>
      <c r="M23">
        <f>'Stats G1'!N24</f>
        <v>0</v>
      </c>
      <c r="N23">
        <f>'Stats G1'!Q24</f>
        <v>0</v>
      </c>
      <c r="O23">
        <f>'Stats G1'!T24</f>
        <v>0</v>
      </c>
    </row>
    <row r="24" spans="6:15" x14ac:dyDescent="0.2">
      <c r="F24" t="str">
        <f>'Stats G1'!A25</f>
        <v>Tyus</v>
      </c>
      <c r="G24" t="str">
        <f>'Stats G1'!B25</f>
        <v>Jefferson</v>
      </c>
      <c r="H24">
        <f>'Stats G1'!C25</f>
        <v>3</v>
      </c>
      <c r="I24">
        <f>'Stats G1'!E25</f>
        <v>1</v>
      </c>
      <c r="J24">
        <f>'Stats G1'!H25</f>
        <v>0</v>
      </c>
      <c r="K24">
        <f t="shared" si="2"/>
        <v>1</v>
      </c>
      <c r="L24">
        <f>'Stats G1'!K25</f>
        <v>0</v>
      </c>
      <c r="M24">
        <f>'Stats G1'!N25</f>
        <v>0</v>
      </c>
      <c r="N24">
        <f>'Stats G1'!Q25</f>
        <v>0</v>
      </c>
      <c r="O24">
        <f>'Stats G1'!T25</f>
        <v>0</v>
      </c>
    </row>
    <row r="25" spans="6:15" x14ac:dyDescent="0.2">
      <c r="F25" t="str">
        <f>'Stats G1'!A26</f>
        <v>Frank</v>
      </c>
      <c r="G25" t="str">
        <f>'Stats G1'!B26</f>
        <v>Jackson</v>
      </c>
      <c r="H25">
        <f>'Stats G1'!C26</f>
        <v>5</v>
      </c>
      <c r="I25">
        <f>'Stats G1'!E26</f>
        <v>0</v>
      </c>
      <c r="J25">
        <f>'Stats G1'!H26</f>
        <v>0</v>
      </c>
      <c r="K25">
        <f t="shared" si="2"/>
        <v>0</v>
      </c>
      <c r="L25">
        <f>'Stats G1'!K26</f>
        <v>0</v>
      </c>
      <c r="M25">
        <f>'Stats G1'!N26</f>
        <v>1</v>
      </c>
      <c r="N25">
        <f>'Stats G1'!Q26</f>
        <v>0</v>
      </c>
      <c r="O25">
        <f>'Stats G1'!T26</f>
        <v>0</v>
      </c>
    </row>
    <row r="26" spans="6:15" x14ac:dyDescent="0.2">
      <c r="F26" t="str">
        <f>'Stats G1'!A27</f>
        <v>Trey</v>
      </c>
      <c r="G26" t="str">
        <f>'Stats G1'!B27</f>
        <v>Kennedy</v>
      </c>
      <c r="H26">
        <f>'Stats G1'!C27</f>
        <v>10</v>
      </c>
      <c r="I26">
        <f>'Stats G1'!E27</f>
        <v>0</v>
      </c>
      <c r="J26">
        <f>'Stats G1'!H27</f>
        <v>0</v>
      </c>
      <c r="K26">
        <f t="shared" si="2"/>
        <v>0</v>
      </c>
      <c r="L26">
        <f>'Stats G1'!K27</f>
        <v>0</v>
      </c>
      <c r="M26">
        <f>'Stats G1'!N27</f>
        <v>0</v>
      </c>
      <c r="N26">
        <f>'Stats G1'!Q27</f>
        <v>0</v>
      </c>
      <c r="O26">
        <f>'Stats G1'!T27</f>
        <v>0</v>
      </c>
    </row>
    <row r="27" spans="6:15" x14ac:dyDescent="0.2">
      <c r="F27" t="str">
        <f>'Stats G1'!A28</f>
        <v>Will</v>
      </c>
      <c r="G27" t="str">
        <f>'Stats G1'!B28</f>
        <v>Joyce</v>
      </c>
      <c r="H27">
        <f>'Stats G1'!C28</f>
        <v>11</v>
      </c>
      <c r="I27">
        <f>'Stats G1'!E28</f>
        <v>0</v>
      </c>
      <c r="J27">
        <f>'Stats G1'!H28</f>
        <v>0</v>
      </c>
      <c r="K27">
        <f t="shared" si="2"/>
        <v>0</v>
      </c>
      <c r="L27">
        <f>'Stats G1'!K28</f>
        <v>0</v>
      </c>
      <c r="M27">
        <f>'Stats G1'!N28</f>
        <v>0</v>
      </c>
      <c r="N27">
        <f>'Stats G1'!Q28</f>
        <v>0</v>
      </c>
      <c r="O27">
        <f>'Stats G1'!T28</f>
        <v>0</v>
      </c>
    </row>
    <row r="28" spans="6:15" x14ac:dyDescent="0.2">
      <c r="F28" t="str">
        <f>'Stats G1'!A29</f>
        <v>Jael</v>
      </c>
      <c r="G28" t="str">
        <f>'Stats G1'!B29</f>
        <v>Vaughn</v>
      </c>
      <c r="H28">
        <f>'Stats G1'!C29</f>
        <v>12</v>
      </c>
      <c r="I28">
        <f>'Stats G1'!E29</f>
        <v>0</v>
      </c>
      <c r="J28">
        <f>'Stats G1'!H29</f>
        <v>8</v>
      </c>
      <c r="K28">
        <f t="shared" si="2"/>
        <v>8</v>
      </c>
      <c r="L28">
        <f>'Stats G1'!K29</f>
        <v>1</v>
      </c>
      <c r="M28">
        <f>'Stats G1'!N29</f>
        <v>4</v>
      </c>
      <c r="N28">
        <f>'Stats G1'!Q29</f>
        <v>0</v>
      </c>
      <c r="O28">
        <f>'Stats G1'!T29</f>
        <v>0</v>
      </c>
    </row>
    <row r="29" spans="6:15" x14ac:dyDescent="0.2">
      <c r="F29" t="str">
        <f>'Stats G1'!A30</f>
        <v>Fardaws</v>
      </c>
      <c r="G29" t="str">
        <f>'Stats G1'!B30</f>
        <v>Aimaq</v>
      </c>
      <c r="H29">
        <f>'Stats G1'!C30</f>
        <v>21</v>
      </c>
      <c r="I29">
        <f>'Stats G1'!E30</f>
        <v>0</v>
      </c>
      <c r="J29">
        <f>'Stats G1'!H30</f>
        <v>1</v>
      </c>
      <c r="K29">
        <f t="shared" si="2"/>
        <v>1</v>
      </c>
      <c r="L29">
        <f>'Stats G1'!K30</f>
        <v>0</v>
      </c>
      <c r="M29">
        <f>'Stats G1'!N30</f>
        <v>0</v>
      </c>
      <c r="N29">
        <f>'Stats G1'!Q30</f>
        <v>0</v>
      </c>
      <c r="O29">
        <f>'Stats G1'!T30</f>
        <v>0</v>
      </c>
    </row>
    <row r="30" spans="6:15" x14ac:dyDescent="0.2">
      <c r="F30" t="str">
        <f>'Stats G1'!A31</f>
        <v>Yoeli</v>
      </c>
      <c r="G30" t="str">
        <f>'Stats G1'!B31</f>
        <v>Childs</v>
      </c>
      <c r="H30">
        <f>'Stats G1'!C31</f>
        <v>22</v>
      </c>
      <c r="I30">
        <f>'Stats G1'!E31</f>
        <v>6</v>
      </c>
      <c r="J30">
        <f>'Stats G1'!H31</f>
        <v>9</v>
      </c>
      <c r="K30">
        <f t="shared" si="2"/>
        <v>15</v>
      </c>
      <c r="L30">
        <f>'Stats G1'!K31</f>
        <v>3</v>
      </c>
      <c r="M30">
        <f>'Stats G1'!N31</f>
        <v>3</v>
      </c>
      <c r="N30">
        <f>'Stats G1'!Q31</f>
        <v>0</v>
      </c>
      <c r="O30">
        <f>'Stats G1'!T31</f>
        <v>0</v>
      </c>
    </row>
    <row r="31" spans="6:15" x14ac:dyDescent="0.2">
      <c r="F31" t="str">
        <f>'Stats G1'!A32</f>
        <v>Nicholas</v>
      </c>
      <c r="G31" t="str">
        <f>'Stats G1'!B32</f>
        <v>Paulos</v>
      </c>
      <c r="H31">
        <f>'Stats G1'!C32</f>
        <v>31</v>
      </c>
      <c r="I31">
        <f>'Stats G1'!E32</f>
        <v>1</v>
      </c>
      <c r="J31">
        <f>'Stats G1'!H32</f>
        <v>2</v>
      </c>
      <c r="K31">
        <f t="shared" si="2"/>
        <v>3</v>
      </c>
      <c r="L31">
        <f>'Stats G1'!K32</f>
        <v>1</v>
      </c>
      <c r="M31">
        <f>'Stats G1'!N32</f>
        <v>0</v>
      </c>
      <c r="N31">
        <f>'Stats G1'!Q32</f>
        <v>0</v>
      </c>
      <c r="O31">
        <f>'Stats G1'!T32</f>
        <v>0</v>
      </c>
    </row>
    <row r="32" spans="6:15" x14ac:dyDescent="0.2">
      <c r="F32" t="str">
        <f>'Stats G1'!A33</f>
        <v>Zach</v>
      </c>
      <c r="G32" t="str">
        <f>'Stats G1'!B33</f>
        <v>Seljaas</v>
      </c>
      <c r="H32">
        <f>'Stats G1'!C33</f>
        <v>99</v>
      </c>
      <c r="I32">
        <f>'Stats G1'!E33</f>
        <v>2</v>
      </c>
      <c r="J32">
        <f>'Stats G1'!H33</f>
        <v>9</v>
      </c>
      <c r="K32">
        <f t="shared" si="2"/>
        <v>11</v>
      </c>
      <c r="L32">
        <f>'Stats G1'!K33</f>
        <v>3</v>
      </c>
      <c r="M32">
        <f>'Stats G1'!N33</f>
        <v>1</v>
      </c>
      <c r="N32">
        <f>'Stats G1'!Q33</f>
        <v>0</v>
      </c>
      <c r="O32">
        <f>'Stats G1'!T33</f>
        <v>0</v>
      </c>
    </row>
    <row r="33" spans="6:15" x14ac:dyDescent="0.2">
      <c r="F33" t="str">
        <f>'Stats G1'!A34</f>
        <v>?</v>
      </c>
      <c r="G33" t="str">
        <f>'Stats G1'!B34</f>
        <v>?</v>
      </c>
      <c r="H33">
        <f>'Stats G1'!C34</f>
        <v>55</v>
      </c>
      <c r="I33">
        <f>'Stats G1'!E34</f>
        <v>0</v>
      </c>
      <c r="J33">
        <f>'Stats G1'!H34</f>
        <v>1</v>
      </c>
      <c r="K33">
        <f t="shared" si="2"/>
        <v>1</v>
      </c>
      <c r="L33">
        <f>'Stats G1'!K34</f>
        <v>0</v>
      </c>
      <c r="M33">
        <f>'Stats G1'!N34</f>
        <v>2</v>
      </c>
      <c r="N33">
        <f>'Stats G1'!Q34</f>
        <v>0</v>
      </c>
      <c r="O33">
        <f>'Stats G1'!T34</f>
        <v>0</v>
      </c>
    </row>
    <row r="34" spans="6:15" x14ac:dyDescent="0.2">
      <c r="F34" t="str">
        <f>'Stats G1'!A35</f>
        <v>?</v>
      </c>
      <c r="G34" t="str">
        <f>'Stats G1'!B35</f>
        <v>?</v>
      </c>
      <c r="H34">
        <f>'Stats G1'!C35</f>
        <v>30</v>
      </c>
      <c r="I34">
        <f>'Stats G1'!E35</f>
        <v>0</v>
      </c>
      <c r="J34">
        <f>'Stats G1'!H35</f>
        <v>2</v>
      </c>
      <c r="K34">
        <f t="shared" si="2"/>
        <v>2</v>
      </c>
      <c r="L34">
        <f>'Stats G1'!K35</f>
        <v>2</v>
      </c>
      <c r="M34">
        <f>'Stats G1'!N35</f>
        <v>0</v>
      </c>
      <c r="N34">
        <f>'Stats G1'!Q35</f>
        <v>0</v>
      </c>
      <c r="O34">
        <f>'Stats G1'!T35</f>
        <v>0</v>
      </c>
    </row>
    <row r="35" spans="6:15" x14ac:dyDescent="0.2">
      <c r="F35" t="str">
        <f>'Stats G1'!A36</f>
        <v>?</v>
      </c>
      <c r="G35" t="str">
        <f>'Stats G1'!B36</f>
        <v>?</v>
      </c>
      <c r="H35">
        <f>'Stats G1'!C36</f>
        <v>0</v>
      </c>
      <c r="I35">
        <f>'Stats G1'!E36</f>
        <v>0</v>
      </c>
      <c r="J35">
        <f>'Stats G1'!H36</f>
        <v>0</v>
      </c>
      <c r="K35">
        <f t="shared" si="2"/>
        <v>0</v>
      </c>
      <c r="L35">
        <f>'Stats G1'!K36</f>
        <v>0</v>
      </c>
      <c r="M35">
        <f>'Stats G1'!N36</f>
        <v>0</v>
      </c>
      <c r="N35">
        <f>'Stats G1'!Q36</f>
        <v>0</v>
      </c>
      <c r="O35">
        <f>'Stats G1'!T36</f>
        <v>0</v>
      </c>
    </row>
    <row r="36" spans="6:15" x14ac:dyDescent="0.2">
      <c r="F36" t="str">
        <f>'Stats G1'!A37</f>
        <v>?</v>
      </c>
      <c r="G36" t="str">
        <f>'Stats G1'!B37</f>
        <v>?</v>
      </c>
      <c r="H36">
        <f>'Stats G1'!C37</f>
        <v>0</v>
      </c>
      <c r="I36">
        <f>'Stats G1'!E37</f>
        <v>0</v>
      </c>
      <c r="J36">
        <f>'Stats G1'!H37</f>
        <v>0</v>
      </c>
      <c r="K36">
        <f t="shared" si="2"/>
        <v>0</v>
      </c>
      <c r="L36">
        <f>'Stats G1'!K37</f>
        <v>0</v>
      </c>
      <c r="M36">
        <f>'Stats G1'!N37</f>
        <v>0</v>
      </c>
      <c r="N36">
        <f>'Stats G1'!Q37</f>
        <v>0</v>
      </c>
      <c r="O36">
        <f>'Stats G1'!T37</f>
        <v>0</v>
      </c>
    </row>
    <row r="37" spans="6:15" x14ac:dyDescent="0.2">
      <c r="H37" s="2" t="s">
        <v>14</v>
      </c>
      <c r="I37">
        <f t="shared" ref="I37:M37" si="3">SUM(I22:I36)</f>
        <v>10</v>
      </c>
      <c r="J37">
        <f t="shared" si="3"/>
        <v>33</v>
      </c>
      <c r="K37">
        <f t="shared" si="3"/>
        <v>43</v>
      </c>
      <c r="L37">
        <f t="shared" si="3"/>
        <v>11</v>
      </c>
      <c r="M37">
        <f t="shared" si="3"/>
        <v>14</v>
      </c>
      <c r="N37">
        <f>'Stats G1'!Q38</f>
        <v>0</v>
      </c>
      <c r="O37">
        <f>'Stats G1'!T38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zoomScale="80" zoomScaleNormal="80" workbookViewId="0">
      <selection activeCell="B3" sqref="B3"/>
    </sheetView>
  </sheetViews>
  <sheetFormatPr baseColWidth="10" defaultColWidth="11.1640625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</v>
      </c>
      <c r="B1" t="s">
        <v>6</v>
      </c>
      <c r="C1" t="s">
        <v>7</v>
      </c>
    </row>
    <row r="2" spans="1:21" hidden="1" x14ac:dyDescent="0.2"/>
    <row r="3" spans="1:21" x14ac:dyDescent="0.2">
      <c r="A3" s="2" t="s">
        <v>18</v>
      </c>
      <c r="B3" s="1" t="s">
        <v>6</v>
      </c>
    </row>
    <row r="4" spans="1:21" x14ac:dyDescent="0.2">
      <c r="A4" t="s">
        <v>2</v>
      </c>
      <c r="B4" t="s">
        <v>3</v>
      </c>
      <c r="C4" t="s">
        <v>0</v>
      </c>
      <c r="E4" t="s">
        <v>8</v>
      </c>
      <c r="H4" t="s">
        <v>9</v>
      </c>
      <c r="K4" t="s">
        <v>11</v>
      </c>
      <c r="N4" t="s">
        <v>12</v>
      </c>
    </row>
    <row r="5" spans="1:21" s="6" customFormat="1" x14ac:dyDescent="0.2">
      <c r="A5" s="5" t="s">
        <v>23</v>
      </c>
      <c r="B5" s="5" t="s">
        <v>43</v>
      </c>
      <c r="C5" s="5">
        <v>3</v>
      </c>
      <c r="D5" s="5"/>
      <c r="E5" s="5">
        <v>1</v>
      </c>
      <c r="F5" s="5"/>
      <c r="G5" s="5"/>
      <c r="H5" s="5">
        <v>4</v>
      </c>
      <c r="I5" s="5"/>
      <c r="J5" s="5"/>
      <c r="K5" s="5">
        <v>2</v>
      </c>
      <c r="L5" s="5"/>
      <c r="M5" s="5"/>
      <c r="N5" s="5">
        <v>1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">
        <v>23</v>
      </c>
      <c r="B6" s="6" t="s">
        <v>44</v>
      </c>
      <c r="C6" s="6">
        <v>5</v>
      </c>
      <c r="E6" s="6">
        <v>1</v>
      </c>
      <c r="H6" s="6">
        <v>5</v>
      </c>
      <c r="K6" s="6">
        <v>1</v>
      </c>
      <c r="N6" s="6">
        <v>4</v>
      </c>
      <c r="Q6" s="6">
        <v>0</v>
      </c>
      <c r="T6" s="6">
        <v>0</v>
      </c>
    </row>
    <row r="7" spans="1:21" s="6" customFormat="1" x14ac:dyDescent="0.2">
      <c r="A7" s="5" t="s">
        <v>45</v>
      </c>
      <c r="B7" s="5" t="s">
        <v>46</v>
      </c>
      <c r="C7" s="5">
        <v>7</v>
      </c>
      <c r="D7" s="5"/>
      <c r="E7" s="5">
        <v>1</v>
      </c>
      <c r="F7" s="5"/>
      <c r="G7" s="5"/>
      <c r="H7" s="5">
        <v>5</v>
      </c>
      <c r="I7" s="5"/>
      <c r="J7" s="5"/>
      <c r="K7" s="5">
        <v>1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">
        <v>47</v>
      </c>
      <c r="B8" s="6" t="s">
        <v>48</v>
      </c>
      <c r="C8" s="6">
        <v>11</v>
      </c>
      <c r="E8" s="6">
        <v>4</v>
      </c>
      <c r="H8" s="6">
        <v>7</v>
      </c>
      <c r="K8" s="6">
        <v>0</v>
      </c>
      <c r="N8" s="6">
        <v>2</v>
      </c>
      <c r="Q8" s="6">
        <v>0</v>
      </c>
      <c r="T8" s="6">
        <v>0</v>
      </c>
    </row>
    <row r="9" spans="1:21" s="6" customFormat="1" x14ac:dyDescent="0.2">
      <c r="A9" s="5" t="s">
        <v>49</v>
      </c>
      <c r="B9" s="5" t="s">
        <v>50</v>
      </c>
      <c r="C9" s="5">
        <v>12</v>
      </c>
      <c r="D9" s="5"/>
      <c r="E9" s="5">
        <v>0</v>
      </c>
      <c r="F9" s="5"/>
      <c r="G9" s="5"/>
      <c r="H9" s="5">
        <v>3</v>
      </c>
      <c r="I9" s="5"/>
      <c r="J9" s="5"/>
      <c r="K9" s="5">
        <v>1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">
        <v>56</v>
      </c>
      <c r="B10" s="6" t="s">
        <v>57</v>
      </c>
      <c r="C10" s="6">
        <v>21</v>
      </c>
      <c r="E10" s="6">
        <v>0</v>
      </c>
      <c r="H10" s="6">
        <v>2</v>
      </c>
      <c r="K10" s="6">
        <v>3</v>
      </c>
      <c r="N10" s="6">
        <v>5</v>
      </c>
      <c r="Q10" s="6">
        <v>0</v>
      </c>
      <c r="T10" s="6">
        <v>0</v>
      </c>
    </row>
    <row r="11" spans="1:21" s="6" customFormat="1" x14ac:dyDescent="0.2">
      <c r="A11" s="7" t="s">
        <v>51</v>
      </c>
      <c r="B11" s="7" t="s">
        <v>52</v>
      </c>
      <c r="C11" s="7"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">
        <v>53</v>
      </c>
      <c r="B12" s="6" t="s">
        <v>28</v>
      </c>
      <c r="C12" s="6">
        <v>24</v>
      </c>
      <c r="E12" s="6">
        <v>2</v>
      </c>
      <c r="H12" s="6">
        <v>5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">
        <v>54</v>
      </c>
      <c r="B13" s="5" t="s">
        <v>55</v>
      </c>
      <c r="C13" s="5">
        <v>30</v>
      </c>
      <c r="D13" s="5"/>
      <c r="E13" s="5">
        <v>1</v>
      </c>
      <c r="F13" s="5"/>
      <c r="G13" s="5"/>
      <c r="H13" s="5">
        <v>6</v>
      </c>
      <c r="I13" s="5"/>
      <c r="J13" s="5"/>
      <c r="K13" s="5">
        <v>1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">
        <v>4</v>
      </c>
      <c r="B14" s="6" t="s">
        <v>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">
        <v>4</v>
      </c>
      <c r="B15" s="5" t="s">
        <v>4</v>
      </c>
      <c r="C15" s="5"/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">
        <v>4</v>
      </c>
      <c r="B16" s="6" t="s">
        <v>4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4</v>
      </c>
      <c r="B17" s="5" t="s">
        <v>4</v>
      </c>
      <c r="C17" s="5"/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4</v>
      </c>
      <c r="B18" s="6" t="s">
        <v>4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">
        <v>4</v>
      </c>
      <c r="B19" s="5" t="s">
        <v>4</v>
      </c>
      <c r="C19" s="5"/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10</v>
      </c>
      <c r="H20">
        <f>SUM(H5:H19)</f>
        <v>37</v>
      </c>
      <c r="K20">
        <f>SUM(K5:K19)</f>
        <v>9</v>
      </c>
      <c r="N20">
        <f>SUM(N5:N19)</f>
        <v>13</v>
      </c>
      <c r="Q20">
        <f>SUM(Q5:Q19)</f>
        <v>0</v>
      </c>
      <c r="T20">
        <f>SUM(T5:T19)</f>
        <v>0</v>
      </c>
    </row>
    <row r="21" spans="1:21" x14ac:dyDescent="0.2">
      <c r="A21" s="2" t="s">
        <v>19</v>
      </c>
      <c r="B21" s="1" t="s">
        <v>7</v>
      </c>
    </row>
    <row r="22" spans="1:21" x14ac:dyDescent="0.2">
      <c r="A22" t="s">
        <v>2</v>
      </c>
      <c r="B22" t="s">
        <v>3</v>
      </c>
      <c r="C22" t="s">
        <v>0</v>
      </c>
      <c r="E22" t="s">
        <v>8</v>
      </c>
      <c r="H22" t="s">
        <v>9</v>
      </c>
      <c r="K22" t="s">
        <v>11</v>
      </c>
      <c r="N22" t="s">
        <v>12</v>
      </c>
    </row>
    <row r="23" spans="1:21" s="6" customFormat="1" x14ac:dyDescent="0.2">
      <c r="A23" s="5" t="s">
        <v>21</v>
      </c>
      <c r="B23" s="5" t="s">
        <v>22</v>
      </c>
      <c r="C23" s="5">
        <v>0</v>
      </c>
      <c r="D23" s="5"/>
      <c r="E23" s="5">
        <v>0</v>
      </c>
      <c r="F23" s="5"/>
      <c r="G23" s="5"/>
      <c r="H23" s="5">
        <v>1</v>
      </c>
      <c r="I23" s="5"/>
      <c r="J23" s="5"/>
      <c r="K23" s="5">
        <v>1</v>
      </c>
      <c r="L23" s="5"/>
      <c r="M23" s="5"/>
      <c r="N23" s="5">
        <v>3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">
        <v>23</v>
      </c>
      <c r="B24" s="6" t="s">
        <v>24</v>
      </c>
      <c r="C24" s="6"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">
        <v>25</v>
      </c>
      <c r="B25" s="5" t="s">
        <v>26</v>
      </c>
      <c r="C25" s="5">
        <v>3</v>
      </c>
      <c r="D25" s="5"/>
      <c r="E25" s="5">
        <v>1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">
        <v>27</v>
      </c>
      <c r="B26" s="6" t="s">
        <v>28</v>
      </c>
      <c r="C26" s="6">
        <v>5</v>
      </c>
      <c r="E26" s="6">
        <v>0</v>
      </c>
      <c r="H26" s="6">
        <v>0</v>
      </c>
      <c r="K26" s="6">
        <v>0</v>
      </c>
      <c r="N26" s="6">
        <v>1</v>
      </c>
      <c r="Q26" s="6">
        <v>0</v>
      </c>
      <c r="T26" s="6">
        <v>0</v>
      </c>
    </row>
    <row r="27" spans="1:21" s="6" customFormat="1" x14ac:dyDescent="0.2">
      <c r="A27" s="5" t="s">
        <v>29</v>
      </c>
      <c r="B27" s="5" t="s">
        <v>30</v>
      </c>
      <c r="C27" s="5"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">
        <v>31</v>
      </c>
      <c r="B28" s="6" t="s">
        <v>32</v>
      </c>
      <c r="C28" s="6"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">
        <v>33</v>
      </c>
      <c r="B29" s="5" t="s">
        <v>34</v>
      </c>
      <c r="C29" s="5">
        <v>12</v>
      </c>
      <c r="D29" s="5"/>
      <c r="E29" s="5">
        <v>0</v>
      </c>
      <c r="F29" s="5"/>
      <c r="G29" s="5"/>
      <c r="H29" s="5">
        <v>8</v>
      </c>
      <c r="I29" s="5"/>
      <c r="J29" s="5"/>
      <c r="K29" s="5">
        <v>1</v>
      </c>
      <c r="L29" s="5"/>
      <c r="M29" s="5"/>
      <c r="N29" s="5">
        <v>4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">
        <v>35</v>
      </c>
      <c r="B30" s="6" t="s">
        <v>36</v>
      </c>
      <c r="C30" s="6">
        <v>21</v>
      </c>
      <c r="E30" s="6">
        <v>0</v>
      </c>
      <c r="H30" s="6">
        <v>1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">
        <v>37</v>
      </c>
      <c r="B31" s="5" t="s">
        <v>38</v>
      </c>
      <c r="C31" s="5">
        <v>22</v>
      </c>
      <c r="D31" s="5"/>
      <c r="E31" s="5">
        <v>6</v>
      </c>
      <c r="F31" s="5"/>
      <c r="G31" s="5"/>
      <c r="H31" s="5">
        <v>9</v>
      </c>
      <c r="I31" s="5"/>
      <c r="J31" s="5"/>
      <c r="K31" s="5">
        <v>3</v>
      </c>
      <c r="L31" s="5"/>
      <c r="M31" s="5"/>
      <c r="N31" s="5">
        <v>3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">
        <v>39</v>
      </c>
      <c r="B32" s="6" t="s">
        <v>40</v>
      </c>
      <c r="C32" s="6">
        <v>31</v>
      </c>
      <c r="E32" s="6">
        <v>1</v>
      </c>
      <c r="H32" s="6">
        <v>2</v>
      </c>
      <c r="K32" s="6">
        <v>1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">
        <v>41</v>
      </c>
      <c r="B33" s="5" t="s">
        <v>42</v>
      </c>
      <c r="C33" s="5">
        <v>99</v>
      </c>
      <c r="D33" s="5"/>
      <c r="E33" s="5">
        <v>2</v>
      </c>
      <c r="F33" s="5"/>
      <c r="G33" s="5"/>
      <c r="H33" s="5">
        <v>9</v>
      </c>
      <c r="I33" s="5"/>
      <c r="J33" s="5"/>
      <c r="K33" s="5">
        <v>3</v>
      </c>
      <c r="L33" s="5"/>
      <c r="M33" s="5"/>
      <c r="N33" s="5">
        <v>1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4</v>
      </c>
      <c r="B34" t="s">
        <v>4</v>
      </c>
      <c r="C34" s="9">
        <v>55</v>
      </c>
      <c r="D34"/>
      <c r="E34" s="6">
        <v>0</v>
      </c>
      <c r="F34"/>
      <c r="G34"/>
      <c r="H34" s="6">
        <v>1</v>
      </c>
      <c r="I34"/>
      <c r="J34"/>
      <c r="K34" s="6">
        <v>0</v>
      </c>
      <c r="L34"/>
      <c r="M34"/>
      <c r="N34" s="6">
        <v>2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4</v>
      </c>
      <c r="B35" s="5" t="s">
        <v>4</v>
      </c>
      <c r="C35" s="8">
        <v>30</v>
      </c>
      <c r="D35" s="5"/>
      <c r="E35" s="5">
        <v>0</v>
      </c>
      <c r="F35" s="5"/>
      <c r="G35" s="5"/>
      <c r="H35" s="5">
        <v>2</v>
      </c>
      <c r="I35" s="5"/>
      <c r="J35" s="5"/>
      <c r="K35" s="5">
        <v>2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4</v>
      </c>
      <c r="B36" t="s">
        <v>4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4</v>
      </c>
      <c r="B37" s="5" t="s">
        <v>4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10</v>
      </c>
      <c r="H38">
        <f>SUM(H23:H37)</f>
        <v>33</v>
      </c>
      <c r="K38">
        <f>SUM(K23:K37)</f>
        <v>11</v>
      </c>
      <c r="N38">
        <f>SUM(N23:N37)</f>
        <v>14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G1 Box Score</vt:lpstr>
      <vt:lpstr>Stats 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2021-06-30T22:12:44Z</dcterms:modified>
</cp:coreProperties>
</file>