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Templates/"/>
    </mc:Choice>
  </mc:AlternateContent>
  <xr:revisionPtr revIDLastSave="0" documentId="13_ncr:1_{9B03C3C5-19CE-DC44-BD0B-B86FEFFA4D12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6" i="1" s="1"/>
  <c r="G4" i="2" s="1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I18" i="2" s="1"/>
  <c r="J6" i="2"/>
  <c r="J18" i="2" s="1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I3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C32" i="1" l="1"/>
  <c r="H31" i="2" s="1"/>
  <c r="C29" i="1"/>
  <c r="H28" i="2" s="1"/>
  <c r="B33" i="1"/>
  <c r="G32" i="2" s="1"/>
  <c r="C25" i="1"/>
  <c r="H24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J37" i="2"/>
  <c r="K18" i="2"/>
  <c r="D3" i="2"/>
  <c r="B3" i="2"/>
  <c r="H3" i="2"/>
</calcChain>
</file>

<file path=xl/sharedStrings.xml><?xml version="1.0" encoding="utf-8"?>
<sst xmlns="http://schemas.openxmlformats.org/spreadsheetml/2006/main" count="482" uniqueCount="267">
  <si>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</si>
  <si>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</si>
  <si>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</si>
  <si>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</si>
  <si>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</si>
  <si>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</si>
  <si>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</si>
  <si>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</si>
  <si>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</si>
  <si>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</si>
  <si>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</si>
  <si>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</si>
  <si>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</si>
  <si>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</si>
  <si>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</si>
  <si>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</si>
  <si>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</si>
  <si>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</si>
  <si>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</si>
  <si>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</si>
  <si>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</si>
  <si>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</si>
  <si>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</si>
  <si>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</si>
  <si>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</si>
  <si>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</si>
  <si>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</si>
  <si>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</si>
  <si>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</si>
  <si>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</si>
  <si>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</si>
  <si>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</si>
  <si>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</si>
  <si>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</si>
  <si>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</si>
  <si>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</si>
  <si>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</si>
  <si>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</si>
  <si>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</si>
  <si>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</si>
  <si>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</si>
  <si>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</si>
  <si>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</si>
  <si>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</si>
  <si>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</si>
  <si>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</si>
  <si>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</si>
  <si>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</si>
  <si>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</si>
  <si>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</si>
  <si>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</si>
  <si>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</si>
  <si>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</si>
  <si>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</si>
  <si>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</si>
  <si>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</si>
  <si>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</si>
  <si>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</si>
  <si>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</si>
  <si>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</si>
  <si>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</si>
  <si>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</si>
  <si>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</si>
  <si>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</si>
  <si>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</si>
  <si>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</si>
  <si>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</si>
  <si>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</si>
  <si>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</si>
  <si>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</si>
  <si>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</si>
  <si>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</si>
  <si>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</si>
  <si>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</si>
  <si>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</si>
  <si>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</si>
  <si>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</si>
  <si>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</si>
  <si>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</si>
  <si>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</si>
  <si>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</si>
  <si>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</si>
  <si>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</si>
  <si>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</si>
  <si>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</si>
  <si>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</si>
  <si>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</si>
  <si>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</si>
  <si>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</si>
  <si>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</si>
  <si>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</si>
  <si>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</si>
  <si>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</si>
  <si>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</si>
  <si>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</si>
  <si>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</si>
  <si>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</si>
  <si>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</si>
  <si>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</si>
  <si>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</si>
  <si>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</si>
  <si>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</si>
  <si>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</si>
  <si>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</si>
  <si>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</si>
  <si>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</si>
  <si>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</si>
  <si>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</si>
  <si>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</si>
  <si>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</si>
  <si>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</si>
  <si>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</si>
  <si>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</si>
  <si>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</si>
  <si>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</si>
  <si>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</si>
  <si>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</si>
  <si>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</si>
  <si>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</si>
  <si>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</si>
  <si>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</si>
  <si>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</si>
  <si>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</si>
  <si>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</si>
  <si>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</si>
  <si>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</si>
  <si>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</si>
  <si>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</si>
  <si>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</si>
  <si>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</si>
  <si>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</si>
  <si>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</si>
  <si>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</si>
  <si>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</si>
  <si>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</si>
  <si>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</si>
  <si>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</si>
  <si>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</si>
  <si>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</si>
  <si>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</si>
  <si>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</si>
  <si>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</si>
  <si>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</si>
  <si>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</si>
  <si>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</si>
  <si>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</si>
  <si>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</si>
  <si>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</si>
  <si>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</si>
  <si>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</si>
  <si>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</si>
  <si>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</si>
  <si>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</si>
  <si>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</si>
  <si>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</si>
  <si>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</si>
  <si>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</si>
  <si>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</si>
  <si>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</si>
  <si>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</si>
  <si>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</si>
  <si>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</si>
  <si>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</si>
  <si>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</si>
  <si>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</si>
  <si>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</si>
  <si>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</si>
  <si>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</si>
  <si>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</si>
  <si>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</si>
  <si>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</si>
  <si>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</si>
  <si>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</si>
  <si>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</si>
  <si>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</si>
  <si>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</si>
  <si>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</si>
  <si>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</si>
  <si>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</si>
  <si>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</si>
  <si>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</si>
  <si>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</si>
  <si>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</si>
  <si>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</si>
  <si>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</si>
  <si>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</si>
  <si>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</si>
  <si>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</si>
  <si>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</si>
  <si>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</si>
  <si>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</si>
  <si>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</si>
  <si>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</si>
  <si>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</si>
  <si>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</si>
  <si>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</si>
  <si>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</si>
  <si>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</si>
  <si>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</si>
  <si>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</si>
  <si>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</si>
  <si>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</si>
  <si>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</si>
  <si>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</si>
  <si>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</si>
  <si>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</si>
  <si>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</si>
  <si>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</si>
  <si>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</si>
  <si>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</si>
  <si>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</si>
  <si>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</si>
  <si>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</si>
  <si>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</si>
  <si>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</si>
  <si>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</si>
  <si>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</si>
  <si>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</si>
  <si>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</si>
  <si>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</si>
  <si>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</si>
  <si>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</si>
  <si>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</si>
  <si>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</si>
  <si>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</si>
  <si>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</si>
  <si>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</si>
  <si>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</si>
  <si>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</si>
  <si>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</si>
  <si>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</si>
  <si>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</si>
  <si>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</si>
  <si>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</si>
  <si>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</si>
  <si>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</si>
  <si>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</si>
  <si>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</si>
  <si>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</si>
  <si>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</si>
  <si>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</si>
  <si>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</si>
  <si>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</si>
  <si>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</si>
  <si>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AST</t>
  </si>
  <si>
    <t>STL</t>
  </si>
  <si>
    <t>PF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</si>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</sst>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2" sqref="D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G1'!B3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244</v>
      </c>
      <c r="J2" t="s">
        <v>245</v>
      </c>
      <c r="K2" t="s">
        <v>246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G1'!E5</f>
        <v>0</v>
      </c>
      <c r="J3">
        <f>'Stats G1'!H5</f>
        <v>0</v>
      </c>
      <c r="K3">
        <f>'Stats G1'!K5</f>
        <v>0</v>
      </c>
    </row>
    <row r="4" spans="2:11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G1'!E6</f>
        <v>0</v>
      </c>
      <c r="J4">
        <f>'Stats G1'!H6</f>
        <v>0</v>
      </c>
      <c r="K4">
        <f>'Stats G1'!K6</f>
        <v>0</v>
      </c>
    </row>
    <row r="5" spans="2:11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G1'!E7</f>
        <v>0</v>
      </c>
      <c r="J5">
        <f>'Stats G1'!H7</f>
        <v>0</v>
      </c>
      <c r="K5">
        <f>'Stats G1'!K7</f>
        <v>0</v>
      </c>
    </row>
    <row r="6" spans="2:11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G1'!E8</f>
        <v>0</v>
      </c>
      <c r="J6">
        <f>'Stats G1'!H8</f>
        <v>0</v>
      </c>
      <c r="K6">
        <f>'Stats G1'!K8</f>
        <v>0</v>
      </c>
    </row>
    <row r="7" spans="2:11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G1'!E9</f>
        <v>0</v>
      </c>
      <c r="J7">
        <f>'Stats G1'!H9</f>
        <v>0</v>
      </c>
      <c r="K7">
        <f>'Stats G1'!K9</f>
        <v>0</v>
      </c>
    </row>
    <row r="8" spans="2:11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G1'!E10</f>
        <v>0</v>
      </c>
      <c r="J8">
        <f>'Stats G1'!H10</f>
        <v>0</v>
      </c>
      <c r="K8">
        <f>'Stats G1'!K10</f>
        <v>0</v>
      </c>
    </row>
    <row r="9" spans="2:11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G1'!E11</f>
        <v>0</v>
      </c>
      <c r="J9">
        <f>'Stats G1'!H11</f>
        <v>0</v>
      </c>
      <c r="K9">
        <f>'Stats G1'!K11</f>
        <v>0</v>
      </c>
    </row>
    <row r="10" spans="2:11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G1'!E12</f>
        <v>0</v>
      </c>
      <c r="J10">
        <f>'Stats G1'!H12</f>
        <v>0</v>
      </c>
      <c r="K10">
        <f>'Stats G1'!K12</f>
        <v>0</v>
      </c>
    </row>
    <row r="11" spans="2:11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G1'!E13</f>
        <v>0</v>
      </c>
      <c r="J11">
        <f>'Stats G1'!H13</f>
        <v>0</v>
      </c>
      <c r="K11">
        <f>'Stats G1'!K13</f>
        <v>0</v>
      </c>
    </row>
    <row r="12" spans="2:11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G1'!E14</f>
        <v>0</v>
      </c>
      <c r="J12">
        <f>'Stats G1'!H14</f>
        <v>0</v>
      </c>
      <c r="K12">
        <f>'Stats G1'!K14</f>
        <v>0</v>
      </c>
    </row>
    <row r="13" spans="2:11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</row>
    <row r="14" spans="2:11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</row>
    <row r="15" spans="2:11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</row>
    <row r="16" spans="2:11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</row>
    <row r="17" spans="6:11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G1'!B21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244</v>
      </c>
      <c r="J21" t="s">
        <v>245</v>
      </c>
      <c r="K21" t="s">
        <v>246</v>
      </c>
    </row>
    <row r="22" spans="6:11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G1'!E23</f>
        <v>0</v>
      </c>
      <c r="J22">
        <f>'Stats G1'!H23</f>
        <v>0</v>
      </c>
      <c r="K22">
        <f>'Stats G1'!K23</f>
        <v>0</v>
      </c>
    </row>
    <row r="23" spans="6:11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G1'!E24</f>
        <v>0</v>
      </c>
      <c r="J23">
        <f>'Stats G1'!H24</f>
        <v>0</v>
      </c>
      <c r="K23">
        <f>'Stats G1'!K24</f>
        <v>0</v>
      </c>
    </row>
    <row r="24" spans="6:11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G1'!E25</f>
        <v>0</v>
      </c>
      <c r="J24">
        <f>'Stats G1'!H25</f>
        <v>0</v>
      </c>
      <c r="K24">
        <f>'Stats G1'!K25</f>
        <v>0</v>
      </c>
    </row>
    <row r="25" spans="6:11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G1'!E26</f>
        <v>0</v>
      </c>
      <c r="J25">
        <f>'Stats G1'!H26</f>
        <v>0</v>
      </c>
      <c r="K25">
        <f>'Stats G1'!K26</f>
        <v>0</v>
      </c>
    </row>
    <row r="26" spans="6:11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G1'!E27</f>
        <v>0</v>
      </c>
      <c r="J26">
        <f>'Stats G1'!H27</f>
        <v>0</v>
      </c>
      <c r="K26">
        <f>'Stats G1'!K27</f>
        <v>0</v>
      </c>
    </row>
    <row r="27" spans="6:11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G1'!E28</f>
        <v>0</v>
      </c>
      <c r="J27">
        <f>'Stats G1'!H28</f>
        <v>0</v>
      </c>
      <c r="K27">
        <f>'Stats G1'!K28</f>
        <v>0</v>
      </c>
    </row>
    <row r="28" spans="6:11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G1'!E29</f>
        <v>0</v>
      </c>
      <c r="J28">
        <f>'Stats G1'!H29</f>
        <v>0</v>
      </c>
      <c r="K28">
        <f>'Stats G1'!K29</f>
        <v>0</v>
      </c>
    </row>
    <row r="29" spans="6:11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G1'!E30</f>
        <v>0</v>
      </c>
      <c r="J29">
        <f>'Stats G1'!H30</f>
        <v>0</v>
      </c>
      <c r="K29">
        <f>'Stats G1'!K30</f>
        <v>0</v>
      </c>
    </row>
    <row r="30" spans="6:11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G1'!E31</f>
        <v>0</v>
      </c>
      <c r="J30">
        <f>'Stats G1'!H31</f>
        <v>0</v>
      </c>
      <c r="K30">
        <f>'Stats G1'!K31</f>
        <v>0</v>
      </c>
    </row>
    <row r="31" spans="6:11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>'Stats G1'!K32</f>
        <v>0</v>
      </c>
    </row>
    <row r="32" spans="6:11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>'Stats G1'!K33</f>
        <v>0</v>
      </c>
    </row>
    <row r="33" spans="6:11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</row>
    <row r="34" spans="6:11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</row>
    <row r="35" spans="6:11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</row>
    <row r="36" spans="6:11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D21" sqref="D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10</v>
      </c>
    </row>
    <row r="4" spans="1:21" x14ac:dyDescent="0.2">
      <c r="A4" t="s">
        <v>1</v>
      </c>
      <c r="B4" t="s">
        <v>2</v>
      </c>
      <c r="C4" t="s">
        <v>0</v>
      </c>
      <c r="E4" t="s">
        <v>244</v>
      </c>
      <c r="H4" t="s">
        <v>245</v>
      </c>
      <c r="K4" t="s">
        <v>246</v>
      </c>
    </row>
    <row r="5" spans="1:21" s="6" customFormat="1" x14ac:dyDescent="0.2">
      <c r="A5" s="5" t="str">
        <f>_xlfn.IFNA(VLOOKUP($B$3&amp;ROWS($A$5:A5),Rosters!$B$2:$C$162,2,0),"?")</f>
        <v>?</v>
      </c>
      <c r="B5" s="5" t="str">
        <f>_xlfn.IFNA(VLOOKUP($B$3&amp;ROWS($B$5:B5),Rosters!$B$2:$D$162,3,0),"?")</f>
        <v>?</v>
      </c>
      <c r="C5" s="5" t="str">
        <f>_xlfn.IFNA(VLOOKUP($B$3&amp;ROWS($C$5:C5),Rosters!$B$2:$E$162,4,0),"")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?</v>
      </c>
      <c r="B6" s="6" t="str">
        <f>_xlfn.IFNA(VLOOKUP($B$3&amp;ROWS($B$5:B6),Rosters!$B$2:$D$162,3,0),"?")</f>
        <v>?</v>
      </c>
      <c r="C6" s="6" t="str">
        <f>_xlfn.IFNA(VLOOKUP($B$3&amp;ROWS($C$5:C6),Rosters!$B$2:$E$162,4,0),"")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?</v>
      </c>
      <c r="B7" s="5" t="str">
        <f>_xlfn.IFNA(VLOOKUP($B$3&amp;ROWS($B$5:B7),Rosters!$B$2:$D$162,3,0),"?")</f>
        <v>?</v>
      </c>
      <c r="C7" s="5" t="str">
        <f>_xlfn.IFNA(VLOOKUP($B$3&amp;ROWS($C$5:C7),Rosters!$B$2:$E$162,4,0),"")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?</v>
      </c>
      <c r="B8" s="6" t="str">
        <f>_xlfn.IFNA(VLOOKUP($B$3&amp;ROWS($B$5:B8),Rosters!$B$2:$D$162,3,0),"?")</f>
        <v>?</v>
      </c>
      <c r="C8" s="6" t="str">
        <f>_xlfn.IFNA(VLOOKUP($B$3&amp;ROWS($C$5:C8),Rosters!$B$2:$E$162,4,0),"")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?</v>
      </c>
      <c r="B9" s="5" t="str">
        <f>_xlfn.IFNA(VLOOKUP($B$3&amp;ROWS($B$5:B9),Rosters!$B$2:$D$162,3,0),"?")</f>
        <v>?</v>
      </c>
      <c r="C9" s="5" t="str">
        <f>_xlfn.IFNA(VLOOKUP($B$3&amp;ROWS($C$5:C9),Rosters!$B$2:$E$162,4,0),"")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?</v>
      </c>
      <c r="B10" s="6" t="str">
        <f>_xlfn.IFNA(VLOOKUP($B$3&amp;ROWS($B$5:B10),Rosters!$B$2:$D$162,3,0),"?")</f>
        <v>?</v>
      </c>
      <c r="C10" s="6" t="str">
        <f>_xlfn.IFNA(VLOOKUP($B$3&amp;ROWS($C$5:C10),Rosters!$B$2:$E$162,4,0),"")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?</v>
      </c>
      <c r="B11" s="5" t="str">
        <f>_xlfn.IFNA(VLOOKUP($B$3&amp;ROWS($B$5:B11),Rosters!$B$2:$D$162,3,0),"?")</f>
        <v>?</v>
      </c>
      <c r="C11" s="5" t="str">
        <f>_xlfn.IFNA(VLOOKUP($B$3&amp;ROWS($C$5:C11),Rosters!$B$2:$E$162,4,0),"")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?</v>
      </c>
      <c r="B12" s="6" t="str">
        <f>_xlfn.IFNA(VLOOKUP($B$3&amp;ROWS($B$5:B12),Rosters!$B$2:$D$162,3,0),"?")</f>
        <v>?</v>
      </c>
      <c r="C12" s="6" t="str">
        <f>_xlfn.IFNA(VLOOKUP($B$3&amp;ROWS($C$5:C12),Rosters!$B$2:$E$162,4,0),"")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?</v>
      </c>
      <c r="B13" s="5" t="str">
        <f>_xlfn.IFNA(VLOOKUP($B$3&amp;ROWS($B$5:B13),Rosters!$B$2:$D$162,3,0),"?")</f>
        <v>?</v>
      </c>
      <c r="C13" s="5" t="str">
        <f>_xlfn.IFNA(VLOOKUP($B$3&amp;ROWS($C$5:C13),Rosters!$B$2:$E$162,4,0),"")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0</v>
      </c>
      <c r="H20">
        <f>SUM(H5:H19)</f>
        <v>0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10</v>
      </c>
    </row>
    <row r="22" spans="1:21" x14ac:dyDescent="0.2">
      <c r="A22" t="s">
        <v>1</v>
      </c>
      <c r="B22" t="s">
        <v>2</v>
      </c>
      <c r="C22" t="s">
        <v>0</v>
      </c>
      <c r="E22" s="8" t="s">
        <v>244</v>
      </c>
      <c r="F22" s="8"/>
      <c r="G22" s="8"/>
      <c r="H22" s="8" t="s">
        <v>245</v>
      </c>
      <c r="I22" s="8"/>
      <c r="J22" s="8"/>
      <c r="K22" s="8" t="s">
        <v>246</v>
      </c>
    </row>
    <row r="23" spans="1:21" s="6" customFormat="1" x14ac:dyDescent="0.2">
      <c r="A23" s="5" t="str">
        <f>_xlfn.IFNA(VLOOKUP($B$21&amp;ROWS($A$23:A23),Rosters!$B$2:$C$162,2,0),"?")</f>
        <v>?</v>
      </c>
      <c r="B23" s="5" t="str">
        <f>_xlfn.IFNA(VLOOKUP($B$21&amp;ROWS($B$23:B23),Rosters!$B$2:$D$162,3,0),"?")</f>
        <v>?</v>
      </c>
      <c r="C23" s="5" t="str">
        <f>_xlfn.IFNA(VLOOKUP($B$21&amp;ROWS($C$23:C23),Rosters!$B$2:$E$162,4,0),"")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?</v>
      </c>
      <c r="B24" s="6" t="str">
        <f>_xlfn.IFNA(VLOOKUP($B$21&amp;ROWS($B$23:B24),Rosters!$B$2:$D$162,3,0),"?")</f>
        <v>?</v>
      </c>
      <c r="C24" s="6" t="str">
        <f>_xlfn.IFNA(VLOOKUP($B$21&amp;ROWS($C$23:C24),Rosters!$B$2:$E$162,4,0),"")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?</v>
      </c>
      <c r="B25" s="5" t="str">
        <f>_xlfn.IFNA(VLOOKUP($B$21&amp;ROWS($B$23:B25),Rosters!$B$2:$D$162,3,0),"?")</f>
        <v>?</v>
      </c>
      <c r="C25" s="5" t="str">
        <f>_xlfn.IFNA(VLOOKUP($B$21&amp;ROWS($C$23:C25),Rosters!$B$2:$E$162,4,0),"")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?</v>
      </c>
      <c r="B26" s="6" t="str">
        <f>_xlfn.IFNA(VLOOKUP($B$21&amp;ROWS($B$23:B26),Rosters!$B$2:$D$162,3,0),"?")</f>
        <v>?</v>
      </c>
      <c r="C26" s="6" t="str">
        <f>_xlfn.IFNA(VLOOKUP($B$21&amp;ROWS($C$23:C26),Rosters!$B$2:$E$162,4,0),"")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?</v>
      </c>
      <c r="B27" s="5" t="str">
        <f>_xlfn.IFNA(VLOOKUP($B$21&amp;ROWS($B$23:B27),Rosters!$B$2:$D$162,3,0),"?")</f>
        <v>?</v>
      </c>
      <c r="C27" s="5" t="str">
        <f>_xlfn.IFNA(VLOOKUP($B$21&amp;ROWS($C$23:C27),Rosters!$B$2:$E$162,4,0),"")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?</v>
      </c>
      <c r="B28" s="6" t="str">
        <f>_xlfn.IFNA(VLOOKUP($B$21&amp;ROWS($B$23:B28),Rosters!$B$2:$D$162,3,0),"?")</f>
        <v>?</v>
      </c>
      <c r="C28" s="6" t="str">
        <f>_xlfn.IFNA(VLOOKUP($B$21&amp;ROWS($C$23:C28),Rosters!$B$2:$E$162,4,0),"")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?</v>
      </c>
      <c r="B29" s="5" t="str">
        <f>_xlfn.IFNA(VLOOKUP($B$21&amp;ROWS($B$23:B29),Rosters!$B$2:$D$162,3,0),"?")</f>
        <v>?</v>
      </c>
      <c r="C29" s="5" t="str">
        <f>_xlfn.IFNA(VLOOKUP($B$21&amp;ROWS($C$23:C29),Rosters!$B$2:$E$162,4,0),"")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?</v>
      </c>
      <c r="B30" s="6" t="str">
        <f>_xlfn.IFNA(VLOOKUP($B$21&amp;ROWS($B$23:B30),Rosters!$B$2:$D$162,3,0),"?")</f>
        <v>?</v>
      </c>
      <c r="C30" s="6" t="str">
        <f>_xlfn.IFNA(VLOOKUP($B$21&amp;ROWS($C$23:C30),Rosters!$B$2:$E$162,4,0),"")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?</v>
      </c>
      <c r="B31" s="5" t="str">
        <f>_xlfn.IFNA(VLOOKUP($B$21&amp;ROWS($B$23:B31),Rosters!$B$2:$D$162,3,0),"?")</f>
        <v>?</v>
      </c>
      <c r="C31" s="5" t="str">
        <f>_xlfn.IFNA(VLOOKUP($B$21&amp;ROWS($C$23:C31),Rosters!$B$2:$E$162,4,0),"")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abSelected="1" workbookViewId="0">
      <selection activeCell="C5" sqref="C5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266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250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265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251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252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249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253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254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255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258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259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260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247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261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262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248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248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248</v>
      </c>
      <c r="B143" t="str">
        <f>A143&amp;COUNTIF($A$2:$A143,A143)</f>
        <v>Guest3</v>
      </c>
      <c r="C143" t="s">
        <v>263</v>
      </c>
      <c r="D143" t="s">
        <v>240</v>
      </c>
      <c r="E143">
        <v>19</v>
      </c>
    </row>
    <row r="144" spans="1:5" x14ac:dyDescent="0.2">
      <c r="A144" t="s">
        <v>248</v>
      </c>
      <c r="B144" t="str">
        <f>A144&amp;COUNTIF($A$2:$A144,A144)</f>
        <v>Guest4</v>
      </c>
      <c r="C144" t="s">
        <v>242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2021-07-29T18:22:36Z</dcterms:modified>
</cp:coreProperties>
</file>