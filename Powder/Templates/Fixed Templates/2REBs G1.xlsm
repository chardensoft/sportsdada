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Templates/Fixed Templates/"/>
    </mc:Choice>
  </mc:AlternateContent>
  <xr:revisionPtr revIDLastSave="0" documentId="13_ncr:1_{91B5CFF2-F90C-3D4C-A1FC-8C5D5DE595BD}" xr6:coauthVersionLast="47" xr6:coauthVersionMax="47" xr10:uidLastSave="{00000000-0000-0000-0000-000000000000}"/>
  <bookViews>
    <workbookView xWindow="8040" yWindow="1000" windowWidth="20300" windowHeight="1612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3" i="2" l="1"/>
  <c r="J23" i="2"/>
  <c r="K23" i="2"/>
  <c r="L23" i="2"/>
  <c r="M23" i="2"/>
  <c r="N23" i="2"/>
  <c r="O23" i="2"/>
  <c r="I24" i="2"/>
  <c r="K24" i="2" s="1"/>
  <c r="J24" i="2"/>
  <c r="L24" i="2"/>
  <c r="M24" i="2"/>
  <c r="N24" i="2"/>
  <c r="O24" i="2"/>
  <c r="I25" i="2"/>
  <c r="J25" i="2"/>
  <c r="K25" i="2" s="1"/>
  <c r="L25" i="2"/>
  <c r="M25" i="2"/>
  <c r="N25" i="2"/>
  <c r="O25" i="2"/>
  <c r="I26" i="2"/>
  <c r="J26" i="2"/>
  <c r="K26" i="2" s="1"/>
  <c r="L26" i="2"/>
  <c r="M26" i="2"/>
  <c r="N26" i="2"/>
  <c r="O26" i="2"/>
  <c r="I27" i="2"/>
  <c r="J27" i="2"/>
  <c r="K27" i="2" s="1"/>
  <c r="L27" i="2"/>
  <c r="M27" i="2"/>
  <c r="N27" i="2"/>
  <c r="O27" i="2"/>
  <c r="I28" i="2"/>
  <c r="K28" i="2" s="1"/>
  <c r="J28" i="2"/>
  <c r="L28" i="2"/>
  <c r="M28" i="2"/>
  <c r="N28" i="2"/>
  <c r="O28" i="2"/>
  <c r="I29" i="2"/>
  <c r="J29" i="2"/>
  <c r="L29" i="2"/>
  <c r="M29" i="2"/>
  <c r="N29" i="2"/>
  <c r="O29" i="2"/>
  <c r="I30" i="2"/>
  <c r="J30" i="2"/>
  <c r="L30" i="2"/>
  <c r="M30" i="2"/>
  <c r="N30" i="2"/>
  <c r="O30" i="2"/>
  <c r="I31" i="2"/>
  <c r="J31" i="2"/>
  <c r="K31" i="2" s="1"/>
  <c r="L31" i="2"/>
  <c r="M31" i="2"/>
  <c r="N31" i="2"/>
  <c r="O31" i="2"/>
  <c r="I32" i="2"/>
  <c r="J32" i="2"/>
  <c r="L32" i="2"/>
  <c r="M32" i="2"/>
  <c r="N32" i="2"/>
  <c r="O32" i="2"/>
  <c r="I33" i="2"/>
  <c r="J33" i="2"/>
  <c r="L33" i="2"/>
  <c r="M33" i="2"/>
  <c r="N33" i="2"/>
  <c r="O33" i="2"/>
  <c r="I34" i="2"/>
  <c r="K34" i="2" s="1"/>
  <c r="J34" i="2"/>
  <c r="L34" i="2"/>
  <c r="M34" i="2"/>
  <c r="N34" i="2"/>
  <c r="O34" i="2"/>
  <c r="I35" i="2"/>
  <c r="J35" i="2"/>
  <c r="L35" i="2"/>
  <c r="M35" i="2"/>
  <c r="N35" i="2"/>
  <c r="O35" i="2"/>
  <c r="I36" i="2"/>
  <c r="J36" i="2"/>
  <c r="K36" i="2" s="1"/>
  <c r="L36" i="2"/>
  <c r="M36" i="2"/>
  <c r="N36" i="2"/>
  <c r="O36" i="2"/>
  <c r="O22" i="2"/>
  <c r="N22" i="2"/>
  <c r="M22" i="2"/>
  <c r="L22" i="2"/>
  <c r="I22" i="2"/>
  <c r="J22" i="2"/>
  <c r="I4" i="2"/>
  <c r="J4" i="2"/>
  <c r="L4" i="2"/>
  <c r="M4" i="2"/>
  <c r="N4" i="2"/>
  <c r="O4" i="2"/>
  <c r="I5" i="2"/>
  <c r="J5" i="2"/>
  <c r="K5" i="2" s="1"/>
  <c r="L5" i="2"/>
  <c r="M5" i="2"/>
  <c r="N5" i="2"/>
  <c r="O5" i="2"/>
  <c r="I6" i="2"/>
  <c r="J6" i="2"/>
  <c r="K6" i="2" s="1"/>
  <c r="L6" i="2"/>
  <c r="M6" i="2"/>
  <c r="N6" i="2"/>
  <c r="O6" i="2"/>
  <c r="I7" i="2"/>
  <c r="J7" i="2"/>
  <c r="L7" i="2"/>
  <c r="M7" i="2"/>
  <c r="N7" i="2"/>
  <c r="O7" i="2"/>
  <c r="I8" i="2"/>
  <c r="J8" i="2"/>
  <c r="K8" i="2" s="1"/>
  <c r="L8" i="2"/>
  <c r="M8" i="2"/>
  <c r="N8" i="2"/>
  <c r="O8" i="2"/>
  <c r="I9" i="2"/>
  <c r="J9" i="2"/>
  <c r="L9" i="2"/>
  <c r="M9" i="2"/>
  <c r="N9" i="2"/>
  <c r="O9" i="2"/>
  <c r="I10" i="2"/>
  <c r="J10" i="2"/>
  <c r="L10" i="2"/>
  <c r="M10" i="2"/>
  <c r="N10" i="2"/>
  <c r="O10" i="2"/>
  <c r="I11" i="2"/>
  <c r="J11" i="2"/>
  <c r="L11" i="2"/>
  <c r="M11" i="2"/>
  <c r="N11" i="2"/>
  <c r="O11" i="2"/>
  <c r="I12" i="2"/>
  <c r="J12" i="2"/>
  <c r="L12" i="2"/>
  <c r="M12" i="2"/>
  <c r="N12" i="2"/>
  <c r="O12" i="2"/>
  <c r="I13" i="2"/>
  <c r="J13" i="2"/>
  <c r="K13" i="2" s="1"/>
  <c r="L13" i="2"/>
  <c r="M13" i="2"/>
  <c r="N13" i="2"/>
  <c r="O13" i="2"/>
  <c r="I14" i="2"/>
  <c r="J14" i="2"/>
  <c r="L14" i="2"/>
  <c r="M14" i="2"/>
  <c r="N14" i="2"/>
  <c r="O14" i="2"/>
  <c r="I15" i="2"/>
  <c r="J15" i="2"/>
  <c r="L15" i="2"/>
  <c r="M15" i="2"/>
  <c r="N15" i="2"/>
  <c r="O15" i="2"/>
  <c r="I16" i="2"/>
  <c r="J16" i="2"/>
  <c r="K16" i="2" s="1"/>
  <c r="L16" i="2"/>
  <c r="M16" i="2"/>
  <c r="N16" i="2"/>
  <c r="O16" i="2"/>
  <c r="I17" i="2"/>
  <c r="J17" i="2"/>
  <c r="L17" i="2"/>
  <c r="M17" i="2"/>
  <c r="N17" i="2"/>
  <c r="O17" i="2"/>
  <c r="O3" i="2"/>
  <c r="M3" i="2"/>
  <c r="N3" i="2"/>
  <c r="L3" i="2"/>
  <c r="J3" i="2"/>
  <c r="I3" i="2"/>
  <c r="K29" i="2" l="1"/>
  <c r="K3" i="2"/>
  <c r="K30" i="2"/>
  <c r="O18" i="2"/>
  <c r="K17" i="2"/>
  <c r="K15" i="2"/>
  <c r="K7" i="2"/>
  <c r="K9" i="2"/>
  <c r="O37" i="2"/>
  <c r="K10" i="2"/>
  <c r="K22" i="2"/>
  <c r="I18" i="2"/>
  <c r="L18" i="2"/>
  <c r="M18" i="2"/>
  <c r="K12" i="2"/>
  <c r="M37" i="2"/>
  <c r="N18" i="2"/>
  <c r="K11" i="2"/>
  <c r="K4" i="2"/>
  <c r="K33" i="2"/>
  <c r="K32" i="2"/>
  <c r="L37" i="2"/>
  <c r="K14" i="2"/>
  <c r="N37" i="2"/>
  <c r="J18" i="2"/>
  <c r="K35" i="2"/>
  <c r="I37" i="2"/>
  <c r="J37" i="2"/>
  <c r="W39" i="1"/>
  <c r="W21" i="1"/>
  <c r="T39" i="1"/>
  <c r="T21" i="1"/>
  <c r="Q39" i="1"/>
  <c r="Q21" i="1"/>
  <c r="N39" i="1"/>
  <c r="N21" i="1"/>
  <c r="K39" i="1"/>
  <c r="K21" i="1"/>
  <c r="H39" i="1"/>
  <c r="H21" i="1"/>
  <c r="E39" i="1"/>
  <c r="E21" i="1"/>
  <c r="C20" i="1"/>
  <c r="H17" i="2" s="1"/>
  <c r="B20" i="1"/>
  <c r="G17" i="2" s="1"/>
  <c r="A20" i="1"/>
  <c r="F17" i="2" s="1"/>
  <c r="C19" i="1"/>
  <c r="H16" i="2" s="1"/>
  <c r="B19" i="1"/>
  <c r="G16" i="2" s="1"/>
  <c r="A19" i="1"/>
  <c r="F16" i="2" s="1"/>
  <c r="C18" i="1"/>
  <c r="H15" i="2" s="1"/>
  <c r="B18" i="1"/>
  <c r="G15" i="2" s="1"/>
  <c r="A18" i="1"/>
  <c r="F15" i="2" s="1"/>
  <c r="C17" i="1"/>
  <c r="H14" i="2" s="1"/>
  <c r="B17" i="1"/>
  <c r="G14" i="2" s="1"/>
  <c r="A17" i="1"/>
  <c r="F14" i="2" s="1"/>
  <c r="C38" i="1"/>
  <c r="H36" i="2" s="1"/>
  <c r="B38" i="1"/>
  <c r="G36" i="2" s="1"/>
  <c r="A38" i="1"/>
  <c r="F36" i="2" s="1"/>
  <c r="C37" i="1"/>
  <c r="H35" i="2" s="1"/>
  <c r="B37" i="1"/>
  <c r="G35" i="2" s="1"/>
  <c r="A37" i="1"/>
  <c r="F35" i="2" s="1"/>
  <c r="C36" i="1"/>
  <c r="H34" i="2" s="1"/>
  <c r="B36" i="1"/>
  <c r="G34" i="2" s="1"/>
  <c r="A36" i="1"/>
  <c r="F34" i="2" s="1"/>
  <c r="C35" i="1"/>
  <c r="H33" i="2" s="1"/>
  <c r="B35" i="1"/>
  <c r="G33" i="2" s="1"/>
  <c r="A35" i="1"/>
  <c r="F33" i="2" s="1"/>
  <c r="C34" i="1"/>
  <c r="H32" i="2" s="1"/>
  <c r="B34" i="1"/>
  <c r="G32" i="2" s="1"/>
  <c r="A34" i="1"/>
  <c r="F32" i="2" s="1"/>
  <c r="C33" i="1"/>
  <c r="H31" i="2" s="1"/>
  <c r="B33" i="1"/>
  <c r="G31" i="2" s="1"/>
  <c r="A33" i="1"/>
  <c r="F31" i="2" s="1"/>
  <c r="C32" i="1"/>
  <c r="H30" i="2" s="1"/>
  <c r="B32" i="1"/>
  <c r="G30" i="2" s="1"/>
  <c r="A32" i="1"/>
  <c r="F30" i="2" s="1"/>
  <c r="C31" i="1"/>
  <c r="H29" i="2" s="1"/>
  <c r="B31" i="1"/>
  <c r="G29" i="2" s="1"/>
  <c r="A31" i="1"/>
  <c r="F29" i="2" s="1"/>
  <c r="C30" i="1"/>
  <c r="H28" i="2" s="1"/>
  <c r="B30" i="1"/>
  <c r="G28" i="2" s="1"/>
  <c r="A30" i="1"/>
  <c r="F28" i="2" s="1"/>
  <c r="C29" i="1"/>
  <c r="H27" i="2" s="1"/>
  <c r="B29" i="1"/>
  <c r="G27" i="2" s="1"/>
  <c r="A29" i="1"/>
  <c r="F27" i="2" s="1"/>
  <c r="C28" i="1"/>
  <c r="H26" i="2" s="1"/>
  <c r="B28" i="1"/>
  <c r="G26" i="2" s="1"/>
  <c r="A28" i="1"/>
  <c r="F26" i="2" s="1"/>
  <c r="C27" i="1"/>
  <c r="H25" i="2" s="1"/>
  <c r="B27" i="1"/>
  <c r="G25" i="2" s="1"/>
  <c r="A27" i="1"/>
  <c r="F25" i="2" s="1"/>
  <c r="C26" i="1"/>
  <c r="H24" i="2" s="1"/>
  <c r="B26" i="1"/>
  <c r="G24" i="2" s="1"/>
  <c r="A26" i="1"/>
  <c r="F24" i="2" s="1"/>
  <c r="C25" i="1"/>
  <c r="H23" i="2" s="1"/>
  <c r="C24" i="1"/>
  <c r="B25" i="1"/>
  <c r="G23" i="2" s="1"/>
  <c r="A25" i="1"/>
  <c r="F23" i="2" s="1"/>
  <c r="B24" i="1"/>
  <c r="A24" i="1"/>
  <c r="K18" i="2" l="1"/>
  <c r="K37" i="2"/>
  <c r="C16" i="1"/>
  <c r="H13" i="2" s="1"/>
  <c r="B16" i="1"/>
  <c r="G13" i="2" s="1"/>
  <c r="A16" i="1"/>
  <c r="F13" i="2" s="1"/>
  <c r="C15" i="1"/>
  <c r="H12" i="2" s="1"/>
  <c r="B15" i="1"/>
  <c r="G12" i="2" s="1"/>
  <c r="A15" i="1"/>
  <c r="F12" i="2" s="1"/>
  <c r="C14" i="1"/>
  <c r="H11" i="2" s="1"/>
  <c r="B14" i="1"/>
  <c r="G11" i="2" s="1"/>
  <c r="A14" i="1"/>
  <c r="F11" i="2" s="1"/>
  <c r="C13" i="1"/>
  <c r="H10" i="2" s="1"/>
  <c r="B13" i="1"/>
  <c r="G10" i="2" s="1"/>
  <c r="A13" i="1"/>
  <c r="F10" i="2" s="1"/>
  <c r="C12" i="1"/>
  <c r="H9" i="2" s="1"/>
  <c r="B12" i="1"/>
  <c r="G9" i="2" s="1"/>
  <c r="A12" i="1"/>
  <c r="F9" i="2" s="1"/>
  <c r="C11" i="1"/>
  <c r="H8" i="2" s="1"/>
  <c r="B11" i="1"/>
  <c r="G8" i="2" s="1"/>
  <c r="A11" i="1"/>
  <c r="F8" i="2" s="1"/>
  <c r="C10" i="1"/>
  <c r="H7" i="2" s="1"/>
  <c r="B10" i="1"/>
  <c r="G7" i="2" s="1"/>
  <c r="A10" i="1"/>
  <c r="F7" i="2" s="1"/>
  <c r="C9" i="1"/>
  <c r="H6" i="2" s="1"/>
  <c r="B9" i="1"/>
  <c r="G6" i="2" s="1"/>
  <c r="A9" i="1"/>
  <c r="F6" i="2" s="1"/>
  <c r="C8" i="1"/>
  <c r="H5" i="2" s="1"/>
  <c r="B8" i="1"/>
  <c r="G5" i="2" s="1"/>
  <c r="A8" i="1"/>
  <c r="F5" i="2" s="1"/>
  <c r="G2" i="3" a="1"/>
  <c r="G2" i="3" s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1" i="3" l="1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A6" i="1" l="1"/>
  <c r="F3" i="2" s="1"/>
  <c r="A7" i="1"/>
  <c r="F4" i="2" s="1"/>
  <c r="B6" i="1"/>
  <c r="G3" i="2" s="1"/>
  <c r="B7" i="1"/>
  <c r="G4" i="2" s="1"/>
  <c r="F22" i="2"/>
  <c r="C6" i="1"/>
  <c r="H3" i="2" s="1"/>
  <c r="C7" i="1"/>
  <c r="H4" i="2" s="1"/>
  <c r="G22" i="2"/>
  <c r="H22" i="2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<sst xmlns="http://schemas.openxmlformats.org/spreadsheetml/2006/main" count="86" uniqueCount="35">
  <si>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</si>
  <si>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</si>
  <si>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</si>
  <si>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</si>
  <si>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</si>
  <si>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</si>
  <si>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</si>
  <si>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</si>
  <si>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</si>
  <si>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</si>
  <si>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</si>
  <si>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</si>
  <si>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</si>
  <si>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Practice Squad A</t>
  </si>
  <si>
    <t>Practice Squad B</t>
  </si>
  <si>
    <t>Player</t>
  </si>
  <si>
    <t>A1</t>
  </si>
  <si>
    <t>A2</t>
  </si>
  <si>
    <t>A3</t>
  </si>
  <si>
    <t>A5</t>
  </si>
  <si>
    <t>A4</t>
  </si>
  <si>
    <t>B1</t>
  </si>
  <si>
    <t>B2</t>
  </si>
  <si>
    <t>B3</t>
  </si>
  <si>
    <t>B4</t>
  </si>
  <si>
    <t>B5</t>
  </si>
  <si>
    <t>Select Team</t>
  </si>
  <si>
    <t>OREB</t>
  </si>
  <si>
    <t>DREB</t>
  </si>
  <si>
    <t>AST</t>
  </si>
  <si>
    <t>STL</t>
  </si>
  <si>
    <t>BLK</t>
  </si>
  <si>
    <t>PF</t>
  </si>
  <si>
    <t>TREB</t>
  </si>
  <si>
    <t>Possessions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</si>
</sst>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37</xdr:row>
          <xdr:rowOff>12700</xdr:rowOff>
        </xdr:from>
        <xdr:to>
          <xdr:col>3</xdr:col>
          <xdr:colOff>342900</xdr:colOff>
          <xdr:row>37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37</xdr:row>
          <xdr:rowOff>12700</xdr:rowOff>
        </xdr:from>
        <xdr:to>
          <xdr:col>5</xdr:col>
          <xdr:colOff>330200</xdr:colOff>
          <xdr:row>37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19</xdr:row>
          <xdr:rowOff>12700</xdr:rowOff>
        </xdr:from>
        <xdr:to>
          <xdr:col>3</xdr:col>
          <xdr:colOff>342900</xdr:colOff>
          <xdr:row>19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19</xdr:row>
          <xdr:rowOff>12700</xdr:rowOff>
        </xdr:from>
        <xdr:to>
          <xdr:col>5</xdr:col>
          <xdr:colOff>330200</xdr:colOff>
          <xdr:row>19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37</xdr:row>
          <xdr:rowOff>12700</xdr:rowOff>
        </xdr:from>
        <xdr:to>
          <xdr:col>6</xdr:col>
          <xdr:colOff>342900</xdr:colOff>
          <xdr:row>37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37</xdr:row>
          <xdr:rowOff>12700</xdr:rowOff>
        </xdr:from>
        <xdr:to>
          <xdr:col>8</xdr:col>
          <xdr:colOff>330200</xdr:colOff>
          <xdr:row>37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19</xdr:row>
          <xdr:rowOff>12700</xdr:rowOff>
        </xdr:from>
        <xdr:to>
          <xdr:col>6</xdr:col>
          <xdr:colOff>342900</xdr:colOff>
          <xdr:row>19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19</xdr:row>
          <xdr:rowOff>12700</xdr:rowOff>
        </xdr:from>
        <xdr:to>
          <xdr:col>8</xdr:col>
          <xdr:colOff>330200</xdr:colOff>
          <xdr:row>19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37</xdr:row>
          <xdr:rowOff>12700</xdr:rowOff>
        </xdr:from>
        <xdr:to>
          <xdr:col>9</xdr:col>
          <xdr:colOff>342900</xdr:colOff>
          <xdr:row>37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37</xdr:row>
          <xdr:rowOff>12700</xdr:rowOff>
        </xdr:from>
        <xdr:to>
          <xdr:col>11</xdr:col>
          <xdr:colOff>330200</xdr:colOff>
          <xdr:row>37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19</xdr:row>
          <xdr:rowOff>12700</xdr:rowOff>
        </xdr:from>
        <xdr:to>
          <xdr:col>9</xdr:col>
          <xdr:colOff>342900</xdr:colOff>
          <xdr:row>19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19</xdr:row>
          <xdr:rowOff>12700</xdr:rowOff>
        </xdr:from>
        <xdr:to>
          <xdr:col>11</xdr:col>
          <xdr:colOff>330200</xdr:colOff>
          <xdr:row>19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37</xdr:row>
          <xdr:rowOff>12700</xdr:rowOff>
        </xdr:from>
        <xdr:to>
          <xdr:col>12</xdr:col>
          <xdr:colOff>342900</xdr:colOff>
          <xdr:row>37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37</xdr:row>
          <xdr:rowOff>12700</xdr:rowOff>
        </xdr:from>
        <xdr:to>
          <xdr:col>14</xdr:col>
          <xdr:colOff>330200</xdr:colOff>
          <xdr:row>37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19</xdr:row>
          <xdr:rowOff>12700</xdr:rowOff>
        </xdr:from>
        <xdr:to>
          <xdr:col>12</xdr:col>
          <xdr:colOff>342900</xdr:colOff>
          <xdr:row>19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19</xdr:row>
          <xdr:rowOff>12700</xdr:rowOff>
        </xdr:from>
        <xdr:to>
          <xdr:col>14</xdr:col>
          <xdr:colOff>330200</xdr:colOff>
          <xdr:row>19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37</xdr:row>
          <xdr:rowOff>12700</xdr:rowOff>
        </xdr:from>
        <xdr:to>
          <xdr:col>15</xdr:col>
          <xdr:colOff>342900</xdr:colOff>
          <xdr:row>37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37</xdr:row>
          <xdr:rowOff>12700</xdr:rowOff>
        </xdr:from>
        <xdr:to>
          <xdr:col>17</xdr:col>
          <xdr:colOff>330200</xdr:colOff>
          <xdr:row>37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19</xdr:row>
          <xdr:rowOff>12700</xdr:rowOff>
        </xdr:from>
        <xdr:to>
          <xdr:col>15</xdr:col>
          <xdr:colOff>342900</xdr:colOff>
          <xdr:row>19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19</xdr:row>
          <xdr:rowOff>12700</xdr:rowOff>
        </xdr:from>
        <xdr:to>
          <xdr:col>17</xdr:col>
          <xdr:colOff>330200</xdr:colOff>
          <xdr:row>19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37</xdr:row>
          <xdr:rowOff>12700</xdr:rowOff>
        </xdr:from>
        <xdr:to>
          <xdr:col>18</xdr:col>
          <xdr:colOff>342900</xdr:colOff>
          <xdr:row>37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37</xdr:row>
          <xdr:rowOff>12700</xdr:rowOff>
        </xdr:from>
        <xdr:to>
          <xdr:col>20</xdr:col>
          <xdr:colOff>330200</xdr:colOff>
          <xdr:row>37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19</xdr:row>
          <xdr:rowOff>12700</xdr:rowOff>
        </xdr:from>
        <xdr:to>
          <xdr:col>18</xdr:col>
          <xdr:colOff>342900</xdr:colOff>
          <xdr:row>19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19</xdr:row>
          <xdr:rowOff>12700</xdr:rowOff>
        </xdr:from>
        <xdr:to>
          <xdr:col>20</xdr:col>
          <xdr:colOff>330200</xdr:colOff>
          <xdr:row>19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37</xdr:row>
          <xdr:rowOff>12700</xdr:rowOff>
        </xdr:from>
        <xdr:to>
          <xdr:col>21</xdr:col>
          <xdr:colOff>342900</xdr:colOff>
          <xdr:row>37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37</xdr:row>
          <xdr:rowOff>12700</xdr:rowOff>
        </xdr:from>
        <xdr:to>
          <xdr:col>23</xdr:col>
          <xdr:colOff>330200</xdr:colOff>
          <xdr:row>37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19</xdr:row>
          <xdr:rowOff>12700</xdr:rowOff>
        </xdr:from>
        <xdr:to>
          <xdr:col>21</xdr:col>
          <xdr:colOff>342900</xdr:colOff>
          <xdr:row>19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19</xdr:row>
          <xdr:rowOff>12700</xdr:rowOff>
        </xdr:from>
        <xdr:to>
          <xdr:col>23</xdr:col>
          <xdr:colOff>330200</xdr:colOff>
          <xdr:row>19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152399</xdr:colOff>
          <xdr:row>0</xdr:row>
          <xdr:rowOff>114300</xdr:rowOff>
        </xdr:from>
        <xdr:to>
          <xdr:col>14</xdr:col>
          <xdr:colOff>14110</xdr:colOff>
          <xdr:row>3</xdr:row>
          <xdr:rowOff>28222</xdr:rowOff>
        </xdr:to>
        <xdr:sp macro="" textlink="">
          <xdr:nvSpPr>
            <xdr:cNvPr id="3145" name="Button 1097" descr="Button 1097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DD6F830B-DFCA-A84E-845F-55F2D2B816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 Possession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177800</xdr:colOff>
      <xdr:row>0</xdr:row>
      <xdr:rowOff>190500</xdr:rowOff>
    </xdr:from>
    <xdr:to>
      <xdr:col>11</xdr:col>
      <xdr:colOff>800100</xdr:colOff>
      <xdr:row>13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962400" y="1905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O37"/>
  <sheetViews>
    <sheetView workbookViewId="0">
      <selection activeCell="G14" sqref="G14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5" x14ac:dyDescent="0.2">
      <c r="B1" s="2" t="s">
        <v>7</v>
      </c>
      <c r="F1" t="s">
        <v>3</v>
      </c>
      <c r="G1" t="str">
        <f>'Stats G1'!B4</f>
        <v>Select Team</v>
      </c>
    </row>
    <row r="2" spans="2:15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27</v>
      </c>
      <c r="J2" t="s">
        <v>28</v>
      </c>
      <c r="K2" t="s">
        <v>33</v>
      </c>
      <c r="L2" t="s">
        <v>29</v>
      </c>
      <c r="M2" t="s">
        <v>30</v>
      </c>
      <c r="N2" t="s">
        <v>31</v>
      </c>
      <c r="O2" t="s">
        <v>32</v>
      </c>
    </row>
    <row r="3" spans="2:15" x14ac:dyDescent="0.2">
      <c r="B3">
        <f>I18</f>
        <v>0</v>
      </c>
      <c r="C3" s="3" t="s">
        <v>6</v>
      </c>
      <c r="D3" s="4">
        <f>I37</f>
        <v>0</v>
      </c>
      <c r="F3" t="str">
        <f>'Stats G1'!A6</f>
        <v>?</v>
      </c>
      <c r="G3" t="str">
        <f>'Stats G1'!B6</f>
        <v>?</v>
      </c>
      <c r="H3" t="str">
        <f>'Stats G1'!C6</f>
        <v/>
      </c>
      <c r="I3">
        <f>'Stats G1'!E6</f>
        <v>0</v>
      </c>
      <c r="J3">
        <f>'Stats G1'!H6</f>
        <v>0</v>
      </c>
      <c r="K3">
        <f>J3+I3</f>
        <v>0</v>
      </c>
      <c r="L3">
        <f>'Stats G1'!K6</f>
        <v>0</v>
      </c>
      <c r="M3">
        <f>'Stats G1'!N6</f>
        <v>0</v>
      </c>
      <c r="N3">
        <f>'Stats G1'!Q6</f>
        <v>0</v>
      </c>
      <c r="O3">
        <f>'Stats G1'!T6</f>
        <v>0</v>
      </c>
    </row>
    <row r="4" spans="2:15" x14ac:dyDescent="0.2">
      <c r="F4" t="str">
        <f>'Stats G1'!A7</f>
        <v>?</v>
      </c>
      <c r="G4" t="str">
        <f>'Stats G1'!B7</f>
        <v>?</v>
      </c>
      <c r="H4" t="str">
        <f>'Stats G1'!C7</f>
        <v/>
      </c>
      <c r="I4">
        <f>'Stats G1'!E7</f>
        <v>0</v>
      </c>
      <c r="J4">
        <f>'Stats G1'!H7</f>
        <v>0</v>
      </c>
      <c r="K4">
        <f t="shared" ref="K4:K17" si="0">J4+I4</f>
        <v>0</v>
      </c>
      <c r="L4">
        <f>'Stats G1'!K7</f>
        <v>0</v>
      </c>
      <c r="M4">
        <f>'Stats G1'!N7</f>
        <v>0</v>
      </c>
      <c r="N4">
        <f>'Stats G1'!Q7</f>
        <v>0</v>
      </c>
      <c r="O4">
        <f>'Stats G1'!T7</f>
        <v>0</v>
      </c>
    </row>
    <row r="5" spans="2:15" x14ac:dyDescent="0.2">
      <c r="F5" t="str">
        <f>'Stats G1'!A8</f>
        <v>?</v>
      </c>
      <c r="G5" t="str">
        <f>'Stats G1'!B8</f>
        <v>?</v>
      </c>
      <c r="H5" t="str">
        <f>'Stats G1'!C8</f>
        <v/>
      </c>
      <c r="I5">
        <f>'Stats G1'!E8</f>
        <v>0</v>
      </c>
      <c r="J5">
        <f>'Stats G1'!H8</f>
        <v>0</v>
      </c>
      <c r="K5">
        <f t="shared" si="0"/>
        <v>0</v>
      </c>
      <c r="L5">
        <f>'Stats G1'!K8</f>
        <v>0</v>
      </c>
      <c r="M5">
        <f>'Stats G1'!N8</f>
        <v>0</v>
      </c>
      <c r="N5">
        <f>'Stats G1'!Q8</f>
        <v>0</v>
      </c>
      <c r="O5">
        <f>'Stats G1'!T8</f>
        <v>0</v>
      </c>
    </row>
    <row r="6" spans="2:15" x14ac:dyDescent="0.2">
      <c r="F6" t="str">
        <f>'Stats G1'!A9</f>
        <v>?</v>
      </c>
      <c r="G6" t="str">
        <f>'Stats G1'!B9</f>
        <v>?</v>
      </c>
      <c r="H6" t="str">
        <f>'Stats G1'!C9</f>
        <v/>
      </c>
      <c r="I6">
        <f>'Stats G1'!E9</f>
        <v>0</v>
      </c>
      <c r="J6">
        <f>'Stats G1'!H9</f>
        <v>0</v>
      </c>
      <c r="K6">
        <f t="shared" si="0"/>
        <v>0</v>
      </c>
      <c r="L6">
        <f>'Stats G1'!K9</f>
        <v>0</v>
      </c>
      <c r="M6">
        <f>'Stats G1'!N9</f>
        <v>0</v>
      </c>
      <c r="N6">
        <f>'Stats G1'!Q9</f>
        <v>0</v>
      </c>
      <c r="O6">
        <f>'Stats G1'!T9</f>
        <v>0</v>
      </c>
    </row>
    <row r="7" spans="2:15" x14ac:dyDescent="0.2">
      <c r="F7" t="str">
        <f>'Stats G1'!A10</f>
        <v>?</v>
      </c>
      <c r="G7" t="str">
        <f>'Stats G1'!B10</f>
        <v>?</v>
      </c>
      <c r="H7" t="str">
        <f>'Stats G1'!C10</f>
        <v/>
      </c>
      <c r="I7">
        <f>'Stats G1'!E10</f>
        <v>0</v>
      </c>
      <c r="J7">
        <f>'Stats G1'!H10</f>
        <v>0</v>
      </c>
      <c r="K7">
        <f t="shared" si="0"/>
        <v>0</v>
      </c>
      <c r="L7">
        <f>'Stats G1'!K10</f>
        <v>0</v>
      </c>
      <c r="M7">
        <f>'Stats G1'!N10</f>
        <v>0</v>
      </c>
      <c r="N7">
        <f>'Stats G1'!Q10</f>
        <v>0</v>
      </c>
      <c r="O7">
        <f>'Stats G1'!T10</f>
        <v>0</v>
      </c>
    </row>
    <row r="8" spans="2:15" x14ac:dyDescent="0.2">
      <c r="F8" t="str">
        <f>'Stats G1'!A11</f>
        <v>?</v>
      </c>
      <c r="G8" t="str">
        <f>'Stats G1'!B11</f>
        <v>?</v>
      </c>
      <c r="H8" t="str">
        <f>'Stats G1'!C11</f>
        <v/>
      </c>
      <c r="I8">
        <f>'Stats G1'!E11</f>
        <v>0</v>
      </c>
      <c r="J8">
        <f>'Stats G1'!H11</f>
        <v>0</v>
      </c>
      <c r="K8">
        <f t="shared" si="0"/>
        <v>0</v>
      </c>
      <c r="L8">
        <f>'Stats G1'!K11</f>
        <v>0</v>
      </c>
      <c r="M8">
        <f>'Stats G1'!N11</f>
        <v>0</v>
      </c>
      <c r="N8">
        <f>'Stats G1'!Q11</f>
        <v>0</v>
      </c>
      <c r="O8">
        <f>'Stats G1'!T11</f>
        <v>0</v>
      </c>
    </row>
    <row r="9" spans="2:15" x14ac:dyDescent="0.2">
      <c r="F9" t="str">
        <f>'Stats G1'!A12</f>
        <v>?</v>
      </c>
      <c r="G9" t="str">
        <f>'Stats G1'!B12</f>
        <v>?</v>
      </c>
      <c r="H9" t="str">
        <f>'Stats G1'!C12</f>
        <v/>
      </c>
      <c r="I9">
        <f>'Stats G1'!E12</f>
        <v>0</v>
      </c>
      <c r="J9">
        <f>'Stats G1'!H12</f>
        <v>0</v>
      </c>
      <c r="K9">
        <f t="shared" si="0"/>
        <v>0</v>
      </c>
      <c r="L9">
        <f>'Stats G1'!K12</f>
        <v>0</v>
      </c>
      <c r="M9">
        <f>'Stats G1'!N12</f>
        <v>0</v>
      </c>
      <c r="N9">
        <f>'Stats G1'!Q12</f>
        <v>0</v>
      </c>
      <c r="O9">
        <f>'Stats G1'!T12</f>
        <v>0</v>
      </c>
    </row>
    <row r="10" spans="2:15" x14ac:dyDescent="0.2">
      <c r="F10" t="str">
        <f>'Stats G1'!A13</f>
        <v>?</v>
      </c>
      <c r="G10" t="str">
        <f>'Stats G1'!B13</f>
        <v>?</v>
      </c>
      <c r="H10" t="str">
        <f>'Stats G1'!C13</f>
        <v/>
      </c>
      <c r="I10">
        <f>'Stats G1'!E13</f>
        <v>0</v>
      </c>
      <c r="J10">
        <f>'Stats G1'!H13</f>
        <v>0</v>
      </c>
      <c r="K10">
        <f t="shared" si="0"/>
        <v>0</v>
      </c>
      <c r="L10">
        <f>'Stats G1'!K13</f>
        <v>0</v>
      </c>
      <c r="M10">
        <f>'Stats G1'!N13</f>
        <v>0</v>
      </c>
      <c r="N10">
        <f>'Stats G1'!Q13</f>
        <v>0</v>
      </c>
      <c r="O10">
        <f>'Stats G1'!T13</f>
        <v>0</v>
      </c>
    </row>
    <row r="11" spans="2:15" x14ac:dyDescent="0.2">
      <c r="F11" t="str">
        <f>'Stats G1'!A14</f>
        <v>?</v>
      </c>
      <c r="G11" t="str">
        <f>'Stats G1'!B14</f>
        <v>?</v>
      </c>
      <c r="H11" t="str">
        <f>'Stats G1'!C14</f>
        <v/>
      </c>
      <c r="I11">
        <f>'Stats G1'!E14</f>
        <v>0</v>
      </c>
      <c r="J11">
        <f>'Stats G1'!H14</f>
        <v>0</v>
      </c>
      <c r="K11">
        <f t="shared" si="0"/>
        <v>0</v>
      </c>
      <c r="L11">
        <f>'Stats G1'!K14</f>
        <v>0</v>
      </c>
      <c r="M11">
        <f>'Stats G1'!N14</f>
        <v>0</v>
      </c>
      <c r="N11">
        <f>'Stats G1'!Q14</f>
        <v>0</v>
      </c>
      <c r="O11">
        <f>'Stats G1'!T14</f>
        <v>0</v>
      </c>
    </row>
    <row r="12" spans="2:15" x14ac:dyDescent="0.2">
      <c r="F12" t="str">
        <f>'Stats G1'!A15</f>
        <v>?</v>
      </c>
      <c r="G12" t="str">
        <f>'Stats G1'!B15</f>
        <v>?</v>
      </c>
      <c r="H12" t="str">
        <f>'Stats G1'!C15</f>
        <v/>
      </c>
      <c r="I12">
        <f>'Stats G1'!E15</f>
        <v>0</v>
      </c>
      <c r="J12">
        <f>'Stats G1'!H15</f>
        <v>0</v>
      </c>
      <c r="K12">
        <f t="shared" si="0"/>
        <v>0</v>
      </c>
      <c r="L12">
        <f>'Stats G1'!K15</f>
        <v>0</v>
      </c>
      <c r="M12">
        <f>'Stats G1'!N15</f>
        <v>0</v>
      </c>
      <c r="N12">
        <f>'Stats G1'!Q15</f>
        <v>0</v>
      </c>
      <c r="O12">
        <f>'Stats G1'!T15</f>
        <v>0</v>
      </c>
    </row>
    <row r="13" spans="2:15" x14ac:dyDescent="0.2">
      <c r="F13" t="str">
        <f>'Stats G1'!A16</f>
        <v>?</v>
      </c>
      <c r="G13" t="str">
        <f>'Stats G1'!B16</f>
        <v>?</v>
      </c>
      <c r="H13" t="str">
        <f>'Stats G1'!C16</f>
        <v/>
      </c>
      <c r="I13">
        <f>'Stats G1'!E16</f>
        <v>0</v>
      </c>
      <c r="J13">
        <f>'Stats G1'!H16</f>
        <v>0</v>
      </c>
      <c r="K13">
        <f t="shared" si="0"/>
        <v>0</v>
      </c>
      <c r="L13">
        <f>'Stats G1'!K16</f>
        <v>0</v>
      </c>
      <c r="M13">
        <f>'Stats G1'!N16</f>
        <v>0</v>
      </c>
      <c r="N13">
        <f>'Stats G1'!Q16</f>
        <v>0</v>
      </c>
      <c r="O13">
        <f>'Stats G1'!T16</f>
        <v>0</v>
      </c>
    </row>
    <row r="14" spans="2:15" x14ac:dyDescent="0.2">
      <c r="F14" t="str">
        <f>'Stats G1'!A17</f>
        <v>?</v>
      </c>
      <c r="G14" t="str">
        <f>'Stats G1'!B17</f>
        <v>?</v>
      </c>
      <c r="H14" t="str">
        <f>'Stats G1'!C17</f>
        <v/>
      </c>
      <c r="I14">
        <f>'Stats G1'!E17</f>
        <v>0</v>
      </c>
      <c r="J14">
        <f>'Stats G1'!H17</f>
        <v>0</v>
      </c>
      <c r="K14">
        <f t="shared" si="0"/>
        <v>0</v>
      </c>
      <c r="L14">
        <f>'Stats G1'!K17</f>
        <v>0</v>
      </c>
      <c r="M14">
        <f>'Stats G1'!N17</f>
        <v>0</v>
      </c>
      <c r="N14">
        <f>'Stats G1'!Q17</f>
        <v>0</v>
      </c>
      <c r="O14">
        <f>'Stats G1'!T17</f>
        <v>0</v>
      </c>
    </row>
    <row r="15" spans="2:15" x14ac:dyDescent="0.2">
      <c r="F15" t="str">
        <f>'Stats G1'!A18</f>
        <v>?</v>
      </c>
      <c r="G15" t="str">
        <f>'Stats G1'!B18</f>
        <v>?</v>
      </c>
      <c r="H15" t="str">
        <f>'Stats G1'!C18</f>
        <v/>
      </c>
      <c r="I15">
        <f>'Stats G1'!E18</f>
        <v>0</v>
      </c>
      <c r="J15">
        <f>'Stats G1'!H18</f>
        <v>0</v>
      </c>
      <c r="K15">
        <f t="shared" si="0"/>
        <v>0</v>
      </c>
      <c r="L15">
        <f>'Stats G1'!K18</f>
        <v>0</v>
      </c>
      <c r="M15">
        <f>'Stats G1'!N18</f>
        <v>0</v>
      </c>
      <c r="N15">
        <f>'Stats G1'!Q18</f>
        <v>0</v>
      </c>
      <c r="O15">
        <f>'Stats G1'!T18</f>
        <v>0</v>
      </c>
    </row>
    <row r="16" spans="2:15" x14ac:dyDescent="0.2">
      <c r="F16" t="str">
        <f>'Stats G1'!A19</f>
        <v>?</v>
      </c>
      <c r="G16" t="str">
        <f>'Stats G1'!B19</f>
        <v>?</v>
      </c>
      <c r="H16" t="str">
        <f>'Stats G1'!C19</f>
        <v/>
      </c>
      <c r="I16">
        <f>'Stats G1'!E19</f>
        <v>0</v>
      </c>
      <c r="J16">
        <f>'Stats G1'!H19</f>
        <v>0</v>
      </c>
      <c r="K16">
        <f t="shared" si="0"/>
        <v>0</v>
      </c>
      <c r="L16">
        <f>'Stats G1'!K19</f>
        <v>0</v>
      </c>
      <c r="M16">
        <f>'Stats G1'!N19</f>
        <v>0</v>
      </c>
      <c r="N16">
        <f>'Stats G1'!Q19</f>
        <v>0</v>
      </c>
      <c r="O16">
        <f>'Stats G1'!T19</f>
        <v>0</v>
      </c>
    </row>
    <row r="17" spans="6:15" x14ac:dyDescent="0.2">
      <c r="F17" t="str">
        <f>'Stats G1'!A20</f>
        <v>?</v>
      </c>
      <c r="G17" t="str">
        <f>'Stats G1'!B20</f>
        <v>?</v>
      </c>
      <c r="H17" t="str">
        <f>'Stats G1'!C20</f>
        <v/>
      </c>
      <c r="I17">
        <f>'Stats G1'!E20</f>
        <v>0</v>
      </c>
      <c r="J17">
        <f>'Stats G1'!H20</f>
        <v>0</v>
      </c>
      <c r="K17">
        <f t="shared" si="0"/>
        <v>0</v>
      </c>
      <c r="L17">
        <f>'Stats G1'!K20</f>
        <v>0</v>
      </c>
      <c r="M17">
        <f>'Stats G1'!N20</f>
        <v>0</v>
      </c>
      <c r="N17">
        <f>'Stats G1'!Q20</f>
        <v>0</v>
      </c>
      <c r="O17">
        <f>'Stats G1'!T20</f>
        <v>0</v>
      </c>
    </row>
    <row r="18" spans="6:15" x14ac:dyDescent="0.2">
      <c r="H18" s="2" t="s">
        <v>5</v>
      </c>
      <c r="I18">
        <f t="shared" ref="I18:O18" si="1">SUM(I3:I17)</f>
        <v>0</v>
      </c>
      <c r="J18">
        <f t="shared" si="1"/>
        <v>0</v>
      </c>
      <c r="K18">
        <f t="shared" si="1"/>
        <v>0</v>
      </c>
      <c r="L18">
        <f t="shared" si="1"/>
        <v>0</v>
      </c>
      <c r="M18">
        <f t="shared" si="1"/>
        <v>0</v>
      </c>
      <c r="N18">
        <f t="shared" si="1"/>
        <v>0</v>
      </c>
      <c r="O18">
        <f t="shared" si="1"/>
        <v>0</v>
      </c>
    </row>
    <row r="20" spans="6:15" x14ac:dyDescent="0.2">
      <c r="F20" t="s">
        <v>4</v>
      </c>
      <c r="G20" t="str">
        <f>'Stats G1'!B22</f>
        <v>Select Team</v>
      </c>
    </row>
    <row r="21" spans="6:15" x14ac:dyDescent="0.2">
      <c r="F21" t="s">
        <v>1</v>
      </c>
      <c r="G21" t="s">
        <v>2</v>
      </c>
      <c r="H21" t="s">
        <v>0</v>
      </c>
      <c r="I21" t="s">
        <v>27</v>
      </c>
      <c r="J21" t="s">
        <v>28</v>
      </c>
      <c r="K21" t="s">
        <v>33</v>
      </c>
      <c r="L21" t="s">
        <v>29</v>
      </c>
      <c r="M21" t="s">
        <v>30</v>
      </c>
      <c r="N21" t="s">
        <v>31</v>
      </c>
      <c r="O21" t="s">
        <v>32</v>
      </c>
    </row>
    <row r="22" spans="6:15" x14ac:dyDescent="0.2">
      <c r="F22" t="str">
        <f>'Stats G1'!A24</f>
        <v>?</v>
      </c>
      <c r="G22" t="str">
        <f>'Stats G1'!B24</f>
        <v>?</v>
      </c>
      <c r="H22" t="str">
        <f>'Stats G1'!C24</f>
        <v/>
      </c>
      <c r="I22">
        <f>'Stats G1'!E24</f>
        <v>0</v>
      </c>
      <c r="J22">
        <f>'Stats G1'!H24</f>
        <v>0</v>
      </c>
      <c r="K22">
        <f>J22+I22</f>
        <v>0</v>
      </c>
      <c r="L22">
        <f>'Stats G1'!K24</f>
        <v>0</v>
      </c>
      <c r="M22">
        <f>'Stats G1'!N24</f>
        <v>0</v>
      </c>
      <c r="N22">
        <f>'Stats G1'!Q24</f>
        <v>0</v>
      </c>
      <c r="O22">
        <f>'Stats G1'!T24</f>
        <v>0</v>
      </c>
    </row>
    <row r="23" spans="6:15" x14ac:dyDescent="0.2">
      <c r="F23" t="str">
        <f>'Stats G1'!A25</f>
        <v>?</v>
      </c>
      <c r="G23" t="str">
        <f>'Stats G1'!B25</f>
        <v>?</v>
      </c>
      <c r="H23" t="str">
        <f>'Stats G1'!C25</f>
        <v/>
      </c>
      <c r="I23">
        <f>'Stats G1'!E25</f>
        <v>0</v>
      </c>
      <c r="J23">
        <f>'Stats G1'!H25</f>
        <v>0</v>
      </c>
      <c r="K23">
        <f t="shared" ref="K23:K36" si="2">J23+I23</f>
        <v>0</v>
      </c>
      <c r="L23">
        <f>'Stats G1'!K25</f>
        <v>0</v>
      </c>
      <c r="M23">
        <f>'Stats G1'!N25</f>
        <v>0</v>
      </c>
      <c r="N23">
        <f>'Stats G1'!Q25</f>
        <v>0</v>
      </c>
      <c r="O23">
        <f>'Stats G1'!T25</f>
        <v>0</v>
      </c>
    </row>
    <row r="24" spans="6:15" x14ac:dyDescent="0.2">
      <c r="F24" t="str">
        <f>'Stats G1'!A26</f>
        <v>?</v>
      </c>
      <c r="G24" t="str">
        <f>'Stats G1'!B26</f>
        <v>?</v>
      </c>
      <c r="H24" t="str">
        <f>'Stats G1'!C26</f>
        <v/>
      </c>
      <c r="I24">
        <f>'Stats G1'!E26</f>
        <v>0</v>
      </c>
      <c r="J24">
        <f>'Stats G1'!H26</f>
        <v>0</v>
      </c>
      <c r="K24">
        <f t="shared" si="2"/>
        <v>0</v>
      </c>
      <c r="L24">
        <f>'Stats G1'!K26</f>
        <v>0</v>
      </c>
      <c r="M24">
        <f>'Stats G1'!N26</f>
        <v>0</v>
      </c>
      <c r="N24">
        <f>'Stats G1'!Q26</f>
        <v>0</v>
      </c>
      <c r="O24">
        <f>'Stats G1'!T26</f>
        <v>0</v>
      </c>
    </row>
    <row r="25" spans="6:15" x14ac:dyDescent="0.2">
      <c r="F25" t="str">
        <f>'Stats G1'!A27</f>
        <v>?</v>
      </c>
      <c r="G25" t="str">
        <f>'Stats G1'!B27</f>
        <v>?</v>
      </c>
      <c r="H25" t="str">
        <f>'Stats G1'!C27</f>
        <v/>
      </c>
      <c r="I25">
        <f>'Stats G1'!E27</f>
        <v>0</v>
      </c>
      <c r="J25">
        <f>'Stats G1'!H27</f>
        <v>0</v>
      </c>
      <c r="K25">
        <f t="shared" si="2"/>
        <v>0</v>
      </c>
      <c r="L25">
        <f>'Stats G1'!K27</f>
        <v>0</v>
      </c>
      <c r="M25">
        <f>'Stats G1'!N27</f>
        <v>0</v>
      </c>
      <c r="N25">
        <f>'Stats G1'!Q27</f>
        <v>0</v>
      </c>
      <c r="O25">
        <f>'Stats G1'!T27</f>
        <v>0</v>
      </c>
    </row>
    <row r="26" spans="6:15" x14ac:dyDescent="0.2">
      <c r="F26" t="str">
        <f>'Stats G1'!A28</f>
        <v>?</v>
      </c>
      <c r="G26" t="str">
        <f>'Stats G1'!B28</f>
        <v>?</v>
      </c>
      <c r="H26" t="str">
        <f>'Stats G1'!C28</f>
        <v/>
      </c>
      <c r="I26">
        <f>'Stats G1'!E28</f>
        <v>0</v>
      </c>
      <c r="J26">
        <f>'Stats G1'!H28</f>
        <v>0</v>
      </c>
      <c r="K26">
        <f t="shared" si="2"/>
        <v>0</v>
      </c>
      <c r="L26">
        <f>'Stats G1'!K28</f>
        <v>0</v>
      </c>
      <c r="M26">
        <f>'Stats G1'!N28</f>
        <v>0</v>
      </c>
      <c r="N26">
        <f>'Stats G1'!Q28</f>
        <v>0</v>
      </c>
      <c r="O26">
        <f>'Stats G1'!T28</f>
        <v>0</v>
      </c>
    </row>
    <row r="27" spans="6:15" x14ac:dyDescent="0.2">
      <c r="F27" t="str">
        <f>'Stats G1'!A29</f>
        <v>?</v>
      </c>
      <c r="G27" t="str">
        <f>'Stats G1'!B29</f>
        <v>?</v>
      </c>
      <c r="H27" t="str">
        <f>'Stats G1'!C29</f>
        <v/>
      </c>
      <c r="I27">
        <f>'Stats G1'!E29</f>
        <v>0</v>
      </c>
      <c r="J27">
        <f>'Stats G1'!H29</f>
        <v>0</v>
      </c>
      <c r="K27">
        <f t="shared" si="2"/>
        <v>0</v>
      </c>
      <c r="L27">
        <f>'Stats G1'!K29</f>
        <v>0</v>
      </c>
      <c r="M27">
        <f>'Stats G1'!N29</f>
        <v>0</v>
      </c>
      <c r="N27">
        <f>'Stats G1'!Q29</f>
        <v>0</v>
      </c>
      <c r="O27">
        <f>'Stats G1'!T29</f>
        <v>0</v>
      </c>
    </row>
    <row r="28" spans="6:15" x14ac:dyDescent="0.2">
      <c r="F28" t="str">
        <f>'Stats G1'!A30</f>
        <v>?</v>
      </c>
      <c r="G28" t="str">
        <f>'Stats G1'!B30</f>
        <v>?</v>
      </c>
      <c r="H28" t="str">
        <f>'Stats G1'!C30</f>
        <v/>
      </c>
      <c r="I28">
        <f>'Stats G1'!E30</f>
        <v>0</v>
      </c>
      <c r="J28">
        <f>'Stats G1'!H30</f>
        <v>0</v>
      </c>
      <c r="K28">
        <f t="shared" si="2"/>
        <v>0</v>
      </c>
      <c r="L28">
        <f>'Stats G1'!K30</f>
        <v>0</v>
      </c>
      <c r="M28">
        <f>'Stats G1'!N30</f>
        <v>0</v>
      </c>
      <c r="N28">
        <f>'Stats G1'!Q30</f>
        <v>0</v>
      </c>
      <c r="O28">
        <f>'Stats G1'!T30</f>
        <v>0</v>
      </c>
    </row>
    <row r="29" spans="6:15" x14ac:dyDescent="0.2">
      <c r="F29" t="str">
        <f>'Stats G1'!A31</f>
        <v>?</v>
      </c>
      <c r="G29" t="str">
        <f>'Stats G1'!B31</f>
        <v>?</v>
      </c>
      <c r="H29" t="str">
        <f>'Stats G1'!C31</f>
        <v/>
      </c>
      <c r="I29">
        <f>'Stats G1'!E31</f>
        <v>0</v>
      </c>
      <c r="J29">
        <f>'Stats G1'!H31</f>
        <v>0</v>
      </c>
      <c r="K29">
        <f t="shared" si="2"/>
        <v>0</v>
      </c>
      <c r="L29">
        <f>'Stats G1'!K31</f>
        <v>0</v>
      </c>
      <c r="M29">
        <f>'Stats G1'!N31</f>
        <v>0</v>
      </c>
      <c r="N29">
        <f>'Stats G1'!Q31</f>
        <v>0</v>
      </c>
      <c r="O29">
        <f>'Stats G1'!T31</f>
        <v>0</v>
      </c>
    </row>
    <row r="30" spans="6:15" x14ac:dyDescent="0.2">
      <c r="F30" t="str">
        <f>'Stats G1'!A32</f>
        <v>?</v>
      </c>
      <c r="G30" t="str">
        <f>'Stats G1'!B32</f>
        <v>?</v>
      </c>
      <c r="H30" t="str">
        <f>'Stats G1'!C32</f>
        <v/>
      </c>
      <c r="I30">
        <f>'Stats G1'!E32</f>
        <v>0</v>
      </c>
      <c r="J30">
        <f>'Stats G1'!H32</f>
        <v>0</v>
      </c>
      <c r="K30">
        <f t="shared" si="2"/>
        <v>0</v>
      </c>
      <c r="L30">
        <f>'Stats G1'!K32</f>
        <v>0</v>
      </c>
      <c r="M30">
        <f>'Stats G1'!N32</f>
        <v>0</v>
      </c>
      <c r="N30">
        <f>'Stats G1'!Q32</f>
        <v>0</v>
      </c>
      <c r="O30">
        <f>'Stats G1'!T32</f>
        <v>0</v>
      </c>
    </row>
    <row r="31" spans="6:15" x14ac:dyDescent="0.2">
      <c r="F31" t="str">
        <f>'Stats G1'!A33</f>
        <v>?</v>
      </c>
      <c r="G31" t="str">
        <f>'Stats G1'!B33</f>
        <v>?</v>
      </c>
      <c r="H31" t="str">
        <f>'Stats G1'!C33</f>
        <v/>
      </c>
      <c r="I31">
        <f>'Stats G1'!E33</f>
        <v>0</v>
      </c>
      <c r="J31">
        <f>'Stats G1'!H33</f>
        <v>0</v>
      </c>
      <c r="K31">
        <f t="shared" si="2"/>
        <v>0</v>
      </c>
      <c r="L31">
        <f>'Stats G1'!K33</f>
        <v>0</v>
      </c>
      <c r="M31">
        <f>'Stats G1'!N33</f>
        <v>0</v>
      </c>
      <c r="N31">
        <f>'Stats G1'!Q33</f>
        <v>0</v>
      </c>
      <c r="O31">
        <f>'Stats G1'!T33</f>
        <v>0</v>
      </c>
    </row>
    <row r="32" spans="6:15" x14ac:dyDescent="0.2">
      <c r="F32" t="str">
        <f>'Stats G1'!A34</f>
        <v>?</v>
      </c>
      <c r="G32" t="str">
        <f>'Stats G1'!B34</f>
        <v>?</v>
      </c>
      <c r="H32" t="str">
        <f>'Stats G1'!C34</f>
        <v/>
      </c>
      <c r="I32">
        <f>'Stats G1'!E34</f>
        <v>0</v>
      </c>
      <c r="J32">
        <f>'Stats G1'!H34</f>
        <v>0</v>
      </c>
      <c r="K32">
        <f t="shared" si="2"/>
        <v>0</v>
      </c>
      <c r="L32">
        <f>'Stats G1'!K34</f>
        <v>0</v>
      </c>
      <c r="M32">
        <f>'Stats G1'!N34</f>
        <v>0</v>
      </c>
      <c r="N32">
        <f>'Stats G1'!Q34</f>
        <v>0</v>
      </c>
      <c r="O32">
        <f>'Stats G1'!T34</f>
        <v>0</v>
      </c>
    </row>
    <row r="33" spans="6:15" x14ac:dyDescent="0.2">
      <c r="F33" t="str">
        <f>'Stats G1'!A35</f>
        <v>?</v>
      </c>
      <c r="G33" t="str">
        <f>'Stats G1'!B35</f>
        <v>?</v>
      </c>
      <c r="H33" t="str">
        <f>'Stats G1'!C35</f>
        <v/>
      </c>
      <c r="I33">
        <f>'Stats G1'!E35</f>
        <v>0</v>
      </c>
      <c r="J33">
        <f>'Stats G1'!H35</f>
        <v>0</v>
      </c>
      <c r="K33">
        <f t="shared" si="2"/>
        <v>0</v>
      </c>
      <c r="L33">
        <f>'Stats G1'!K35</f>
        <v>0</v>
      </c>
      <c r="M33">
        <f>'Stats G1'!N35</f>
        <v>0</v>
      </c>
      <c r="N33">
        <f>'Stats G1'!Q35</f>
        <v>0</v>
      </c>
      <c r="O33">
        <f>'Stats G1'!T35</f>
        <v>0</v>
      </c>
    </row>
    <row r="34" spans="6:15" x14ac:dyDescent="0.2">
      <c r="F34" t="str">
        <f>'Stats G1'!A36</f>
        <v>?</v>
      </c>
      <c r="G34" t="str">
        <f>'Stats G1'!B36</f>
        <v>?</v>
      </c>
      <c r="H34" t="str">
        <f>'Stats G1'!C36</f>
        <v/>
      </c>
      <c r="I34">
        <f>'Stats G1'!E36</f>
        <v>0</v>
      </c>
      <c r="J34">
        <f>'Stats G1'!H36</f>
        <v>0</v>
      </c>
      <c r="K34">
        <f t="shared" si="2"/>
        <v>0</v>
      </c>
      <c r="L34">
        <f>'Stats G1'!K36</f>
        <v>0</v>
      </c>
      <c r="M34">
        <f>'Stats G1'!N36</f>
        <v>0</v>
      </c>
      <c r="N34">
        <f>'Stats G1'!Q36</f>
        <v>0</v>
      </c>
      <c r="O34">
        <f>'Stats G1'!T36</f>
        <v>0</v>
      </c>
    </row>
    <row r="35" spans="6:15" x14ac:dyDescent="0.2">
      <c r="F35" t="str">
        <f>'Stats G1'!A37</f>
        <v>?</v>
      </c>
      <c r="G35" t="str">
        <f>'Stats G1'!B37</f>
        <v>?</v>
      </c>
      <c r="H35" t="str">
        <f>'Stats G1'!C37</f>
        <v/>
      </c>
      <c r="I35">
        <f>'Stats G1'!E37</f>
        <v>0</v>
      </c>
      <c r="J35">
        <f>'Stats G1'!H37</f>
        <v>0</v>
      </c>
      <c r="K35">
        <f t="shared" si="2"/>
        <v>0</v>
      </c>
      <c r="L35">
        <f>'Stats G1'!K37</f>
        <v>0</v>
      </c>
      <c r="M35">
        <f>'Stats G1'!N37</f>
        <v>0</v>
      </c>
      <c r="N35">
        <f>'Stats G1'!Q37</f>
        <v>0</v>
      </c>
      <c r="O35">
        <f>'Stats G1'!T37</f>
        <v>0</v>
      </c>
    </row>
    <row r="36" spans="6:15" x14ac:dyDescent="0.2">
      <c r="F36" t="str">
        <f>'Stats G1'!A38</f>
        <v>?</v>
      </c>
      <c r="G36" t="str">
        <f>'Stats G1'!B38</f>
        <v>?</v>
      </c>
      <c r="H36" t="str">
        <f>'Stats G1'!C38</f>
        <v/>
      </c>
      <c r="I36">
        <f>'Stats G1'!E38</f>
        <v>0</v>
      </c>
      <c r="J36">
        <f>'Stats G1'!H38</f>
        <v>0</v>
      </c>
      <c r="K36">
        <f t="shared" si="2"/>
        <v>0</v>
      </c>
      <c r="L36">
        <f>'Stats G1'!K38</f>
        <v>0</v>
      </c>
      <c r="M36">
        <f>'Stats G1'!N38</f>
        <v>0</v>
      </c>
      <c r="N36">
        <f>'Stats G1'!Q38</f>
        <v>0</v>
      </c>
      <c r="O36">
        <f>'Stats G1'!T38</f>
        <v>0</v>
      </c>
    </row>
    <row r="37" spans="6:15" x14ac:dyDescent="0.2">
      <c r="H37" s="2" t="s">
        <v>5</v>
      </c>
      <c r="I37">
        <f t="shared" ref="I37:O37" si="3">SUM(I22:I36)</f>
        <v>0</v>
      </c>
      <c r="J37">
        <f t="shared" si="3"/>
        <v>0</v>
      </c>
      <c r="K37">
        <f t="shared" si="3"/>
        <v>0</v>
      </c>
      <c r="L37">
        <f t="shared" si="3"/>
        <v>0</v>
      </c>
      <c r="M37">
        <f t="shared" si="3"/>
        <v>0</v>
      </c>
      <c r="N37">
        <f t="shared" si="3"/>
        <v>0</v>
      </c>
      <c r="O37">
        <f t="shared" si="3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4:AA39"/>
  <sheetViews>
    <sheetView tabSelected="1" zoomScale="90" zoomScaleNormal="90" workbookViewId="0">
      <selection activeCell="D4" sqref="D4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5" width="10.83203125" customWidth="1"/>
  </cols>
  <sheetData>
    <row r="4" spans="1:27" x14ac:dyDescent="0.2">
      <c r="A4" s="2" t="s">
        <v>8</v>
      </c>
      <c r="B4" s="1" t="s">
        <v>26</v>
      </c>
    </row>
    <row r="5" spans="1:27" x14ac:dyDescent="0.2">
      <c r="A5" t="s">
        <v>1</v>
      </c>
      <c r="B5" t="s">
        <v>2</v>
      </c>
      <c r="C5" t="s">
        <v>0</v>
      </c>
      <c r="E5" t="s">
        <v>27</v>
      </c>
      <c r="H5" t="s">
        <v>28</v>
      </c>
      <c r="K5" t="s">
        <v>29</v>
      </c>
      <c r="N5" t="s">
        <v>30</v>
      </c>
      <c r="Q5" t="s">
        <v>31</v>
      </c>
      <c r="T5" t="s">
        <v>32</v>
      </c>
      <c r="Z5" t="s">
        <v>34</v>
      </c>
      <c r="AA5">
        <v>0</v>
      </c>
    </row>
    <row r="6" spans="1:27" s="6" customFormat="1" x14ac:dyDescent="0.2">
      <c r="A6" s="5" t="str">
        <f>_xlfn.IFNA(VLOOKUP($B$4&amp;ROWS($A$6:A6),Rosters!$B$2:$C$163,2,0),"?")</f>
        <v>?</v>
      </c>
      <c r="B6" s="5" t="str">
        <f>_xlfn.IFNA(VLOOKUP($B$4&amp;ROWS($B$6:B6),Rosters!$B$2:$D$163,3,0),"?")</f>
        <v>?</v>
      </c>
      <c r="C6" s="5" t="str">
        <f>_xlfn.IFNA(VLOOKUP($B$4&amp;ROWS($C$6:C6),Rosters!$B$2:$E$163,4,0),"")</f>
        <v/>
      </c>
      <c r="D6" s="5"/>
      <c r="E6" s="5">
        <v>0</v>
      </c>
      <c r="F6" s="5"/>
      <c r="G6" s="5"/>
      <c r="H6" s="5">
        <v>0</v>
      </c>
      <c r="I6" s="5"/>
      <c r="J6" s="5"/>
      <c r="K6" s="5">
        <v>0</v>
      </c>
      <c r="L6" s="5"/>
      <c r="M6" s="5"/>
      <c r="N6" s="5">
        <v>0</v>
      </c>
      <c r="O6" s="5"/>
      <c r="P6" s="5"/>
      <c r="Q6" s="5">
        <v>0</v>
      </c>
      <c r="R6" s="5"/>
      <c r="S6" s="5"/>
      <c r="T6" s="5">
        <v>0</v>
      </c>
      <c r="U6" s="5"/>
      <c r="V6" s="5"/>
      <c r="W6" s="5">
        <v>0</v>
      </c>
      <c r="X6" s="5"/>
    </row>
    <row r="7" spans="1:27" s="6" customFormat="1" x14ac:dyDescent="0.2">
      <c r="A7" s="6" t="str">
        <f>_xlfn.IFNA(VLOOKUP($B$4&amp;ROWS($A$6:A7),Rosters!$B$2:$C$163,2,0),"?")</f>
        <v>?</v>
      </c>
      <c r="B7" s="6" t="str">
        <f>_xlfn.IFNA(VLOOKUP($B$4&amp;ROWS($B$6:B7),Rosters!$B$2:$D$163,3,0),"?")</f>
        <v>?</v>
      </c>
      <c r="C7" s="6" t="str">
        <f>_xlfn.IFNA(VLOOKUP($B$4&amp;ROWS($C$6:C7),Rosters!$B$2:$E$163,4,0),"")</f>
        <v/>
      </c>
      <c r="E7" s="6">
        <v>0</v>
      </c>
      <c r="H7" s="6">
        <v>0</v>
      </c>
      <c r="K7" s="6">
        <v>0</v>
      </c>
      <c r="N7" s="6">
        <v>0</v>
      </c>
      <c r="Q7" s="6">
        <v>0</v>
      </c>
      <c r="T7" s="6">
        <v>0</v>
      </c>
      <c r="W7" s="6">
        <v>0</v>
      </c>
    </row>
    <row r="8" spans="1:27" s="6" customFormat="1" x14ac:dyDescent="0.2">
      <c r="A8" s="5" t="str">
        <f>_xlfn.IFNA(VLOOKUP($B$4&amp;ROWS($A$6:A8),Rosters!$B$2:$C$163,2,0),"?")</f>
        <v>?</v>
      </c>
      <c r="B8" s="5" t="str">
        <f>_xlfn.IFNA(VLOOKUP($B$4&amp;ROWS($B$6:B8),Rosters!$B$2:$D$163,3,0),"?")</f>
        <v>?</v>
      </c>
      <c r="C8" s="5" t="str">
        <f>_xlfn.IFNA(VLOOKUP($B$4&amp;ROWS($C$6:C8),Rosters!$B$2:$E$163,4,0),"")</f>
        <v/>
      </c>
      <c r="D8" s="5"/>
      <c r="E8" s="5">
        <v>0</v>
      </c>
      <c r="F8" s="5"/>
      <c r="G8" s="5"/>
      <c r="H8" s="5">
        <v>0</v>
      </c>
      <c r="I8" s="5"/>
      <c r="J8" s="5"/>
      <c r="K8" s="5">
        <v>0</v>
      </c>
      <c r="L8" s="5"/>
      <c r="M8" s="5"/>
      <c r="N8" s="5">
        <v>0</v>
      </c>
      <c r="O8" s="5"/>
      <c r="P8" s="5"/>
      <c r="Q8" s="5">
        <v>0</v>
      </c>
      <c r="R8" s="5"/>
      <c r="S8" s="5"/>
      <c r="T8" s="5">
        <v>0</v>
      </c>
      <c r="U8" s="5"/>
      <c r="V8" s="5"/>
      <c r="W8" s="5">
        <v>0</v>
      </c>
      <c r="X8" s="5"/>
    </row>
    <row r="9" spans="1:27" s="6" customFormat="1" x14ac:dyDescent="0.2">
      <c r="A9" s="6" t="str">
        <f>_xlfn.IFNA(VLOOKUP($B$4&amp;ROWS($A$6:A9),Rosters!$B$2:$C$163,2,0),"?")</f>
        <v>?</v>
      </c>
      <c r="B9" s="6" t="str">
        <f>_xlfn.IFNA(VLOOKUP($B$4&amp;ROWS($B$6:B9),Rosters!$B$2:$D$163,3,0),"?")</f>
        <v>?</v>
      </c>
      <c r="C9" s="6" t="str">
        <f>_xlfn.IFNA(VLOOKUP($B$4&amp;ROWS($C$6:C9),Rosters!$B$2:$E$163,4,0),"")</f>
        <v/>
      </c>
      <c r="E9" s="6">
        <v>0</v>
      </c>
      <c r="H9" s="6">
        <v>0</v>
      </c>
      <c r="K9" s="6">
        <v>0</v>
      </c>
      <c r="N9" s="6">
        <v>0</v>
      </c>
      <c r="Q9" s="6">
        <v>0</v>
      </c>
      <c r="T9" s="6">
        <v>0</v>
      </c>
      <c r="W9" s="6">
        <v>0</v>
      </c>
    </row>
    <row r="10" spans="1:27" s="6" customFormat="1" x14ac:dyDescent="0.2">
      <c r="A10" s="5" t="str">
        <f>_xlfn.IFNA(VLOOKUP($B$4&amp;ROWS($A$6:A10),Rosters!$B$2:$C$163,2,0),"?")</f>
        <v>?</v>
      </c>
      <c r="B10" s="5" t="str">
        <f>_xlfn.IFNA(VLOOKUP($B$4&amp;ROWS($B$6:B10),Rosters!$B$2:$D$163,3,0),"?")</f>
        <v>?</v>
      </c>
      <c r="C10" s="5" t="str">
        <f>_xlfn.IFNA(VLOOKUP($B$4&amp;ROWS($C$6:C10),Rosters!$B$2:$E$163,4,0),"")</f>
        <v/>
      </c>
      <c r="D10" s="5"/>
      <c r="E10" s="5">
        <v>0</v>
      </c>
      <c r="F10" s="5"/>
      <c r="G10" s="5"/>
      <c r="H10" s="5">
        <v>0</v>
      </c>
      <c r="I10" s="5"/>
      <c r="J10" s="5"/>
      <c r="K10" s="5">
        <v>0</v>
      </c>
      <c r="L10" s="5"/>
      <c r="M10" s="5"/>
      <c r="N10" s="5">
        <v>0</v>
      </c>
      <c r="O10" s="5"/>
      <c r="P10" s="5"/>
      <c r="Q10" s="5">
        <v>0</v>
      </c>
      <c r="R10" s="5"/>
      <c r="S10" s="5"/>
      <c r="T10" s="5">
        <v>0</v>
      </c>
      <c r="U10" s="5"/>
      <c r="V10" s="5"/>
      <c r="W10" s="5">
        <v>0</v>
      </c>
      <c r="X10" s="5"/>
    </row>
    <row r="11" spans="1:27" s="6" customFormat="1" x14ac:dyDescent="0.2">
      <c r="A11" s="6" t="str">
        <f>_xlfn.IFNA(VLOOKUP($B$4&amp;ROWS($A$6:A11),Rosters!$B$2:$C$163,2,0),"?")</f>
        <v>?</v>
      </c>
      <c r="B11" s="6" t="str">
        <f>_xlfn.IFNA(VLOOKUP($B$4&amp;ROWS($B$6:B11),Rosters!$B$2:$D$163,3,0),"?")</f>
        <v>?</v>
      </c>
      <c r="C11" s="6" t="str">
        <f>_xlfn.IFNA(VLOOKUP($B$4&amp;ROWS($C$6:C11),Rosters!$B$2:$E$163,4,0),"")</f>
        <v/>
      </c>
      <c r="E11" s="6">
        <v>0</v>
      </c>
      <c r="H11" s="6">
        <v>0</v>
      </c>
      <c r="K11" s="6">
        <v>0</v>
      </c>
      <c r="N11" s="6">
        <v>0</v>
      </c>
      <c r="Q11" s="6">
        <v>0</v>
      </c>
      <c r="T11" s="6">
        <v>0</v>
      </c>
      <c r="W11" s="6">
        <v>0</v>
      </c>
    </row>
    <row r="12" spans="1:27" s="6" customFormat="1" x14ac:dyDescent="0.2">
      <c r="A12" s="5" t="str">
        <f>_xlfn.IFNA(VLOOKUP($B$4&amp;ROWS($A$6:A12),Rosters!$B$2:$C$163,2,0),"?")</f>
        <v>?</v>
      </c>
      <c r="B12" s="5" t="str">
        <f>_xlfn.IFNA(VLOOKUP($B$4&amp;ROWS($B$6:B12),Rosters!$B$2:$D$163,3,0),"?")</f>
        <v>?</v>
      </c>
      <c r="C12" s="5" t="str">
        <f>_xlfn.IFNA(VLOOKUP($B$4&amp;ROWS($C$6:C12),Rosters!$B$2:$E$163,4,0),"")</f>
        <v/>
      </c>
      <c r="D12" s="5"/>
      <c r="E12" s="5">
        <v>0</v>
      </c>
      <c r="F12" s="5"/>
      <c r="G12" s="5"/>
      <c r="H12" s="5">
        <v>0</v>
      </c>
      <c r="I12" s="5"/>
      <c r="J12" s="5"/>
      <c r="K12" s="5">
        <v>0</v>
      </c>
      <c r="L12" s="5"/>
      <c r="M12" s="5"/>
      <c r="N12" s="5">
        <v>0</v>
      </c>
      <c r="O12" s="5"/>
      <c r="P12" s="5"/>
      <c r="Q12" s="5">
        <v>0</v>
      </c>
      <c r="R12" s="5"/>
      <c r="S12" s="5"/>
      <c r="T12" s="5">
        <v>0</v>
      </c>
      <c r="U12" s="5"/>
      <c r="V12" s="5"/>
      <c r="W12" s="5">
        <v>0</v>
      </c>
      <c r="X12" s="5"/>
    </row>
    <row r="13" spans="1:27" s="6" customFormat="1" x14ac:dyDescent="0.2">
      <c r="A13" s="6" t="str">
        <f>_xlfn.IFNA(VLOOKUP($B$4&amp;ROWS($A$6:A13),Rosters!$B$2:$C$163,2,0),"?")</f>
        <v>?</v>
      </c>
      <c r="B13" s="6" t="str">
        <f>_xlfn.IFNA(VLOOKUP($B$4&amp;ROWS($B$6:B13),Rosters!$B$2:$D$163,3,0),"?")</f>
        <v>?</v>
      </c>
      <c r="C13" s="6" t="str">
        <f>_xlfn.IFNA(VLOOKUP($B$4&amp;ROWS($C$6:C13),Rosters!$B$2:$E$163,4,0),"")</f>
        <v/>
      </c>
      <c r="E13" s="6">
        <v>0</v>
      </c>
      <c r="H13" s="6">
        <v>0</v>
      </c>
      <c r="K13" s="6">
        <v>0</v>
      </c>
      <c r="N13" s="6">
        <v>0</v>
      </c>
      <c r="Q13" s="6">
        <v>0</v>
      </c>
      <c r="T13" s="6">
        <v>0</v>
      </c>
      <c r="W13" s="6">
        <v>0</v>
      </c>
    </row>
    <row r="14" spans="1:27" s="6" customFormat="1" x14ac:dyDescent="0.2">
      <c r="A14" s="5" t="str">
        <f>_xlfn.IFNA(VLOOKUP($B$4&amp;ROWS($A$6:A14),Rosters!$B$2:$C$163,2,0),"?")</f>
        <v>?</v>
      </c>
      <c r="B14" s="5" t="str">
        <f>_xlfn.IFNA(VLOOKUP($B$4&amp;ROWS($B$6:B14),Rosters!$B$2:$D$163,3,0),"?")</f>
        <v>?</v>
      </c>
      <c r="C14" s="5" t="str">
        <f>_xlfn.IFNA(VLOOKUP($B$4&amp;ROWS($C$6:C14),Rosters!$B$2:$E$163,4,0),"")</f>
        <v/>
      </c>
      <c r="D14" s="5"/>
      <c r="E14" s="5">
        <v>0</v>
      </c>
      <c r="F14" s="5"/>
      <c r="G14" s="5"/>
      <c r="H14" s="5">
        <v>0</v>
      </c>
      <c r="I14" s="5"/>
      <c r="J14" s="5"/>
      <c r="K14" s="5">
        <v>0</v>
      </c>
      <c r="L14" s="5"/>
      <c r="M14" s="5"/>
      <c r="N14" s="5">
        <v>0</v>
      </c>
      <c r="O14" s="5"/>
      <c r="P14" s="5"/>
      <c r="Q14" s="5">
        <v>0</v>
      </c>
      <c r="R14" s="5"/>
      <c r="S14" s="5"/>
      <c r="T14" s="5">
        <v>0</v>
      </c>
      <c r="U14" s="5"/>
      <c r="V14" s="5"/>
      <c r="W14" s="5">
        <v>0</v>
      </c>
      <c r="X14" s="5"/>
    </row>
    <row r="15" spans="1:27" s="6" customFormat="1" x14ac:dyDescent="0.2">
      <c r="A15" s="6" t="str">
        <f>_xlfn.IFNA(VLOOKUP($B$4&amp;ROWS($A$6:A15),Rosters!$B$2:$C$163,2,0),"?")</f>
        <v>?</v>
      </c>
      <c r="B15" s="6" t="str">
        <f>_xlfn.IFNA(VLOOKUP($B$4&amp;ROWS($B$6:B15),Rosters!$B$2:$D$163,3,0),"?")</f>
        <v>?</v>
      </c>
      <c r="C15" s="6" t="str">
        <f>_xlfn.IFNA(VLOOKUP($B$4&amp;ROWS($C$6:C15),Rosters!$B$2:$E$163,4,0),"")</f>
        <v/>
      </c>
      <c r="E15" s="6">
        <v>0</v>
      </c>
      <c r="H15" s="6">
        <v>0</v>
      </c>
      <c r="K15" s="6">
        <v>0</v>
      </c>
      <c r="N15" s="6">
        <v>0</v>
      </c>
      <c r="Q15" s="6">
        <v>0</v>
      </c>
      <c r="T15" s="6">
        <v>0</v>
      </c>
      <c r="W15" s="6">
        <v>0</v>
      </c>
    </row>
    <row r="16" spans="1:27" s="6" customFormat="1" x14ac:dyDescent="0.2">
      <c r="A16" s="5" t="str">
        <f>_xlfn.IFNA(VLOOKUP($B$4&amp;ROWS($A$6:A16),Rosters!$B$2:$C$163,2,0),"?")</f>
        <v>?</v>
      </c>
      <c r="B16" s="5" t="str">
        <f>_xlfn.IFNA(VLOOKUP($B$4&amp;ROWS($B$6:B16),Rosters!$B$2:$D$163,3,0),"?")</f>
        <v>?</v>
      </c>
      <c r="C16" s="5" t="str">
        <f>_xlfn.IFNA(VLOOKUP($B$4&amp;ROWS($C$6:C16),Rosters!$B$2:$E$163,4,0),"")</f>
        <v/>
      </c>
      <c r="D16" s="5"/>
      <c r="E16" s="5">
        <v>0</v>
      </c>
      <c r="F16" s="5"/>
      <c r="G16" s="5"/>
      <c r="H16" s="5">
        <v>0</v>
      </c>
      <c r="I16" s="5"/>
      <c r="J16" s="5"/>
      <c r="K16" s="5">
        <v>0</v>
      </c>
      <c r="L16" s="5"/>
      <c r="M16" s="5"/>
      <c r="N16" s="5">
        <v>0</v>
      </c>
      <c r="O16" s="5"/>
      <c r="P16" s="5"/>
      <c r="Q16" s="5">
        <v>0</v>
      </c>
      <c r="R16" s="5"/>
      <c r="S16" s="5"/>
      <c r="T16" s="5">
        <v>0</v>
      </c>
      <c r="U16" s="5"/>
      <c r="V16" s="5"/>
      <c r="W16" s="5">
        <v>0</v>
      </c>
      <c r="X16" s="5"/>
    </row>
    <row r="17" spans="1:26" s="6" customFormat="1" x14ac:dyDescent="0.2">
      <c r="A17" s="6" t="str">
        <f>_xlfn.IFNA(VLOOKUP($B$4&amp;ROWS($A$6:A17),Rosters!$B$2:$C$163,2,0),"?")</f>
        <v>?</v>
      </c>
      <c r="B17" s="6" t="str">
        <f>_xlfn.IFNA(VLOOKUP($B$4&amp;ROWS($B$6:B17),Rosters!$B$2:$D$163,3,0),"?")</f>
        <v>?</v>
      </c>
      <c r="C17" s="6" t="str">
        <f>_xlfn.IFNA(VLOOKUP($B$4&amp;ROWS($C$6:C17),Rosters!$B$2:$E$163,4,0),"")</f>
        <v/>
      </c>
      <c r="E17" s="6">
        <v>0</v>
      </c>
      <c r="H17" s="6">
        <v>0</v>
      </c>
      <c r="K17" s="6">
        <v>0</v>
      </c>
      <c r="N17" s="6">
        <v>0</v>
      </c>
      <c r="Q17" s="6">
        <v>0</v>
      </c>
      <c r="T17" s="6">
        <v>0</v>
      </c>
      <c r="W17" s="6">
        <v>0</v>
      </c>
    </row>
    <row r="18" spans="1:26" s="6" customFormat="1" x14ac:dyDescent="0.2">
      <c r="A18" s="5" t="str">
        <f>_xlfn.IFNA(VLOOKUP($B$4&amp;ROWS($A$6:A18),Rosters!$B$2:$C$163,2,0),"?")</f>
        <v>?</v>
      </c>
      <c r="B18" s="5" t="str">
        <f>_xlfn.IFNA(VLOOKUP($B$4&amp;ROWS($B$6:B18),Rosters!$B$2:$D$163,3,0),"?")</f>
        <v>?</v>
      </c>
      <c r="C18" s="5" t="str">
        <f>_xlfn.IFNA(VLOOKUP($B$4&amp;ROWS($C$6:C18),Rosters!$B$2:$E$163,4,0),"")</f>
        <v/>
      </c>
      <c r="D18" s="5"/>
      <c r="E18" s="5">
        <v>0</v>
      </c>
      <c r="F18" s="5"/>
      <c r="G18" s="5"/>
      <c r="H18" s="5">
        <v>0</v>
      </c>
      <c r="I18" s="5"/>
      <c r="J18" s="5"/>
      <c r="K18" s="5">
        <v>0</v>
      </c>
      <c r="L18" s="5"/>
      <c r="M18" s="5"/>
      <c r="N18" s="5">
        <v>0</v>
      </c>
      <c r="O18" s="5"/>
      <c r="P18" s="5"/>
      <c r="Q18" s="5">
        <v>0</v>
      </c>
      <c r="R18" s="5"/>
      <c r="S18" s="5"/>
      <c r="T18" s="5">
        <v>0</v>
      </c>
      <c r="U18" s="5"/>
      <c r="V18" s="5"/>
      <c r="W18" s="5">
        <v>0</v>
      </c>
      <c r="X18" s="5"/>
    </row>
    <row r="19" spans="1:26" s="6" customFormat="1" x14ac:dyDescent="0.2">
      <c r="A19" s="6" t="str">
        <f>_xlfn.IFNA(VLOOKUP($B$4&amp;ROWS($A$6:A19),Rosters!$B$2:$C$163,2,0),"?")</f>
        <v>?</v>
      </c>
      <c r="B19" s="6" t="str">
        <f>_xlfn.IFNA(VLOOKUP($B$4&amp;ROWS($B$6:B19),Rosters!$B$2:$D$163,3,0),"?")</f>
        <v>?</v>
      </c>
      <c r="C19" s="6" t="str">
        <f>_xlfn.IFNA(VLOOKUP($B$4&amp;ROWS($C$6:C19),Rosters!$B$2:$E$163,4,0),"")</f>
        <v/>
      </c>
      <c r="E19" s="6">
        <v>0</v>
      </c>
      <c r="H19" s="6">
        <v>0</v>
      </c>
      <c r="K19" s="6">
        <v>0</v>
      </c>
      <c r="N19" s="6">
        <v>0</v>
      </c>
      <c r="Q19" s="6">
        <v>0</v>
      </c>
      <c r="T19" s="6">
        <v>0</v>
      </c>
      <c r="W19" s="6">
        <v>0</v>
      </c>
    </row>
    <row r="20" spans="1:26" s="6" customFormat="1" x14ac:dyDescent="0.2">
      <c r="A20" s="5" t="str">
        <f>_xlfn.IFNA(VLOOKUP($B$4&amp;ROWS($A$6:A20),Rosters!$B$2:$C$163,2,0),"?")</f>
        <v>?</v>
      </c>
      <c r="B20" s="5" t="str">
        <f>_xlfn.IFNA(VLOOKUP($B$4&amp;ROWS($B$6:B20),Rosters!$B$2:$D$163,3,0),"?")</f>
        <v>?</v>
      </c>
      <c r="C20" s="5" t="str">
        <f>_xlfn.IFNA(VLOOKUP($B$4&amp;ROWS($C$6:C20),Rosters!$B$2:$E$163,4,0),"")</f>
        <v/>
      </c>
      <c r="D20" s="5"/>
      <c r="E20" s="5">
        <v>0</v>
      </c>
      <c r="F20" s="5"/>
      <c r="G20" s="5"/>
      <c r="H20" s="5">
        <v>0</v>
      </c>
      <c r="I20" s="5"/>
      <c r="J20" s="5"/>
      <c r="K20" s="5">
        <v>0</v>
      </c>
      <c r="L20" s="5"/>
      <c r="M20" s="5"/>
      <c r="N20" s="5">
        <v>0</v>
      </c>
      <c r="O20" s="5"/>
      <c r="P20" s="5"/>
      <c r="Q20" s="5">
        <v>0</v>
      </c>
      <c r="R20" s="5"/>
      <c r="S20" s="5"/>
      <c r="T20" s="5">
        <v>0</v>
      </c>
      <c r="U20" s="5"/>
      <c r="V20" s="5"/>
      <c r="W20" s="5">
        <v>0</v>
      </c>
      <c r="X20" s="5"/>
    </row>
    <row r="21" spans="1:26" s="6" customFormat="1" x14ac:dyDescent="0.2">
      <c r="E21" s="6">
        <f>SUM(E6:E20)</f>
        <v>0</v>
      </c>
      <c r="H21" s="6">
        <f>SUM(H6:H20)</f>
        <v>0</v>
      </c>
      <c r="K21" s="6">
        <f>SUM(K6:K20)</f>
        <v>0</v>
      </c>
      <c r="N21" s="6">
        <f>SUM(N6:N20)</f>
        <v>0</v>
      </c>
      <c r="Q21" s="6">
        <f>SUM(Q6:Q20)</f>
        <v>0</v>
      </c>
      <c r="T21" s="6">
        <f>SUM(T6:T20)</f>
        <v>0</v>
      </c>
      <c r="W21" s="6">
        <f>SUM(W6:W20)</f>
        <v>0</v>
      </c>
    </row>
    <row r="22" spans="1:26" x14ac:dyDescent="0.2">
      <c r="A22" s="2" t="s">
        <v>9</v>
      </c>
      <c r="B22" s="1" t="s">
        <v>26</v>
      </c>
    </row>
    <row r="23" spans="1:26" x14ac:dyDescent="0.2">
      <c r="A23" t="s">
        <v>1</v>
      </c>
      <c r="B23" t="s">
        <v>2</v>
      </c>
      <c r="C23" t="s">
        <v>0</v>
      </c>
      <c r="E23" t="s">
        <v>27</v>
      </c>
      <c r="H23" t="s">
        <v>28</v>
      </c>
      <c r="K23" t="s">
        <v>29</v>
      </c>
      <c r="N23" t="s">
        <v>30</v>
      </c>
      <c r="Q23" t="s">
        <v>31</v>
      </c>
      <c r="T23" t="s">
        <v>32</v>
      </c>
      <c r="Z23" t="s">
        <v>34</v>
      </c>
    </row>
    <row r="24" spans="1:26" s="6" customFormat="1" x14ac:dyDescent="0.2">
      <c r="A24" s="5" t="str">
        <f>_xlfn.IFNA(VLOOKUP($B$22&amp;ROWS($A$24:A24),Rosters!$B$2:$C$163,2,0),"?")</f>
        <v>?</v>
      </c>
      <c r="B24" s="5" t="str">
        <f>_xlfn.IFNA(VLOOKUP($B$22&amp;ROWS($B$24:B24),Rosters!$B$2:$D$163,3,0),"?")</f>
        <v>?</v>
      </c>
      <c r="C24" s="5" t="str">
        <f>_xlfn.IFNA(VLOOKUP($B$22&amp;ROWS($C$24:C24),Rosters!$B$2:$E$163,4,0),"")</f>
        <v/>
      </c>
      <c r="D24" s="5"/>
      <c r="E24" s="5">
        <v>0</v>
      </c>
      <c r="F24" s="5"/>
      <c r="G24" s="5"/>
      <c r="H24" s="5">
        <v>0</v>
      </c>
      <c r="I24" s="5"/>
      <c r="J24" s="5"/>
      <c r="K24" s="5">
        <v>0</v>
      </c>
      <c r="L24" s="5"/>
      <c r="M24" s="5"/>
      <c r="N24" s="5">
        <v>0</v>
      </c>
      <c r="O24" s="5"/>
      <c r="P24" s="5"/>
      <c r="Q24" s="5">
        <v>0</v>
      </c>
      <c r="R24" s="5"/>
      <c r="S24" s="5"/>
      <c r="T24" s="5">
        <v>0</v>
      </c>
      <c r="U24" s="5"/>
      <c r="V24" s="5"/>
      <c r="W24" s="5">
        <v>0</v>
      </c>
      <c r="X24" s="5"/>
    </row>
    <row r="25" spans="1:26" x14ac:dyDescent="0.2">
      <c r="A25" t="str">
        <f>_xlfn.IFNA(VLOOKUP($B$22&amp;ROWS($A$24:A25),Rosters!$B$2:$C$163,2,0),"?")</f>
        <v>?</v>
      </c>
      <c r="B25" t="str">
        <f>_xlfn.IFNA(VLOOKUP($B$22&amp;ROWS($B$24:B25),Rosters!$B$2:$D$163,3,0),"?")</f>
        <v>?</v>
      </c>
      <c r="C25" t="str">
        <f>_xlfn.IFNA(VLOOKUP($B$22&amp;ROWS($C$24:C25),Rosters!$B$2:$E$163,4,0),"")</f>
        <v/>
      </c>
      <c r="D25" s="6"/>
      <c r="E25" s="6">
        <v>0</v>
      </c>
      <c r="F25" s="6"/>
      <c r="G25" s="6"/>
      <c r="H25" s="6">
        <v>0</v>
      </c>
      <c r="I25" s="6"/>
      <c r="J25" s="6"/>
      <c r="K25" s="6">
        <v>0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6"/>
      <c r="W25" s="6">
        <v>0</v>
      </c>
      <c r="X25" s="6"/>
    </row>
    <row r="26" spans="1:26" s="6" customFormat="1" x14ac:dyDescent="0.2">
      <c r="A26" s="5" t="str">
        <f>_xlfn.IFNA(VLOOKUP($B$22&amp;ROWS($A$24:A26),Rosters!$B$2:$C$163,2,0),"?")</f>
        <v>?</v>
      </c>
      <c r="B26" s="5" t="str">
        <f>_xlfn.IFNA(VLOOKUP($B$22&amp;ROWS($B$24:B26),Rosters!$B$2:$D$163,3,0),"?")</f>
        <v>?</v>
      </c>
      <c r="C26" s="5" t="str">
        <f>_xlfn.IFNA(VLOOKUP($B$22&amp;ROWS($C$24:C26),Rosters!$B$2:$E$163,4,0),"")</f>
        <v/>
      </c>
      <c r="D26" s="5"/>
      <c r="E26" s="5">
        <v>0</v>
      </c>
      <c r="F26" s="5"/>
      <c r="G26" s="5"/>
      <c r="H26" s="5">
        <v>0</v>
      </c>
      <c r="I26" s="5"/>
      <c r="J26" s="5"/>
      <c r="K26" s="5">
        <v>0</v>
      </c>
      <c r="L26" s="5"/>
      <c r="M26" s="5"/>
      <c r="N26" s="5">
        <v>0</v>
      </c>
      <c r="O26" s="5"/>
      <c r="P26" s="5"/>
      <c r="Q26" s="5">
        <v>0</v>
      </c>
      <c r="R26" s="5"/>
      <c r="S26" s="5"/>
      <c r="T26" s="5">
        <v>0</v>
      </c>
      <c r="U26" s="5"/>
      <c r="V26" s="5"/>
      <c r="W26" s="5">
        <v>0</v>
      </c>
      <c r="X26" s="5"/>
    </row>
    <row r="27" spans="1:26" x14ac:dyDescent="0.2">
      <c r="A27" t="str">
        <f>_xlfn.IFNA(VLOOKUP($B$22&amp;ROWS($A$24:A27),Rosters!$B$2:$C$163,2,0),"?")</f>
        <v>?</v>
      </c>
      <c r="B27" t="str">
        <f>_xlfn.IFNA(VLOOKUP($B$22&amp;ROWS($B$24:B27),Rosters!$B$2:$D$163,3,0),"?")</f>
        <v>?</v>
      </c>
      <c r="C27" t="str">
        <f>_xlfn.IFNA(VLOOKUP($B$22&amp;ROWS($C$24:C27),Rosters!$B$2:$E$163,4,0),"")</f>
        <v/>
      </c>
      <c r="D27" s="6"/>
      <c r="E27" s="6">
        <v>0</v>
      </c>
      <c r="F27" s="6"/>
      <c r="G27" s="6"/>
      <c r="H27" s="6">
        <v>0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</row>
    <row r="28" spans="1:26" s="6" customFormat="1" x14ac:dyDescent="0.2">
      <c r="A28" s="5" t="str">
        <f>_xlfn.IFNA(VLOOKUP($B$22&amp;ROWS($A$24:A28),Rosters!$B$2:$C$163,2,0),"?")</f>
        <v>?</v>
      </c>
      <c r="B28" s="5" t="str">
        <f>_xlfn.IFNA(VLOOKUP($B$22&amp;ROWS($B$24:B28),Rosters!$B$2:$D$163,3,0),"?")</f>
        <v>?</v>
      </c>
      <c r="C28" s="5" t="str">
        <f>_xlfn.IFNA(VLOOKUP($B$22&amp;ROWS($C$24:C28),Rosters!$B$2:$E$163,4,0),"")</f>
        <v/>
      </c>
      <c r="D28" s="5"/>
      <c r="E28" s="5">
        <v>0</v>
      </c>
      <c r="F28" s="5"/>
      <c r="G28" s="5"/>
      <c r="H28" s="5">
        <v>0</v>
      </c>
      <c r="I28" s="5"/>
      <c r="J28" s="5"/>
      <c r="K28" s="5">
        <v>0</v>
      </c>
      <c r="L28" s="5"/>
      <c r="M28" s="5"/>
      <c r="N28" s="5">
        <v>0</v>
      </c>
      <c r="O28" s="5"/>
      <c r="P28" s="5"/>
      <c r="Q28" s="5">
        <v>0</v>
      </c>
      <c r="R28" s="5"/>
      <c r="S28" s="5"/>
      <c r="T28" s="5">
        <v>0</v>
      </c>
      <c r="U28" s="5"/>
      <c r="V28" s="5"/>
      <c r="W28" s="5">
        <v>0</v>
      </c>
      <c r="X28" s="5"/>
    </row>
    <row r="29" spans="1:26" x14ac:dyDescent="0.2">
      <c r="A29" t="str">
        <f>_xlfn.IFNA(VLOOKUP($B$22&amp;ROWS($A$24:A29),Rosters!$B$2:$C$163,2,0),"?")</f>
        <v>?</v>
      </c>
      <c r="B29" t="str">
        <f>_xlfn.IFNA(VLOOKUP($B$22&amp;ROWS($B$24:B29),Rosters!$B$2:$D$163,3,0),"?")</f>
        <v>?</v>
      </c>
      <c r="C29" t="str">
        <f>_xlfn.IFNA(VLOOKUP($B$22&amp;ROWS($C$24:C29),Rosters!$B$2:$E$163,4,0),"")</f>
        <v/>
      </c>
      <c r="D29" s="6"/>
      <c r="E29" s="6">
        <v>0</v>
      </c>
      <c r="F29" s="6"/>
      <c r="G29" s="6"/>
      <c r="H29" s="6">
        <v>0</v>
      </c>
      <c r="I29" s="6"/>
      <c r="J29" s="6"/>
      <c r="K29" s="6">
        <v>0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6"/>
      <c r="W29" s="6">
        <v>0</v>
      </c>
      <c r="X29" s="6"/>
    </row>
    <row r="30" spans="1:26" s="6" customFormat="1" x14ac:dyDescent="0.2">
      <c r="A30" s="5" t="str">
        <f>_xlfn.IFNA(VLOOKUP($B$22&amp;ROWS($A$24:A30),Rosters!$B$2:$C$163,2,0),"?")</f>
        <v>?</v>
      </c>
      <c r="B30" s="5" t="str">
        <f>_xlfn.IFNA(VLOOKUP($B$22&amp;ROWS($B$24:B30),Rosters!$B$2:$D$163,3,0),"?")</f>
        <v>?</v>
      </c>
      <c r="C30" s="5" t="str">
        <f>_xlfn.IFNA(VLOOKUP($B$22&amp;ROWS($C$24:C30),Rosters!$B$2:$E$163,4,0),"")</f>
        <v/>
      </c>
      <c r="D30" s="5"/>
      <c r="E30" s="5">
        <v>0</v>
      </c>
      <c r="F30" s="5"/>
      <c r="G30" s="5"/>
      <c r="H30" s="5">
        <v>0</v>
      </c>
      <c r="I30" s="5"/>
      <c r="J30" s="5"/>
      <c r="K30" s="5">
        <v>0</v>
      </c>
      <c r="L30" s="5"/>
      <c r="M30" s="5"/>
      <c r="N30" s="5">
        <v>0</v>
      </c>
      <c r="O30" s="5"/>
      <c r="P30" s="5"/>
      <c r="Q30" s="5">
        <v>0</v>
      </c>
      <c r="R30" s="5"/>
      <c r="S30" s="5"/>
      <c r="T30" s="5">
        <v>0</v>
      </c>
      <c r="U30" s="5"/>
      <c r="V30" s="5"/>
      <c r="W30" s="5">
        <v>0</v>
      </c>
      <c r="X30" s="5"/>
    </row>
    <row r="31" spans="1:26" x14ac:dyDescent="0.2">
      <c r="A31" t="str">
        <f>_xlfn.IFNA(VLOOKUP($B$22&amp;ROWS($A$24:A31),Rosters!$B$2:$C$163,2,0),"?")</f>
        <v>?</v>
      </c>
      <c r="B31" t="str">
        <f>_xlfn.IFNA(VLOOKUP($B$22&amp;ROWS($B$24:B31),Rosters!$B$2:$D$163,3,0),"?")</f>
        <v>?</v>
      </c>
      <c r="C31" t="str">
        <f>_xlfn.IFNA(VLOOKUP($B$22&amp;ROWS($C$24:C31),Rosters!$B$2:$E$163,4,0),"")</f>
        <v/>
      </c>
      <c r="D31" s="6"/>
      <c r="E31" s="6">
        <v>0</v>
      </c>
      <c r="F31" s="6"/>
      <c r="G31" s="6"/>
      <c r="H31" s="6">
        <v>0</v>
      </c>
      <c r="I31" s="6"/>
      <c r="J31" s="6"/>
      <c r="K31" s="6">
        <v>0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</row>
    <row r="32" spans="1:26" s="6" customFormat="1" x14ac:dyDescent="0.2">
      <c r="A32" s="5" t="str">
        <f>_xlfn.IFNA(VLOOKUP($B$22&amp;ROWS($A$24:A32),Rosters!$B$2:$C$163,2,0),"?")</f>
        <v>?</v>
      </c>
      <c r="B32" s="5" t="str">
        <f>_xlfn.IFNA(VLOOKUP($B$22&amp;ROWS($B$24:B32),Rosters!$B$2:$D$163,3,0),"?")</f>
        <v>?</v>
      </c>
      <c r="C32" s="5" t="str">
        <f>_xlfn.IFNA(VLOOKUP($B$22&amp;ROWS($C$24:C32),Rosters!$B$2:$E$163,4,0),"")</f>
        <v/>
      </c>
      <c r="D32" s="5"/>
      <c r="E32" s="5">
        <v>0</v>
      </c>
      <c r="F32" s="5"/>
      <c r="G32" s="5"/>
      <c r="H32" s="5">
        <v>0</v>
      </c>
      <c r="I32" s="5"/>
      <c r="J32" s="5"/>
      <c r="K32" s="5">
        <v>0</v>
      </c>
      <c r="L32" s="5"/>
      <c r="M32" s="5"/>
      <c r="N32" s="5">
        <v>0</v>
      </c>
      <c r="O32" s="5"/>
      <c r="P32" s="5"/>
      <c r="Q32" s="5">
        <v>0</v>
      </c>
      <c r="R32" s="5"/>
      <c r="S32" s="5"/>
      <c r="T32" s="5">
        <v>0</v>
      </c>
      <c r="U32" s="5"/>
      <c r="V32" s="5"/>
      <c r="W32" s="5">
        <v>0</v>
      </c>
      <c r="X32" s="5"/>
    </row>
    <row r="33" spans="1:24" x14ac:dyDescent="0.2">
      <c r="A33" t="str">
        <f>_xlfn.IFNA(VLOOKUP($B$22&amp;ROWS($A$24:A33),Rosters!$B$2:$C$163,2,0),"?")</f>
        <v>?</v>
      </c>
      <c r="B33" t="str">
        <f>_xlfn.IFNA(VLOOKUP($B$22&amp;ROWS($B$24:B33),Rosters!$B$2:$D$163,3,0),"?")</f>
        <v>?</v>
      </c>
      <c r="C33" t="str">
        <f>_xlfn.IFNA(VLOOKUP($B$22&amp;ROWS($C$24:C33),Rosters!$B$2:$E$163,4,0),"")</f>
        <v/>
      </c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6"/>
      <c r="W33" s="6">
        <v>0</v>
      </c>
      <c r="X33" s="6"/>
    </row>
    <row r="34" spans="1:24" s="6" customFormat="1" x14ac:dyDescent="0.2">
      <c r="A34" s="5" t="str">
        <f>_xlfn.IFNA(VLOOKUP($B$22&amp;ROWS($A$24:A34),Rosters!$B$2:$C$163,2,0),"?")</f>
        <v>?</v>
      </c>
      <c r="B34" s="5" t="str">
        <f>_xlfn.IFNA(VLOOKUP($B$22&amp;ROWS($B$24:B34),Rosters!$B$2:$D$163,3,0),"?")</f>
        <v>?</v>
      </c>
      <c r="C34" s="5" t="str">
        <f>_xlfn.IFNA(VLOOKUP($B$22&amp;ROWS($C$24:C34),Rosters!$B$2:$E$163,4,0),"")</f>
        <v/>
      </c>
      <c r="D34" s="5"/>
      <c r="E34" s="5">
        <v>0</v>
      </c>
      <c r="F34" s="5"/>
      <c r="G34" s="5"/>
      <c r="H34" s="5">
        <v>0</v>
      </c>
      <c r="I34" s="5"/>
      <c r="J34" s="5"/>
      <c r="K34" s="5">
        <v>0</v>
      </c>
      <c r="L34" s="5"/>
      <c r="M34" s="5"/>
      <c r="N34" s="5">
        <v>0</v>
      </c>
      <c r="O34" s="5"/>
      <c r="P34" s="5"/>
      <c r="Q34" s="5">
        <v>0</v>
      </c>
      <c r="R34" s="5"/>
      <c r="S34" s="5"/>
      <c r="T34" s="5">
        <v>0</v>
      </c>
      <c r="U34" s="5"/>
      <c r="V34" s="5"/>
      <c r="W34" s="5">
        <v>0</v>
      </c>
      <c r="X34" s="5"/>
    </row>
    <row r="35" spans="1:24" x14ac:dyDescent="0.2">
      <c r="A35" t="str">
        <f>_xlfn.IFNA(VLOOKUP($B$22&amp;ROWS($A$24:A35),Rosters!$B$2:$C$163,2,0),"?")</f>
        <v>?</v>
      </c>
      <c r="B35" t="str">
        <f>_xlfn.IFNA(VLOOKUP($B$22&amp;ROWS($B$24:B35),Rosters!$B$2:$D$163,3,0),"?")</f>
        <v>?</v>
      </c>
      <c r="C35" t="str">
        <f>_xlfn.IFNA(VLOOKUP($B$22&amp;ROWS($C$24:C35),Rosters!$B$2:$E$163,4,0),"")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</row>
    <row r="36" spans="1:24" s="6" customFormat="1" x14ac:dyDescent="0.2">
      <c r="A36" s="5" t="str">
        <f>_xlfn.IFNA(VLOOKUP($B$22&amp;ROWS($A$24:A36),Rosters!$B$2:$C$163,2,0),"?")</f>
        <v>?</v>
      </c>
      <c r="B36" s="5" t="str">
        <f>_xlfn.IFNA(VLOOKUP($B$22&amp;ROWS($B$24:B36),Rosters!$B$2:$D$163,3,0),"?")</f>
        <v>?</v>
      </c>
      <c r="C36" s="5" t="str">
        <f>_xlfn.IFNA(VLOOKUP($B$22&amp;ROWS($C$24:C36),Rosters!$B$2:$E$163,4,0),"")</f>
        <v/>
      </c>
      <c r="D36" s="5"/>
      <c r="E36" s="5">
        <v>0</v>
      </c>
      <c r="F36" s="5"/>
      <c r="G36" s="5"/>
      <c r="H36" s="5">
        <v>0</v>
      </c>
      <c r="I36" s="5"/>
      <c r="J36" s="5"/>
      <c r="K36" s="5">
        <v>0</v>
      </c>
      <c r="L36" s="5"/>
      <c r="M36" s="5"/>
      <c r="N36" s="5">
        <v>0</v>
      </c>
      <c r="O36" s="5"/>
      <c r="P36" s="5"/>
      <c r="Q36" s="5">
        <v>0</v>
      </c>
      <c r="R36" s="5"/>
      <c r="S36" s="5"/>
      <c r="T36" s="5">
        <v>0</v>
      </c>
      <c r="U36" s="5"/>
      <c r="V36" s="5"/>
      <c r="W36" s="5">
        <v>0</v>
      </c>
      <c r="X36" s="5"/>
    </row>
    <row r="37" spans="1:24" x14ac:dyDescent="0.2">
      <c r="A37" t="str">
        <f>_xlfn.IFNA(VLOOKUP($B$22&amp;ROWS($A$24:A37),Rosters!$B$2:$C$163,2,0),"?")</f>
        <v>?</v>
      </c>
      <c r="B37" t="str">
        <f>_xlfn.IFNA(VLOOKUP($B$22&amp;ROWS($B$24:B37),Rosters!$B$2:$D$163,3,0),"?")</f>
        <v>?</v>
      </c>
      <c r="C37" t="str">
        <f>_xlfn.IFNA(VLOOKUP($B$22&amp;ROWS($C$24:C37),Rosters!$B$2:$E$163,4,0),"")</f>
        <v/>
      </c>
      <c r="D37" s="6"/>
      <c r="E37" s="6">
        <v>0</v>
      </c>
      <c r="F37" s="6"/>
      <c r="G37" s="6"/>
      <c r="H37" s="6">
        <v>0</v>
      </c>
      <c r="I37" s="6"/>
      <c r="J37" s="6"/>
      <c r="K37" s="6">
        <v>0</v>
      </c>
      <c r="L37" s="6"/>
      <c r="M37" s="6"/>
      <c r="N37" s="6">
        <v>0</v>
      </c>
      <c r="O37" s="6"/>
      <c r="P37" s="6"/>
      <c r="Q37" s="6">
        <v>0</v>
      </c>
      <c r="R37" s="6"/>
      <c r="S37" s="6"/>
      <c r="T37" s="6">
        <v>0</v>
      </c>
      <c r="U37" s="6"/>
      <c r="V37" s="6"/>
      <c r="W37" s="6">
        <v>0</v>
      </c>
      <c r="X37" s="6"/>
    </row>
    <row r="38" spans="1:24" s="6" customFormat="1" x14ac:dyDescent="0.2">
      <c r="A38" s="5" t="str">
        <f>_xlfn.IFNA(VLOOKUP($B$22&amp;ROWS($A$24:A38),Rosters!$B$2:$C$163,2,0),"?")</f>
        <v>?</v>
      </c>
      <c r="B38" s="5" t="str">
        <f>_xlfn.IFNA(VLOOKUP($B$22&amp;ROWS($B$24:B38),Rosters!$B$2:$D$163,3,0),"?")</f>
        <v>?</v>
      </c>
      <c r="C38" s="5" t="str">
        <f>_xlfn.IFNA(VLOOKUP($B$22&amp;ROWS($C$24:C38),Rosters!$B$2:$E$163,4,0),"")</f>
        <v/>
      </c>
      <c r="D38" s="5"/>
      <c r="E38" s="5">
        <v>0</v>
      </c>
      <c r="F38" s="5"/>
      <c r="G38" s="5"/>
      <c r="H38" s="5">
        <v>0</v>
      </c>
      <c r="I38" s="5"/>
      <c r="J38" s="5"/>
      <c r="K38" s="5">
        <v>0</v>
      </c>
      <c r="L38" s="5"/>
      <c r="M38" s="5"/>
      <c r="N38" s="5">
        <v>0</v>
      </c>
      <c r="O38" s="5"/>
      <c r="P38" s="5"/>
      <c r="Q38" s="5">
        <v>0</v>
      </c>
      <c r="R38" s="5"/>
      <c r="S38" s="5"/>
      <c r="T38" s="5">
        <v>0</v>
      </c>
      <c r="U38" s="5"/>
      <c r="V38" s="5"/>
      <c r="W38" s="5">
        <v>0</v>
      </c>
      <c r="X38" s="5"/>
    </row>
    <row r="39" spans="1:24" x14ac:dyDescent="0.2">
      <c r="E39">
        <f>SUM(E24:E38)</f>
        <v>0</v>
      </c>
      <c r="H39">
        <f>SUM(H24:H38)</f>
        <v>0</v>
      </c>
      <c r="K39">
        <f>SUM(K24:K38)</f>
        <v>0</v>
      </c>
      <c r="N39">
        <f>SUM(N24:N38)</f>
        <v>0</v>
      </c>
      <c r="Q39">
        <f>SUM(Q24:Q38)</f>
        <v>0</v>
      </c>
      <c r="T39">
        <f>SUM(T24:T38)</f>
        <v>0</v>
      </c>
      <c r="W39">
        <f>SUM(W24:W38)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37</xdr:row>
                    <xdr:rowOff>12700</xdr:rowOff>
                  </from>
                  <to>
                    <xdr:col>3</xdr:col>
                    <xdr:colOff>342900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37</xdr:row>
                    <xdr:rowOff>12700</xdr:rowOff>
                  </from>
                  <to>
                    <xdr:col>5</xdr:col>
                    <xdr:colOff>330200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19</xdr:row>
                    <xdr:rowOff>12700</xdr:rowOff>
                  </from>
                  <to>
                    <xdr:col>3</xdr:col>
                    <xdr:colOff>342900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19</xdr:row>
                    <xdr:rowOff>12700</xdr:rowOff>
                  </from>
                  <to>
                    <xdr:col>5</xdr:col>
                    <xdr:colOff>330200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37</xdr:row>
                    <xdr:rowOff>12700</xdr:rowOff>
                  </from>
                  <to>
                    <xdr:col>6</xdr:col>
                    <xdr:colOff>342900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37</xdr:row>
                    <xdr:rowOff>12700</xdr:rowOff>
                  </from>
                  <to>
                    <xdr:col>8</xdr:col>
                    <xdr:colOff>330200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19</xdr:row>
                    <xdr:rowOff>12700</xdr:rowOff>
                  </from>
                  <to>
                    <xdr:col>6</xdr:col>
                    <xdr:colOff>342900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19</xdr:row>
                    <xdr:rowOff>12700</xdr:rowOff>
                  </from>
                  <to>
                    <xdr:col>8</xdr:col>
                    <xdr:colOff>330200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37</xdr:row>
                    <xdr:rowOff>12700</xdr:rowOff>
                  </from>
                  <to>
                    <xdr:col>9</xdr:col>
                    <xdr:colOff>342900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37</xdr:row>
                    <xdr:rowOff>12700</xdr:rowOff>
                  </from>
                  <to>
                    <xdr:col>11</xdr:col>
                    <xdr:colOff>330200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19</xdr:row>
                    <xdr:rowOff>12700</xdr:rowOff>
                  </from>
                  <to>
                    <xdr:col>9</xdr:col>
                    <xdr:colOff>342900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19</xdr:row>
                    <xdr:rowOff>12700</xdr:rowOff>
                  </from>
                  <to>
                    <xdr:col>11</xdr:col>
                    <xdr:colOff>330200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37</xdr:row>
                    <xdr:rowOff>12700</xdr:rowOff>
                  </from>
                  <to>
                    <xdr:col>12</xdr:col>
                    <xdr:colOff>342900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37</xdr:row>
                    <xdr:rowOff>12700</xdr:rowOff>
                  </from>
                  <to>
                    <xdr:col>14</xdr:col>
                    <xdr:colOff>330200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19</xdr:row>
                    <xdr:rowOff>12700</xdr:rowOff>
                  </from>
                  <to>
                    <xdr:col>12</xdr:col>
                    <xdr:colOff>342900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19</xdr:row>
                    <xdr:rowOff>12700</xdr:rowOff>
                  </from>
                  <to>
                    <xdr:col>14</xdr:col>
                    <xdr:colOff>330200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37</xdr:row>
                    <xdr:rowOff>12700</xdr:rowOff>
                  </from>
                  <to>
                    <xdr:col>15</xdr:col>
                    <xdr:colOff>342900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37</xdr:row>
                    <xdr:rowOff>12700</xdr:rowOff>
                  </from>
                  <to>
                    <xdr:col>17</xdr:col>
                    <xdr:colOff>330200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19</xdr:row>
                    <xdr:rowOff>12700</xdr:rowOff>
                  </from>
                  <to>
                    <xdr:col>15</xdr:col>
                    <xdr:colOff>342900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19</xdr:row>
                    <xdr:rowOff>12700</xdr:rowOff>
                  </from>
                  <to>
                    <xdr:col>17</xdr:col>
                    <xdr:colOff>330200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37</xdr:row>
                    <xdr:rowOff>12700</xdr:rowOff>
                  </from>
                  <to>
                    <xdr:col>18</xdr:col>
                    <xdr:colOff>342900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37</xdr:row>
                    <xdr:rowOff>12700</xdr:rowOff>
                  </from>
                  <to>
                    <xdr:col>20</xdr:col>
                    <xdr:colOff>330200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19</xdr:row>
                    <xdr:rowOff>12700</xdr:rowOff>
                  </from>
                  <to>
                    <xdr:col>18</xdr:col>
                    <xdr:colOff>342900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19</xdr:row>
                    <xdr:rowOff>12700</xdr:rowOff>
                  </from>
                  <to>
                    <xdr:col>20</xdr:col>
                    <xdr:colOff>330200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37</xdr:row>
                    <xdr:rowOff>12700</xdr:rowOff>
                  </from>
                  <to>
                    <xdr:col>21</xdr:col>
                    <xdr:colOff>342900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37</xdr:row>
                    <xdr:rowOff>12700</xdr:rowOff>
                  </from>
                  <to>
                    <xdr:col>23</xdr:col>
                    <xdr:colOff>330200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19</xdr:row>
                    <xdr:rowOff>12700</xdr:rowOff>
                  </from>
                  <to>
                    <xdr:col>21</xdr:col>
                    <xdr:colOff>342900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19</xdr:row>
                    <xdr:rowOff>12700</xdr:rowOff>
                  </from>
                  <to>
                    <xdr:col>23</xdr:col>
                    <xdr:colOff>330200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423" name="Button 1097">
              <controlPr defaultSize="0" print="0" autoFill="0" autoPict="0" macro="[0]!ButtonPoss_Click" altText="Button 1097">
                <anchor moveWithCells="1" sizeWithCells="1">
                  <from>
                    <xdr:col>6</xdr:col>
                    <xdr:colOff>152400</xdr:colOff>
                    <xdr:row>0</xdr:row>
                    <xdr:rowOff>114300</xdr:rowOff>
                  </from>
                  <to>
                    <xdr:col>14</xdr:col>
                    <xdr:colOff>12700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B22 B4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workbookViewId="0">
      <selection activeCell="D10" sqref="D10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26</v>
      </c>
    </row>
    <row r="2" spans="1:7" x14ac:dyDescent="0.2">
      <c r="A2" t="s">
        <v>13</v>
      </c>
      <c r="B2" s="8" t="str">
        <f>A2&amp;COUNTIF($A$2:$A2,A2)</f>
        <v>Practice Squad A1</v>
      </c>
      <c r="C2" t="s">
        <v>15</v>
      </c>
      <c r="D2" t="s">
        <v>16</v>
      </c>
      <c r="E2">
        <v>0</v>
      </c>
      <c r="G2" s="8" t="str" cm="1">
        <f t="array" ref="G2:G4">_xlfn.UNIQUE(A2:A100)</f>
        <v>Practice Squad A</v>
      </c>
    </row>
    <row r="3" spans="1:7" x14ac:dyDescent="0.2">
      <c r="A3" t="s">
        <v>13</v>
      </c>
      <c r="B3" s="8" t="str">
        <f>A3&amp;COUNTIF($A$2:$A3,A3)</f>
        <v>Practice Squad A2</v>
      </c>
      <c r="C3" t="s">
        <v>15</v>
      </c>
      <c r="D3" t="s">
        <v>17</v>
      </c>
      <c r="E3">
        <v>1</v>
      </c>
      <c r="G3" s="8" t="str">
        <v>Practice Squad B</v>
      </c>
    </row>
    <row r="4" spans="1:7" x14ac:dyDescent="0.2">
      <c r="A4" t="s">
        <v>13</v>
      </c>
      <c r="B4" s="8" t="str">
        <f>A4&amp;COUNTIF($A$2:$A4,A4)</f>
        <v>Practice Squad A3</v>
      </c>
      <c r="C4" t="s">
        <v>15</v>
      </c>
      <c r="D4" t="s">
        <v>18</v>
      </c>
      <c r="E4">
        <v>2</v>
      </c>
      <c r="G4" s="8">
        <v>0</v>
      </c>
    </row>
    <row r="5" spans="1:7" x14ac:dyDescent="0.2">
      <c r="A5" t="s">
        <v>13</v>
      </c>
      <c r="B5" s="8" t="str">
        <f>A5&amp;COUNTIF($A$2:$A5,A5)</f>
        <v>Practice Squad A4</v>
      </c>
      <c r="C5" t="s">
        <v>15</v>
      </c>
      <c r="D5" t="s">
        <v>20</v>
      </c>
      <c r="E5">
        <v>11</v>
      </c>
    </row>
    <row r="6" spans="1:7" x14ac:dyDescent="0.2">
      <c r="A6" t="s">
        <v>13</v>
      </c>
      <c r="B6" s="8" t="str">
        <f>A6&amp;COUNTIF($A$2:$A6,A6)</f>
        <v>Practice Squad A5</v>
      </c>
      <c r="C6" t="s">
        <v>15</v>
      </c>
      <c r="D6" t="s">
        <v>19</v>
      </c>
      <c r="E6">
        <v>41</v>
      </c>
    </row>
    <row r="7" spans="1:7" x14ac:dyDescent="0.2">
      <c r="A7" t="s">
        <v>14</v>
      </c>
      <c r="B7" s="8" t="str">
        <f>A7&amp;COUNTIF($A$2:$A7,A7)</f>
        <v>Practice Squad B1</v>
      </c>
      <c r="C7" t="s">
        <v>15</v>
      </c>
      <c r="D7" t="s">
        <v>21</v>
      </c>
      <c r="E7">
        <v>0</v>
      </c>
    </row>
    <row r="8" spans="1:7" x14ac:dyDescent="0.2">
      <c r="A8" t="s">
        <v>14</v>
      </c>
      <c r="B8" s="8" t="str">
        <f>A8&amp;COUNTIF($A$2:$A8,A8)</f>
        <v>Practice Squad B2</v>
      </c>
      <c r="C8" t="s">
        <v>15</v>
      </c>
      <c r="D8" t="s">
        <v>22</v>
      </c>
      <c r="E8">
        <v>2</v>
      </c>
    </row>
    <row r="9" spans="1:7" x14ac:dyDescent="0.2">
      <c r="A9" t="s">
        <v>14</v>
      </c>
      <c r="B9" s="8" t="str">
        <f>A9&amp;COUNTIF($A$2:$A9,A9)</f>
        <v>Practice Squad B3</v>
      </c>
      <c r="C9" t="s">
        <v>15</v>
      </c>
      <c r="D9" t="s">
        <v>23</v>
      </c>
      <c r="E9">
        <v>5</v>
      </c>
    </row>
    <row r="10" spans="1:7" x14ac:dyDescent="0.2">
      <c r="A10" t="s">
        <v>14</v>
      </c>
      <c r="B10" s="8" t="str">
        <f>A10&amp;COUNTIF($A$2:$A10,A10)</f>
        <v>Practice Squad B4</v>
      </c>
      <c r="C10" t="s">
        <v>15</v>
      </c>
      <c r="D10" t="s">
        <v>24</v>
      </c>
      <c r="E10">
        <v>8</v>
      </c>
    </row>
    <row r="11" spans="1:7" x14ac:dyDescent="0.2">
      <c r="A11" t="s">
        <v>14</v>
      </c>
      <c r="B11" s="8" t="str">
        <f>A11&amp;COUNTIF($A$2:$A11,A11)</f>
        <v>Practice Squad B5</v>
      </c>
      <c r="C11" t="s">
        <v>15</v>
      </c>
      <c r="D11" t="s">
        <v>25</v>
      </c>
      <c r="E11">
        <v>52</v>
      </c>
    </row>
    <row r="12" spans="1:7" x14ac:dyDescent="0.2">
      <c r="B12" s="8" t="str">
        <f>A12&amp;COUNTIF($A$2:$A12,A12)</f>
        <v>0</v>
      </c>
    </row>
    <row r="13" spans="1:7" x14ac:dyDescent="0.2">
      <c r="B13" s="8" t="str">
        <f>A13&amp;COUNTIF($A$2:$A13,A13)</f>
        <v>0</v>
      </c>
    </row>
    <row r="14" spans="1:7" x14ac:dyDescent="0.2">
      <c r="B14" s="8" t="str">
        <f>A14&amp;COUNTIF($A$2:$A14,A14)</f>
        <v>0</v>
      </c>
    </row>
    <row r="15" spans="1:7" x14ac:dyDescent="0.2">
      <c r="B15" s="8" t="str">
        <f>A15&amp;COUNTIF($A$2:$A15,A15)</f>
        <v>0</v>
      </c>
    </row>
    <row r="16" spans="1:7" x14ac:dyDescent="0.2">
      <c r="B16" s="8" t="str">
        <f>A16&amp;COUNTIF($A$2:$A16,A16)</f>
        <v>0</v>
      </c>
    </row>
    <row r="17" spans="2:2" x14ac:dyDescent="0.2">
      <c r="B17" s="8" t="str">
        <f>A17&amp;COUNTIF($A$2:$A17,A17)</f>
        <v>0</v>
      </c>
    </row>
    <row r="18" spans="2:2" x14ac:dyDescent="0.2">
      <c r="B18" s="8" t="str">
        <f>A18&amp;COUNTIF($A$2:$A18,A18)</f>
        <v>0</v>
      </c>
    </row>
    <row r="19" spans="2:2" x14ac:dyDescent="0.2">
      <c r="B19" s="8" t="str">
        <f>A19&amp;COUNTIF($A$2:$A19,A19)</f>
        <v>0</v>
      </c>
    </row>
    <row r="20" spans="2:2" x14ac:dyDescent="0.2">
      <c r="B20" s="8" t="str">
        <f>A20&amp;COUNTIF($A$2:$A20,A20)</f>
        <v>0</v>
      </c>
    </row>
    <row r="21" spans="2:2" x14ac:dyDescent="0.2">
      <c r="B21" s="8" t="str">
        <f>A21&amp;COUNTIF($A$2:$A21,A21)</f>
        <v>0</v>
      </c>
    </row>
    <row r="22" spans="2:2" x14ac:dyDescent="0.2">
      <c r="B22" s="8" t="str">
        <f>A22&amp;COUNTIF($A$2:$A22,A22)</f>
        <v>0</v>
      </c>
    </row>
    <row r="23" spans="2:2" x14ac:dyDescent="0.2">
      <c r="B23" s="8" t="str">
        <f>A23&amp;COUNTIF($A$2:$A23,A23)</f>
        <v>0</v>
      </c>
    </row>
    <row r="24" spans="2:2" x14ac:dyDescent="0.2">
      <c r="B24" s="8" t="str">
        <f>A24&amp;COUNTIF($A$2:$A24,A24)</f>
        <v>0</v>
      </c>
    </row>
    <row r="25" spans="2:2" x14ac:dyDescent="0.2">
      <c r="B25" s="8" t="str">
        <f>A25&amp;COUNTIF($A$2:$A25,A25)</f>
        <v>0</v>
      </c>
    </row>
    <row r="26" spans="2:2" x14ac:dyDescent="0.2">
      <c r="B26" s="8" t="str">
        <f>A26&amp;COUNTIF($A$2:$A26,A26)</f>
        <v>0</v>
      </c>
    </row>
    <row r="27" spans="2:2" x14ac:dyDescent="0.2">
      <c r="B27" s="8" t="str">
        <f>A27&amp;COUNTIF($A$2:$A27,A27)</f>
        <v>0</v>
      </c>
    </row>
    <row r="28" spans="2:2" x14ac:dyDescent="0.2">
      <c r="B28" s="8" t="str">
        <f>A28&amp;COUNTIF($A$2:$A28,A28)</f>
        <v>0</v>
      </c>
    </row>
    <row r="29" spans="2:2" x14ac:dyDescent="0.2">
      <c r="B29" s="8" t="str">
        <f>A29&amp;COUNTIF($A$2:$A29,A29)</f>
        <v>0</v>
      </c>
    </row>
    <row r="30" spans="2:2" x14ac:dyDescent="0.2">
      <c r="B30" s="8" t="str">
        <f>A30&amp;COUNTIF($A$2:$A30,A30)</f>
        <v>0</v>
      </c>
    </row>
    <row r="31" spans="2:2" x14ac:dyDescent="0.2">
      <c r="B31" s="8" t="str">
        <f>A31&amp;COUNTIF($A$2:$A31,A31)</f>
        <v>0</v>
      </c>
    </row>
    <row r="32" spans="2:2" x14ac:dyDescent="0.2">
      <c r="B32" s="8" t="str">
        <f>A32&amp;COUNTIF($A$2:$A32,A32)</f>
        <v>0</v>
      </c>
    </row>
    <row r="33" spans="2:2" x14ac:dyDescent="0.2">
      <c r="B33" s="8" t="str">
        <f>A33&amp;COUNTIF($A$2:$A33,A33)</f>
        <v>0</v>
      </c>
    </row>
    <row r="34" spans="2:2" x14ac:dyDescent="0.2">
      <c r="B34" s="8" t="str">
        <f>A34&amp;COUNTIF($A$2:$A34,A34)</f>
        <v>0</v>
      </c>
    </row>
    <row r="35" spans="2:2" x14ac:dyDescent="0.2">
      <c r="B35" s="8" t="str">
        <f>A35&amp;COUNTIF($A$2:$A35,A35)</f>
        <v>0</v>
      </c>
    </row>
    <row r="36" spans="2:2" x14ac:dyDescent="0.2">
      <c r="B36" s="8" t="str">
        <f>A36&amp;COUNTIF($A$2:$A36,A36)</f>
        <v>0</v>
      </c>
    </row>
    <row r="37" spans="2:2" x14ac:dyDescent="0.2">
      <c r="B37" s="8" t="str">
        <f>A37&amp;COUNTIF($A$2:$A37,A37)</f>
        <v>0</v>
      </c>
    </row>
    <row r="38" spans="2:2" x14ac:dyDescent="0.2">
      <c r="B38" s="8" t="str">
        <f>A38&amp;COUNTIF($A$2:$A38,A38)</f>
        <v>0</v>
      </c>
    </row>
    <row r="39" spans="2:2" x14ac:dyDescent="0.2">
      <c r="B39" s="8" t="str">
        <f>A39&amp;COUNTIF($A$2:$A39,A39)</f>
        <v>0</v>
      </c>
    </row>
    <row r="40" spans="2:2" x14ac:dyDescent="0.2">
      <c r="B40" s="8" t="str">
        <f>A40&amp;COUNTIF($A$2:$A40,A40)</f>
        <v>0</v>
      </c>
    </row>
    <row r="41" spans="2:2" x14ac:dyDescent="0.2">
      <c r="B41" s="8" t="str">
        <f>A41&amp;COUNTIF($A$2:$A41,A41)</f>
        <v>0</v>
      </c>
    </row>
    <row r="42" spans="2:2" x14ac:dyDescent="0.2">
      <c r="B42" s="8" t="str">
        <f>A42&amp;COUNTIF($A$2:$A42,A42)</f>
        <v>0</v>
      </c>
    </row>
    <row r="43" spans="2:2" x14ac:dyDescent="0.2">
      <c r="B43" s="8" t="str">
        <f>A43&amp;COUNTIF($A$2:$A43,A43)</f>
        <v>0</v>
      </c>
    </row>
    <row r="44" spans="2:2" x14ac:dyDescent="0.2">
      <c r="B44" s="8" t="str">
        <f>A44&amp;COUNTIF($A$2:$A44,A44)</f>
        <v>0</v>
      </c>
    </row>
    <row r="45" spans="2:2" x14ac:dyDescent="0.2">
      <c r="B45" s="8" t="str">
        <f>A45&amp;COUNTIF($A$2:$A45,A45)</f>
        <v>0</v>
      </c>
    </row>
    <row r="46" spans="2:2" x14ac:dyDescent="0.2">
      <c r="B46" s="8" t="str">
        <f>A46&amp;COUNTIF($A$2:$A46,A46)</f>
        <v>0</v>
      </c>
    </row>
    <row r="47" spans="2:2" x14ac:dyDescent="0.2">
      <c r="B47" s="8" t="str">
        <f>A47&amp;COUNTIF($A$2:$A47,A47)</f>
        <v>0</v>
      </c>
    </row>
    <row r="48" spans="2:2" x14ac:dyDescent="0.2">
      <c r="B48" s="8" t="str">
        <f>A48&amp;COUNTIF($A$2:$A48,A48)</f>
        <v>0</v>
      </c>
    </row>
    <row r="49" spans="2:2" x14ac:dyDescent="0.2">
      <c r="B49" s="8" t="str">
        <f>A49&amp;COUNTIF($A$2:$A49,A49)</f>
        <v>0</v>
      </c>
    </row>
    <row r="50" spans="2:2" x14ac:dyDescent="0.2">
      <c r="B50" s="8" t="str">
        <f>A50&amp;COUNTIF($A$2:$A50,A50)</f>
        <v>0</v>
      </c>
    </row>
    <row r="51" spans="2:2" x14ac:dyDescent="0.2">
      <c r="B51" s="8" t="str">
        <f>A51&amp;COUNTIF($A$2:$A51,A51)</f>
        <v>0</v>
      </c>
    </row>
    <row r="52" spans="2:2" x14ac:dyDescent="0.2">
      <c r="B52" s="8" t="str">
        <f>A52&amp;COUNTIF($A$2:$A52,A52)</f>
        <v>0</v>
      </c>
    </row>
    <row r="53" spans="2:2" x14ac:dyDescent="0.2">
      <c r="B53" s="8" t="str">
        <f>A53&amp;COUNTIF($A$2:$A53,A53)</f>
        <v>0</v>
      </c>
    </row>
    <row r="54" spans="2:2" x14ac:dyDescent="0.2">
      <c r="B54" s="8" t="str">
        <f>A54&amp;COUNTIF($A$2:$A54,A54)</f>
        <v>0</v>
      </c>
    </row>
    <row r="55" spans="2:2" x14ac:dyDescent="0.2">
      <c r="B55" s="8" t="str">
        <f>A55&amp;COUNTIF($A$2:$A55,A55)</f>
        <v>0</v>
      </c>
    </row>
    <row r="56" spans="2:2" x14ac:dyDescent="0.2">
      <c r="B56" s="8" t="str">
        <f>A56&amp;COUNTIF($A$2:$A56,A56)</f>
        <v>0</v>
      </c>
    </row>
    <row r="57" spans="2:2" x14ac:dyDescent="0.2">
      <c r="B57" s="8" t="str">
        <f>A57&amp;COUNTIF($A$2:$A57,A57)</f>
        <v>0</v>
      </c>
    </row>
    <row r="58" spans="2:2" x14ac:dyDescent="0.2">
      <c r="B58" s="8" t="str">
        <f>A58&amp;COUNTIF($A$2:$A58,A58)</f>
        <v>0</v>
      </c>
    </row>
    <row r="59" spans="2:2" x14ac:dyDescent="0.2">
      <c r="B59" s="8" t="str">
        <f>A59&amp;COUNTIF($A$2:$A59,A59)</f>
        <v>0</v>
      </c>
    </row>
    <row r="60" spans="2:2" x14ac:dyDescent="0.2">
      <c r="B60" s="8" t="str">
        <f>A60&amp;COUNTIF($A$2:$A60,A60)</f>
        <v>0</v>
      </c>
    </row>
    <row r="61" spans="2:2" x14ac:dyDescent="0.2">
      <c r="B61" s="8" t="str">
        <f>A61&amp;COUNTIF($A$2:$A61,A61)</f>
        <v>0</v>
      </c>
    </row>
    <row r="62" spans="2:2" x14ac:dyDescent="0.2">
      <c r="B62" s="8" t="str">
        <f>A62&amp;COUNTIF($A$2:$A62,A62)</f>
        <v>0</v>
      </c>
    </row>
    <row r="63" spans="2:2" x14ac:dyDescent="0.2">
      <c r="B63" s="8" t="str">
        <f>A63&amp;COUNTIF($A$2:$A63,A63)</f>
        <v>0</v>
      </c>
    </row>
    <row r="64" spans="2:2" x14ac:dyDescent="0.2">
      <c r="B64" s="8" t="str">
        <f>A64&amp;COUNTIF($A$2:$A64,A64)</f>
        <v>0</v>
      </c>
    </row>
    <row r="65" spans="2:5" x14ac:dyDescent="0.2">
      <c r="B65" s="8" t="str">
        <f>A65&amp;COUNTIF($A$2:$A65,A65)</f>
        <v>0</v>
      </c>
    </row>
    <row r="66" spans="2:5" x14ac:dyDescent="0.2">
      <c r="B66" s="8" t="str">
        <f>A66&amp;COUNTIF($A$2:$A66,A66)</f>
        <v>0</v>
      </c>
      <c r="E66" s="7"/>
    </row>
    <row r="67" spans="2:5" x14ac:dyDescent="0.2">
      <c r="B67" s="8" t="str">
        <f>A67&amp;COUNTIF($A$2:$A67,A67)</f>
        <v>0</v>
      </c>
    </row>
    <row r="68" spans="2:5" x14ac:dyDescent="0.2">
      <c r="B68" s="8" t="str">
        <f>A68&amp;COUNTIF($A$2:$A68,A68)</f>
        <v>0</v>
      </c>
    </row>
    <row r="69" spans="2:5" x14ac:dyDescent="0.2">
      <c r="B69" s="8" t="str">
        <f>A69&amp;COUNTIF($A$2:$A69,A69)</f>
        <v>0</v>
      </c>
    </row>
    <row r="70" spans="2:5" x14ac:dyDescent="0.2">
      <c r="B70" s="8" t="str">
        <f>A70&amp;COUNTIF($A$2:$A70,A70)</f>
        <v>0</v>
      </c>
    </row>
    <row r="71" spans="2:5" x14ac:dyDescent="0.2">
      <c r="B71" s="8" t="str">
        <f>A71&amp;COUNTIF($A$2:$A71,A71)</f>
        <v>0</v>
      </c>
    </row>
    <row r="72" spans="2:5" x14ac:dyDescent="0.2">
      <c r="B72" s="8" t="str">
        <f>A72&amp;COUNTIF($A$2:$A72,A72)</f>
        <v>0</v>
      </c>
    </row>
    <row r="73" spans="2:5" x14ac:dyDescent="0.2">
      <c r="B73" s="8" t="str">
        <f>A73&amp;COUNTIF($A$2:$A73,A73)</f>
        <v>0</v>
      </c>
    </row>
    <row r="74" spans="2:5" x14ac:dyDescent="0.2">
      <c r="B74" s="8" t="str">
        <f>A74&amp;COUNTIF($A$2:$A74,A74)</f>
        <v>0</v>
      </c>
    </row>
    <row r="75" spans="2:5" x14ac:dyDescent="0.2">
      <c r="B75" s="8" t="str">
        <f>A75&amp;COUNTIF($A$2:$A75,A75)</f>
        <v>0</v>
      </c>
    </row>
    <row r="76" spans="2:5" x14ac:dyDescent="0.2">
      <c r="B76" s="8" t="str">
        <f>A76&amp;COUNTIF($A$2:$A76,A76)</f>
        <v>0</v>
      </c>
    </row>
    <row r="77" spans="2:5" x14ac:dyDescent="0.2">
      <c r="B77" s="8" t="str">
        <f>A77&amp;COUNTIF($A$2:$A77,A77)</f>
        <v>0</v>
      </c>
    </row>
    <row r="78" spans="2:5" x14ac:dyDescent="0.2">
      <c r="B78" s="8" t="str">
        <f>A78&amp;COUNTIF($A$2:$A78,A78)</f>
        <v>0</v>
      </c>
    </row>
    <row r="79" spans="2:5" x14ac:dyDescent="0.2">
      <c r="B79" s="8" t="str">
        <f>A79&amp;COUNTIF($A$2:$A79,A79)</f>
        <v>0</v>
      </c>
    </row>
    <row r="80" spans="2:5" x14ac:dyDescent="0.2">
      <c r="B80" s="8" t="str">
        <f>A80&amp;COUNTIF($A$2:$A80,A80)</f>
        <v>0</v>
      </c>
    </row>
    <row r="81" spans="2:2" x14ac:dyDescent="0.2">
      <c r="B81" s="8" t="str">
        <f>A81&amp;COUNTIF($A$2:$A81,A81)</f>
        <v>0</v>
      </c>
    </row>
    <row r="82" spans="2:2" x14ac:dyDescent="0.2">
      <c r="B82" s="8" t="str">
        <f>A82&amp;COUNTIF($A$2:$A82,A82)</f>
        <v>0</v>
      </c>
    </row>
    <row r="83" spans="2:2" x14ac:dyDescent="0.2">
      <c r="B83" s="8" t="str">
        <f>A83&amp;COUNTIF($A$2:$A83,A83)</f>
        <v>0</v>
      </c>
    </row>
    <row r="84" spans="2:2" x14ac:dyDescent="0.2">
      <c r="B84" s="8" t="str">
        <f>A84&amp;COUNTIF($A$2:$A84,A84)</f>
        <v>0</v>
      </c>
    </row>
    <row r="85" spans="2:2" x14ac:dyDescent="0.2">
      <c r="B85" s="8" t="str">
        <f>A85&amp;COUNTIF($A$2:$A85,A85)</f>
        <v>0</v>
      </c>
    </row>
    <row r="86" spans="2:2" x14ac:dyDescent="0.2">
      <c r="B86" s="8" t="str">
        <f>A86&amp;COUNTIF($A$2:$A86,A86)</f>
        <v>0</v>
      </c>
    </row>
    <row r="87" spans="2:2" x14ac:dyDescent="0.2">
      <c r="B87" s="8" t="str">
        <f>A87&amp;COUNTIF($A$2:$A87,A87)</f>
        <v>0</v>
      </c>
    </row>
    <row r="88" spans="2:2" x14ac:dyDescent="0.2">
      <c r="B88" s="8" t="str">
        <f>A88&amp;COUNTIF($A$2:$A88,A88)</f>
        <v>0</v>
      </c>
    </row>
    <row r="89" spans="2:2" x14ac:dyDescent="0.2">
      <c r="B89" s="8" t="str">
        <f>A89&amp;COUNTIF($A$2:$A89,A89)</f>
        <v>0</v>
      </c>
    </row>
    <row r="90" spans="2:2" x14ac:dyDescent="0.2">
      <c r="B90" s="8" t="str">
        <f>A90&amp;COUNTIF($A$2:$A90,A90)</f>
        <v>0</v>
      </c>
    </row>
    <row r="91" spans="2:2" x14ac:dyDescent="0.2">
      <c r="B91" s="8" t="str">
        <f>A91&amp;COUNTIF($A$2:$A91,A91)</f>
        <v>0</v>
      </c>
    </row>
    <row r="92" spans="2:2" x14ac:dyDescent="0.2">
      <c r="B92" s="8" t="str">
        <f>A92&amp;COUNTIF($A$2:$A92,A92)</f>
        <v>0</v>
      </c>
    </row>
    <row r="93" spans="2:2" x14ac:dyDescent="0.2">
      <c r="B93" s="8" t="str">
        <f>A93&amp;COUNTIF($A$2:$A93,A93)</f>
        <v>0</v>
      </c>
    </row>
    <row r="94" spans="2:2" x14ac:dyDescent="0.2">
      <c r="B94" s="8" t="str">
        <f>A94&amp;COUNTIF($A$2:$A94,A94)</f>
        <v>0</v>
      </c>
    </row>
    <row r="95" spans="2:2" x14ac:dyDescent="0.2">
      <c r="B95" s="8" t="str">
        <f>A95&amp;COUNTIF($A$2:$A95,A95)</f>
        <v>0</v>
      </c>
    </row>
    <row r="96" spans="2:2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2021-09-03T01:45:26Z</dcterms:modified>
</cp:coreProperties>
</file>