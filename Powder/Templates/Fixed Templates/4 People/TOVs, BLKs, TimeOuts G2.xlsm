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37AB8B40-60C9-0D42-AF6D-0683EB7B0AE1}" xr6:coauthVersionLast="47" xr6:coauthVersionMax="47" xr10:uidLastSave="{00000000-0000-0000-0000-000000000000}"/>
  <bookViews>
    <workbookView xWindow="1660" yWindow="980" windowWidth="25900" windowHeight="14860" activeTab="2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A30" i="1" s="1"/>
  <c r="G2" i="3" a="1"/>
  <c r="G2" i="3" s="1"/>
  <c r="B2" i="3"/>
  <c r="C30" i="1" s="1"/>
  <c r="K37" i="2"/>
  <c r="K18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A29" i="1" l="1"/>
  <c r="B30" i="1"/>
  <c r="B29" i="1"/>
  <c r="B12" i="1"/>
  <c r="A12" i="1"/>
  <c r="C29" i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<sst xmlns="http://schemas.openxmlformats.org/spreadsheetml/2006/main" count="347" uniqueCount="216">
  <si>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</si>
  <si>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</si>
  <si>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</si>
  <si>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</si>
  <si>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</si>
  <si>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</si>
  <si>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</si>
  <si>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</si>
  <si>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</si>
  <si>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</si>
  <si>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</si>
  <si>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</si>
  <si>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</si>
  <si>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</si>
  <si>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</si>
  <si>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</si>
  <si>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</si>
  <si>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</si>
  <si>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</si>
  <si>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</si>
  <si>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</si>
  <si>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</si>
  <si>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</si>
  <si>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</si>
  <si>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</si>
  <si>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</si>
  <si>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</si>
  <si>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</si>
  <si>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</si>
  <si>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</si>
  <si>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</si>
  <si>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</si>
  <si>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</si>
  <si>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</si>
  <si>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</si>
  <si>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</si>
  <si>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</si>
  <si>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</si>
  <si>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</si>
  <si>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</si>
  <si>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</si>
  <si>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</si>
  <si>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</si>
  <si>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</si>
  <si>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</si>
  <si>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</si>
  <si>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</si>
  <si>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</si>
  <si>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</si>
  <si>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</si>
  <si>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</si>
  <si>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</si>
  <si>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</si>
  <si>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</si>
  <si>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</si>
  <si>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</si>
  <si>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</si>
  <si>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</si>
  <si>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</si>
  <si>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</si>
  <si>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</si>
  <si>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</si>
  <si>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</si>
  <si>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</si>
  <si>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</si>
  <si>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</si>
  <si>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</si>
  <si>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</si>
  <si>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</si>
  <si>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</si>
  <si>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</si>
  <si>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</si>
  <si>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</si>
  <si>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</si>
  <si>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</si>
  <si>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</si>
  <si>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</si>
  <si>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</si>
  <si>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</si>
  <si>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</si>
  <si>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</si>
  <si>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</si>
  <si>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</si>
  <si>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</si>
  <si>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</si>
  <si>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</si>
  <si>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</si>
  <si>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</si>
  <si>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</si>
  <si>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</si>
  <si>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</si>
  <si>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</si>
  <si>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</si>
  <si>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</si>
  <si>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</si>
  <si>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</si>
  <si>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</si>
  <si>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</si>
  <si>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</si>
  <si>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</si>
  <si>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</si>
  <si>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</si>
  <si>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</si>
  <si>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</si>
  <si>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</si>
  <si>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</si>
  <si>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</si>
  <si>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</si>
  <si>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</si>
  <si>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</si>
  <si>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</si>
  <si>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</si>
  <si>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</si>
  <si>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</si>
  <si>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</si>
  <si>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</si>
  <si>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</si>
  <si>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</si>
  <si>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</si>
  <si>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</si>
  <si>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</si>
  <si>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</si>
  <si>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</si>
  <si>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</si>
  <si>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</si>
  <si>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</si>
  <si>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</si>
  <si>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</si>
  <si>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</si>
  <si>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</si>
  <si>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</si>
  <si>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</si>
  <si>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</si>
  <si>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</si>
  <si>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</si>
  <si>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</si>
  <si>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</si>
  <si>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</si>
  <si>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</si>
  <si>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</si>
  <si>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</si>
  <si>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</si>
  <si>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</si>
  <si>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</si>
  <si>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</si>
  <si>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</si>
  <si>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</si>
  <si>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</si>
  <si>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</si>
  <si>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</si>
  <si>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</si>
  <si>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</si>
  <si>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</si>
  <si>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</si>
  <si>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</si>
  <si>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</si>
  <si>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</si>
  <si>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</si>
  <si>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</si>
  <si>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</si>
  <si>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</si>
  <si>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</si>
  <si>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</si>
  <si>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</si>
  <si>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</si>
  <si>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</si>
  <si>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</si>
  <si>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</si>
  <si>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</si>
  <si>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</si>
  <si>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</si>
  <si>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</si>
  <si>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</si>
  <si>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</si>
  <si>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</si>
  <si>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</si>
  <si>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</si>
  <si>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</si>
  <si>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</si>
  <si>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</si>
  <si>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</si>
  <si>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</si>
  <si>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</si>
  <si>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</si>
  <si>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</si>
  <si>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TOV</t>
  </si>
  <si>
    <t>BLK</t>
  </si>
  <si>
    <t>TimeOuts</t>
  </si>
  <si>
    <t>1st half:</t>
  </si>
  <si>
    <t>2nd half:</t>
  </si>
  <si>
    <t>GAME 2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</si>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</sst>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190</v>
      </c>
      <c r="F1" t="s">
        <v>3</v>
      </c>
      <c r="G1" t="str">
        <f>'Stats G2'!B1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185</v>
      </c>
      <c r="J2" t="s">
        <v>186</v>
      </c>
      <c r="K2" t="s">
        <v>187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</row>
    <row r="4" spans="2:11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</row>
    <row r="5" spans="2:11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</row>
    <row r="6" spans="2:11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</row>
    <row r="7" spans="2:11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</row>
    <row r="8" spans="2:11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</row>
    <row r="9" spans="2:11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</row>
    <row r="10" spans="2:11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</row>
    <row r="11" spans="2:11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</row>
    <row r="12" spans="2:11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</row>
    <row r="13" spans="2:11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</row>
    <row r="14" spans="2:11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</row>
    <row r="15" spans="2:11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</row>
    <row r="16" spans="2:11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</row>
    <row r="17" spans="6:11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</row>
    <row r="18" spans="6:11" x14ac:dyDescent="0.2">
      <c r="H18" s="2" t="s">
        <v>5</v>
      </c>
      <c r="I18">
        <f t="shared" ref="I18:J18" si="0">SUM(I3:I17)</f>
        <v>0</v>
      </c>
      <c r="J18">
        <f t="shared" si="0"/>
        <v>0</v>
      </c>
      <c r="K18">
        <f>'Stats G2'!Z3+'Stats G2'!Y4+'Stats G2'!Z5+'Stats G2'!Y6</f>
        <v>0</v>
      </c>
    </row>
    <row r="20" spans="6:11" x14ac:dyDescent="0.2">
      <c r="F20" t="s">
        <v>4</v>
      </c>
      <c r="G20" t="str">
        <f>'Stats G2'!B19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185</v>
      </c>
      <c r="J21" t="s">
        <v>186</v>
      </c>
      <c r="K21" t="s">
        <v>187</v>
      </c>
    </row>
    <row r="22" spans="6:11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</row>
    <row r="23" spans="6:11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</row>
    <row r="24" spans="6:11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</row>
    <row r="25" spans="6:11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</row>
    <row r="26" spans="6:11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</row>
    <row r="27" spans="6:11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</row>
    <row r="28" spans="6:11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</row>
    <row r="29" spans="6:11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</row>
    <row r="30" spans="6:11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</row>
    <row r="31" spans="6:11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</row>
    <row r="32" spans="6:11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</row>
    <row r="33" spans="6:11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</row>
    <row r="34" spans="6:11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</row>
    <row r="35" spans="6:11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</row>
    <row r="36" spans="6:11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</row>
    <row r="37" spans="6:11" x14ac:dyDescent="0.2">
      <c r="H37" s="2" t="s">
        <v>5</v>
      </c>
      <c r="I37">
        <f t="shared" ref="I37:J37" si="1">SUM(I22:I36)</f>
        <v>0</v>
      </c>
      <c r="J37">
        <f t="shared" si="1"/>
        <v>0</v>
      </c>
      <c r="K37">
        <f>'Stats G2'!Z21+'Stats G2'!Y22+'Stats G2'!Z23+'Stats G2'!Y24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B24" sqref="B2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7</v>
      </c>
      <c r="B1" s="1" t="s">
        <v>12</v>
      </c>
    </row>
    <row r="2" spans="1:25" x14ac:dyDescent="0.2">
      <c r="A2" t="s">
        <v>1</v>
      </c>
      <c r="B2" t="s">
        <v>2</v>
      </c>
      <c r="C2" t="s">
        <v>0</v>
      </c>
      <c r="E2" t="s">
        <v>185</v>
      </c>
      <c r="H2" t="s">
        <v>186</v>
      </c>
      <c r="Y2" t="s">
        <v>187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188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189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8</v>
      </c>
      <c r="B19" s="1" t="s">
        <v>12</v>
      </c>
    </row>
    <row r="20" spans="1:25" x14ac:dyDescent="0.2">
      <c r="A20" t="s">
        <v>1</v>
      </c>
      <c r="B20" t="s">
        <v>2</v>
      </c>
      <c r="C20" t="s">
        <v>0</v>
      </c>
      <c r="E20" t="s">
        <v>185</v>
      </c>
      <c r="H20" t="s">
        <v>186</v>
      </c>
      <c r="Y20" t="s">
        <v>187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188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189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abSelected="1" workbookViewId="0">
      <selection activeCell="C6" sqref="C6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191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192</v>
      </c>
      <c r="B89" s="8" t="str">
        <f>A89&amp;COUNTIF($A$2:$A89,A89)</f>
        <v>Team Humpherys1</v>
      </c>
      <c r="C89" t="s">
        <v>193</v>
      </c>
      <c r="D89" t="s">
        <v>194</v>
      </c>
      <c r="E89">
        <v>23</v>
      </c>
    </row>
    <row r="90" spans="1:5" x14ac:dyDescent="0.2">
      <c r="A90" t="s">
        <v>192</v>
      </c>
      <c r="B90" s="8" t="str">
        <f>A90&amp;COUNTIF($A$2:$A90,A90)</f>
        <v>Team Humpherys2</v>
      </c>
      <c r="C90" t="s">
        <v>195</v>
      </c>
      <c r="D90" t="s">
        <v>196</v>
      </c>
      <c r="E90">
        <v>20</v>
      </c>
    </row>
    <row r="91" spans="1:5" x14ac:dyDescent="0.2">
      <c r="A91" t="s">
        <v>192</v>
      </c>
      <c r="B91" s="8" t="str">
        <f>A91&amp;COUNTIF($A$2:$A91,A91)</f>
        <v>Team Humpherys3</v>
      </c>
      <c r="C91" t="s">
        <v>197</v>
      </c>
      <c r="D91" t="s">
        <v>119</v>
      </c>
      <c r="E91">
        <v>13</v>
      </c>
    </row>
    <row r="92" spans="1:5" x14ac:dyDescent="0.2">
      <c r="A92" t="s">
        <v>192</v>
      </c>
      <c r="B92" s="8" t="str">
        <f>A92&amp;COUNTIF($A$2:$A92,A92)</f>
        <v>Team Humpherys4</v>
      </c>
      <c r="C92" t="s">
        <v>111</v>
      </c>
      <c r="D92" t="s">
        <v>198</v>
      </c>
      <c r="E92">
        <v>11</v>
      </c>
    </row>
    <row r="93" spans="1:5" x14ac:dyDescent="0.2">
      <c r="A93" t="s">
        <v>192</v>
      </c>
      <c r="B93" s="8" t="str">
        <f>A93&amp;COUNTIF($A$2:$A93,A93)</f>
        <v>Team Humpherys5</v>
      </c>
      <c r="C93" t="s">
        <v>199</v>
      </c>
      <c r="D93" t="s">
        <v>200</v>
      </c>
      <c r="E93">
        <v>3</v>
      </c>
    </row>
    <row r="94" spans="1:5" x14ac:dyDescent="0.2">
      <c r="A94" t="s">
        <v>192</v>
      </c>
      <c r="B94" s="8" t="str">
        <f>A94&amp;COUNTIF($A$2:$A94,A94)</f>
        <v>Team Humpherys6</v>
      </c>
      <c r="C94" t="s">
        <v>201</v>
      </c>
      <c r="D94" t="s">
        <v>202</v>
      </c>
      <c r="E94">
        <v>55</v>
      </c>
    </row>
    <row r="95" spans="1:5" x14ac:dyDescent="0.2">
      <c r="A95" t="s">
        <v>192</v>
      </c>
      <c r="B95" s="8" t="str">
        <f>A95&amp;COUNTIF($A$2:$A95,A95)</f>
        <v>Team Humpherys7</v>
      </c>
      <c r="C95" t="s">
        <v>203</v>
      </c>
      <c r="D95" t="s">
        <v>169</v>
      </c>
      <c r="E95">
        <v>99</v>
      </c>
    </row>
    <row r="96" spans="1:5" x14ac:dyDescent="0.2">
      <c r="A96" t="s">
        <v>192</v>
      </c>
      <c r="B96" s="8" t="str">
        <f>A96&amp;COUNTIF($A$2:$A96,A96)</f>
        <v>Team Humpherys8</v>
      </c>
      <c r="C96" t="s">
        <v>204</v>
      </c>
      <c r="D96" t="s">
        <v>205</v>
      </c>
      <c r="E96">
        <v>22</v>
      </c>
    </row>
    <row r="97" spans="1:5" x14ac:dyDescent="0.2">
      <c r="A97" t="s">
        <v>192</v>
      </c>
      <c r="B97" s="8" t="str">
        <f>A97&amp;COUNTIF($A$2:$A97,A97)</f>
        <v>Team Humpherys9</v>
      </c>
      <c r="C97" t="s">
        <v>206</v>
      </c>
      <c r="D97" t="s">
        <v>207</v>
      </c>
      <c r="E97">
        <v>32</v>
      </c>
    </row>
    <row r="98" spans="1:5" x14ac:dyDescent="0.2">
      <c r="A98" t="s">
        <v>192</v>
      </c>
      <c r="B98" s="8" t="str">
        <f>A98&amp;COUNTIF($A$2:$A98,A98)</f>
        <v>Team Humpherys10</v>
      </c>
      <c r="C98" t="s">
        <v>208</v>
      </c>
      <c r="D98" t="s">
        <v>209</v>
      </c>
      <c r="E98">
        <v>31</v>
      </c>
    </row>
    <row r="99" spans="1:5" x14ac:dyDescent="0.2">
      <c r="A99" t="s">
        <v>192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192</v>
      </c>
      <c r="B100" s="8" t="str">
        <f>A100&amp;COUNTIF($A$2:$A100,A100)</f>
        <v>Team Humpherys12</v>
      </c>
      <c r="C100" t="s">
        <v>210</v>
      </c>
      <c r="D100" t="s">
        <v>211</v>
      </c>
      <c r="E100">
        <v>9</v>
      </c>
    </row>
    <row r="101" spans="1:5" x14ac:dyDescent="0.2">
      <c r="A101" t="s">
        <v>192</v>
      </c>
      <c r="B101" s="8" t="str">
        <f>A101&amp;COUNTIF($A$2:$A101,A101)</f>
        <v>Team Humpherys13</v>
      </c>
      <c r="C101" t="s">
        <v>212</v>
      </c>
      <c r="D101" t="s">
        <v>213</v>
      </c>
      <c r="E101">
        <v>4</v>
      </c>
    </row>
    <row r="102" spans="1:5" x14ac:dyDescent="0.2">
      <c r="A102" t="s">
        <v>192</v>
      </c>
      <c r="B102" s="8" t="str">
        <f>A102&amp;COUNTIF($A$2:$A102,A102)</f>
        <v>Team Humpherys14</v>
      </c>
      <c r="C102" t="s">
        <v>214</v>
      </c>
      <c r="D102" t="s">
        <v>215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2022-06-29T21:19:37Z</dcterms:modified>
</cp:coreProperties>
</file>