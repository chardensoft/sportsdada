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1318E44D-0071-164C-B790-C77ECBEDBF13}" xr6:coauthVersionLast="47" xr6:coauthVersionMax="47" xr10:uidLastSave="{00000000-0000-0000-0000-000000000000}"/>
  <bookViews>
    <workbookView xWindow="0" yWindow="500" windowWidth="28800" windowHeight="159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I37" i="2" l="1"/>
  <c r="B4" i="1"/>
  <c r="G4" i="2" s="1"/>
  <c r="I18" i="2"/>
  <c r="B3" i="2" s="1"/>
  <c r="J18" i="2"/>
  <c r="H31" i="2"/>
  <c r="C27" i="1"/>
  <c r="H28" i="2" s="1"/>
  <c r="B31" i="1"/>
  <c r="G32" i="2" s="1"/>
  <c r="C23" i="1"/>
  <c r="H24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H30" i="2"/>
  <c r="A27" i="1"/>
  <c r="F28" i="2" s="1"/>
  <c r="B24" i="1"/>
  <c r="G25" i="2" s="1"/>
  <c r="G12" i="2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G31" i="2"/>
  <c r="A25" i="1"/>
  <c r="F26" i="2" s="1"/>
  <c r="A9" i="1"/>
  <c r="F9" i="2" s="1"/>
  <c r="C15" i="1"/>
  <c r="H15" i="2" s="1"/>
  <c r="F31" i="2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G30" i="2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H12" i="2"/>
  <c r="C4" i="1"/>
  <c r="H4" i="2" s="1"/>
  <c r="C21" i="1"/>
  <c r="H22" i="2" s="1"/>
  <c r="B34" i="1"/>
  <c r="G35" i="2" s="1"/>
  <c r="C31" i="1"/>
  <c r="H32" i="2" s="1"/>
  <c r="F30" i="2"/>
  <c r="B26" i="1"/>
  <c r="G27" i="2" s="1"/>
  <c r="K37" i="2"/>
  <c r="J37" i="2"/>
  <c r="K18" i="2"/>
  <c r="D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<sst xmlns="http://schemas.openxmlformats.org/spreadsheetml/2006/main" count="305" uniqueCount="195">
  <si>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</si>
  <si>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</si>
  <si>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</si>
  <si>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</si>
  <si>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</si>
  <si>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</si>
  <si>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</si>
  <si>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</si>
  <si>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</si>
  <si>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</si>
  <si>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</si>
  <si>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</si>
  <si>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</si>
  <si>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</si>
  <si>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</si>
  <si>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</si>
  <si>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</si>
  <si>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</si>
  <si>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</si>
  <si>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</si>
  <si>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</si>
  <si>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</si>
  <si>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</si>
  <si>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</si>
  <si>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</si>
  <si>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</si>
  <si>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</si>
  <si>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</si>
  <si>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</si>
  <si>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</si>
  <si>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</si>
  <si>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</si>
  <si>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</si>
  <si>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</si>
  <si>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</si>
  <si>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</si>
  <si>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</si>
  <si>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</si>
  <si>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</si>
  <si>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</si>
  <si>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</si>
  <si>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</si>
  <si>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</si>
  <si>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</si>
  <si>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</si>
  <si>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</si>
  <si>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</si>
  <si>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</si>
  <si>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</si>
  <si>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</si>
  <si>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</si>
  <si>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</si>
  <si>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</si>
  <si>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</si>
  <si>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</si>
  <si>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</si>
  <si>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</si>
  <si>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</si>
  <si>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</si>
  <si>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</si>
  <si>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</si>
  <si>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</si>
  <si>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</si>
  <si>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</si>
  <si>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</si>
  <si>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</si>
  <si>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</si>
  <si>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</si>
  <si>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</si>
  <si>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</si>
  <si>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</si>
  <si>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</si>
  <si>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</si>
  <si>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</si>
  <si>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</si>
  <si>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</si>
  <si>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</si>
  <si>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</si>
  <si>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</si>
  <si>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</si>
  <si>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</si>
  <si>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</si>
  <si>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</si>
  <si>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</si>
  <si>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</si>
  <si>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</si>
  <si>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</si>
  <si>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</si>
  <si>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</si>
  <si>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</si>
  <si>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</si>
  <si>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</si>
  <si>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</si>
  <si>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</si>
  <si>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</si>
  <si>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</si>
  <si>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</si>
  <si>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</si>
  <si>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</si>
  <si>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</si>
  <si>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</si>
  <si>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</si>
  <si>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</si>
  <si>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</si>
  <si>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</si>
  <si>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</si>
  <si>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</si>
  <si>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</si>
  <si>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</si>
  <si>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</si>
  <si>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</si>
  <si>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</si>
  <si>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</si>
  <si>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</si>
  <si>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</si>
  <si>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</si>
  <si>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</si>
  <si>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</si>
  <si>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</si>
  <si>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</si>
  <si>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</si>
  <si>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</si>
  <si>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</si>
  <si>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</si>
  <si>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</si>
  <si>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</si>
  <si>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</si>
  <si>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</si>
  <si>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</si>
  <si>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</si>
  <si>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</si>
  <si>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</si>
  <si>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</si>
  <si>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</si>
  <si>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</si>
  <si>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</si>
  <si>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</si>
  <si>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</si>
  <si>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</si>
  <si>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</si>
  <si>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</si>
  <si>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</si>
  <si>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</si>
  <si>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</si>
  <si>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</si>
  <si>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</si>
  <si>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</si>
  <si>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</si>
  <si>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</si>
  <si>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</si>
  <si>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</si>
  <si>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</si>
  <si>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</si>
  <si>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</si>
  <si>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</si>
  <si>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</si>
  <si>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</si>
  <si>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</si>
  <si>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</si>
  <si>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</si>
  <si>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</si>
  <si>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</si>
  <si>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</si>
  <si>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</si>
  <si>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</si>
  <si>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</si>
  <si>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</si>
  <si>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</si>
  <si>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</si>
  <si>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</si>
  <si>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</si>
  <si>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</si>
  <si>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</si>
  <si>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</si>
  <si>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</si>
  <si>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</si>
  <si>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</si>
  <si>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</si>
  <si>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</si>
  <si>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</si>
  <si>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</si>
  <si>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</si>
  <si>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</si>
  <si>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</si>
  <si>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</si>
  <si>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</si>
  <si>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</si>
  <si>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</si>
  <si>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</si>
  <si>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</si>
  <si>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</si>
  <si>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Noma’aea</t>
  </si>
  <si>
    <t>Lewis</t>
  </si>
  <si>
    <t>Johnson</t>
  </si>
  <si>
    <t>Stewart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</si>
</sst>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D7" sqref="D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Berger</v>
      </c>
    </row>
    <row r="2" spans="2:11" x14ac:dyDescent="0.2">
      <c r="B2" t="str">
        <f>G1</f>
        <v>Team Berger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59</v>
      </c>
    </row>
    <row r="3" spans="2:11" x14ac:dyDescent="0.2">
      <c r="B3">
        <f>I18</f>
        <v>0</v>
      </c>
      <c r="C3" s="3" t="s">
        <v>6</v>
      </c>
      <c r="D3" s="4">
        <f>I37</f>
        <v>1</v>
      </c>
      <c r="F3" t="str">
        <f>'Stats G1'!A3</f>
        <v>Sean</v>
      </c>
      <c r="G3" t="str">
        <f>'Stats G1'!B3</f>
        <v>Harris</v>
      </c>
      <c r="H3">
        <f>'Stats G1'!C3</f>
        <v>60</v>
      </c>
      <c r="I3">
        <f>'Stats G1'!E3</f>
        <v>0</v>
      </c>
      <c r="J3">
        <f>'Stats G1'!H3</f>
        <v>0</v>
      </c>
      <c r="K3">
        <f>'Stats G1'!K3</f>
        <v>0</v>
      </c>
    </row>
    <row r="4" spans="2:11" x14ac:dyDescent="0.2">
      <c r="F4" t="str">
        <f>'Stats G1'!A4</f>
        <v>Parker</v>
      </c>
      <c r="G4" t="str">
        <f>'Stats G1'!B4</f>
        <v>Van Dyke</v>
      </c>
      <c r="H4">
        <f>'Stats G1'!C4</f>
        <v>7</v>
      </c>
      <c r="I4">
        <f>'Stats G1'!E4</f>
        <v>0</v>
      </c>
      <c r="J4">
        <f>'Stats G1'!H4</f>
        <v>0</v>
      </c>
      <c r="K4">
        <f>'Stats G1'!K4</f>
        <v>0</v>
      </c>
    </row>
    <row r="5" spans="2:11" x14ac:dyDescent="0.2">
      <c r="F5" t="str">
        <f>'Stats G1'!A5</f>
        <v>Danny</v>
      </c>
      <c r="G5" t="str">
        <f>'Stats G1'!B5</f>
        <v>Berger</v>
      </c>
      <c r="H5">
        <f>'Stats G1'!C5</f>
        <v>12</v>
      </c>
      <c r="I5">
        <f>'Stats G1'!E5</f>
        <v>0</v>
      </c>
      <c r="J5">
        <f>'Stats G1'!H5</f>
        <v>1</v>
      </c>
      <c r="K5">
        <f>'Stats G1'!K5</f>
        <v>0</v>
      </c>
    </row>
    <row r="6" spans="2:11" x14ac:dyDescent="0.2">
      <c r="F6" t="str">
        <f>'Stats G1'!A6</f>
        <v>Zac</v>
      </c>
      <c r="G6" t="str">
        <f>'Stats G1'!B6</f>
        <v>Seljaas</v>
      </c>
      <c r="H6">
        <f>'Stats G1'!C6</f>
        <v>99</v>
      </c>
      <c r="I6">
        <f>'Stats G1'!E6</f>
        <v>0</v>
      </c>
      <c r="J6">
        <f>'Stats G1'!H6</f>
        <v>0</v>
      </c>
      <c r="K6">
        <f>'Stats G1'!K6</f>
        <v>0</v>
      </c>
    </row>
    <row r="7" spans="2:11" x14ac:dyDescent="0.2">
      <c r="F7" t="str">
        <f>'Stats G1'!A7</f>
        <v>Peter</v>
      </c>
      <c r="G7" t="str">
        <f>'Stats G1'!B7</f>
        <v>Brown</v>
      </c>
      <c r="H7">
        <f>'Stats G1'!C7</f>
        <v>33</v>
      </c>
      <c r="I7">
        <f>'Stats G1'!E7</f>
        <v>0</v>
      </c>
      <c r="J7">
        <f>'Stats G1'!H7</f>
        <v>0</v>
      </c>
      <c r="K7">
        <f>'Stats G1'!K7</f>
        <v>0</v>
      </c>
    </row>
    <row r="8" spans="2:11" x14ac:dyDescent="0.2">
      <c r="F8" t="str">
        <f>'Stats G1'!A8</f>
        <v>Zavon</v>
      </c>
      <c r="G8" t="str">
        <f>'Stats G1'!B8</f>
        <v>Jackson</v>
      </c>
      <c r="H8">
        <f>'Stats G1'!C8</f>
        <v>24</v>
      </c>
      <c r="I8">
        <f>'Stats G1'!E8</f>
        <v>0</v>
      </c>
      <c r="J8">
        <f>'Stats G1'!H8</f>
        <v>0</v>
      </c>
      <c r="K8">
        <f>'Stats G1'!K8</f>
        <v>0</v>
      </c>
    </row>
    <row r="9" spans="2:11" x14ac:dyDescent="0.2">
      <c r="F9" t="str">
        <f>'Stats G1'!A9</f>
        <v>Spencer</v>
      </c>
      <c r="G9" t="str">
        <f>'Stats G1'!B9</f>
        <v>Butterfield</v>
      </c>
      <c r="H9">
        <f>'Stats G1'!C9</f>
        <v>21</v>
      </c>
      <c r="I9">
        <f>'Stats G1'!E9</f>
        <v>0</v>
      </c>
      <c r="J9">
        <f>'Stats G1'!H9</f>
        <v>0</v>
      </c>
      <c r="K9">
        <f>'Stats G1'!K9</f>
        <v>0</v>
      </c>
    </row>
    <row r="10" spans="2:11" x14ac:dyDescent="0.2">
      <c r="F10" t="str">
        <f>'Stats G1'!A10</f>
        <v>Rylan</v>
      </c>
      <c r="G10" t="str">
        <f>'Stats G1'!B10</f>
        <v>Jones</v>
      </c>
      <c r="H10">
        <f>'Stats G1'!C10</f>
        <v>15</v>
      </c>
      <c r="I10">
        <f>'Stats G1'!E10</f>
        <v>0</v>
      </c>
      <c r="J10">
        <f>'Stats G1'!H10</f>
        <v>0</v>
      </c>
      <c r="K10">
        <f>'Stats G1'!K10</f>
        <v>0</v>
      </c>
    </row>
    <row r="11" spans="2:11" x14ac:dyDescent="0.2">
      <c r="F11" t="str">
        <f>'Stats G1'!A11</f>
        <v>Brandon</v>
      </c>
      <c r="G11" t="str">
        <f>'Stats G1'!B11</f>
        <v>Sly</v>
      </c>
      <c r="H11">
        <f>'Stats G1'!C11</f>
        <v>2</v>
      </c>
      <c r="I11">
        <f>'Stats G1'!E11</f>
        <v>0</v>
      </c>
      <c r="J11">
        <f>'Stats G1'!H11</f>
        <v>0</v>
      </c>
      <c r="K11">
        <f>'Stats G1'!K11</f>
        <v>0</v>
      </c>
    </row>
    <row r="12" spans="2:11" x14ac:dyDescent="0.2">
      <c r="F12" t="str">
        <f>'Stats G1'!A12</f>
        <v>Viko</v>
      </c>
      <c r="G12" t="str">
        <f>'Stats G1'!B12</f>
        <v>Noma’aea</v>
      </c>
      <c r="H12">
        <f>'Stats G1'!C12</f>
        <v>1</v>
      </c>
      <c r="I12">
        <f>'Stats G1'!E12</f>
        <v>0</v>
      </c>
      <c r="J12">
        <f>'Stats G1'!H12</f>
        <v>0</v>
      </c>
      <c r="K12">
        <f>'Stats G1'!K12</f>
        <v>0</v>
      </c>
    </row>
    <row r="13" spans="2:11" x14ac:dyDescent="0.2">
      <c r="F13" t="str">
        <f>'Stats G1'!A13</f>
        <v>Steven</v>
      </c>
      <c r="G13" t="str">
        <f>'Stats G1'!B13</f>
        <v>Ashworth</v>
      </c>
      <c r="H13">
        <f>'Stats G1'!C13</f>
        <v>0</v>
      </c>
      <c r="I13">
        <f>'Stats G1'!E13</f>
        <v>0</v>
      </c>
      <c r="J13">
        <f>'Stats G1'!H13</f>
        <v>0</v>
      </c>
      <c r="K13">
        <f>'Stats G1'!K13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1</v>
      </c>
      <c r="K18">
        <f>SUM(K3:K17)</f>
        <v>0</v>
      </c>
    </row>
    <row r="20" spans="6:11" x14ac:dyDescent="0.2">
      <c r="F20" t="s">
        <v>4</v>
      </c>
      <c r="G20" t="str">
        <f>'Stats G1'!B19</f>
        <v>Team Erickson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59</v>
      </c>
    </row>
    <row r="22" spans="6:11" x14ac:dyDescent="0.2">
      <c r="F22" t="str">
        <f>'Stats G1'!A21</f>
        <v>Taylor</v>
      </c>
      <c r="G22" t="str">
        <f>'Stats G1'!B21</f>
        <v>Miller</v>
      </c>
      <c r="H22">
        <f>'Stats G1'!C21</f>
        <v>20</v>
      </c>
      <c r="I22">
        <f>'Stats G1'!E21</f>
        <v>0</v>
      </c>
      <c r="J22">
        <f>'Stats G1'!H21</f>
        <v>0</v>
      </c>
      <c r="K22">
        <f>'Stats G1'!K21</f>
        <v>0</v>
      </c>
    </row>
    <row r="23" spans="6:11" x14ac:dyDescent="0.2">
      <c r="F23" t="str">
        <f>'Stats G1'!A22</f>
        <v>Alrek</v>
      </c>
      <c r="G23" t="str">
        <f>'Stats G1'!B22</f>
        <v>Greenhalgh</v>
      </c>
      <c r="H23">
        <f>'Stats G1'!C22</f>
        <v>3</v>
      </c>
      <c r="I23">
        <f>'Stats G1'!E22</f>
        <v>0</v>
      </c>
      <c r="J23">
        <f>'Stats G1'!H22</f>
        <v>0</v>
      </c>
      <c r="K23">
        <f>'Stats G1'!K22</f>
        <v>0</v>
      </c>
    </row>
    <row r="24" spans="6:11" x14ac:dyDescent="0.2">
      <c r="F24" t="str">
        <f>'Stats G1'!A23</f>
        <v>Gideon</v>
      </c>
      <c r="G24" t="str">
        <f>'Stats G1'!B23</f>
        <v>George</v>
      </c>
      <c r="H24">
        <f>'Stats G1'!C23</f>
        <v>5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1" x14ac:dyDescent="0.2">
      <c r="F25" t="str">
        <f>'Stats G1'!A24</f>
        <v>Brock</v>
      </c>
      <c r="G25" t="str">
        <f>'Stats G1'!B24</f>
        <v>Anderson</v>
      </c>
      <c r="H25">
        <f>'Stats G1'!C24</f>
        <v>30</v>
      </c>
      <c r="I25">
        <f>'Stats G1'!E24</f>
        <v>0</v>
      </c>
      <c r="J25">
        <f>'Stats G1'!H24</f>
        <v>0</v>
      </c>
      <c r="K25">
        <f>'Stats G1'!K24</f>
        <v>0</v>
      </c>
    </row>
    <row r="26" spans="6:11" x14ac:dyDescent="0.2">
      <c r="F26" t="str">
        <f>'Stats G1'!A25</f>
        <v>Dalton</v>
      </c>
      <c r="G26" t="str">
        <f>'Stats G1'!B25</f>
        <v>Nixon</v>
      </c>
      <c r="H26">
        <f>'Stats G1'!C25</f>
        <v>4</v>
      </c>
      <c r="I26">
        <f>'Stats G1'!E25</f>
        <v>1</v>
      </c>
      <c r="J26">
        <f>'Stats G1'!H25</f>
        <v>0</v>
      </c>
      <c r="K26">
        <f>'Stats G1'!K25</f>
        <v>0</v>
      </c>
    </row>
    <row r="27" spans="6:11" x14ac:dyDescent="0.2">
      <c r="F27" t="str">
        <f>'Stats G1'!A26</f>
        <v>Taylor</v>
      </c>
      <c r="G27" t="str">
        <f>'Stats G1'!B26</f>
        <v>Funk</v>
      </c>
      <c r="H27">
        <f>'Stats G1'!C26</f>
        <v>13</v>
      </c>
      <c r="I27">
        <f>'Stats G1'!E26</f>
        <v>0</v>
      </c>
      <c r="J27">
        <f>'Stats G1'!H26</f>
        <v>0</v>
      </c>
      <c r="K27">
        <f>'Stats G1'!K26</f>
        <v>0</v>
      </c>
    </row>
    <row r="28" spans="6:11" x14ac:dyDescent="0.2">
      <c r="F28" t="str">
        <f>'Stats G1'!A27</f>
        <v>Hunter</v>
      </c>
      <c r="G28" t="str">
        <f>'Stats G1'!B27</f>
        <v>Erickson</v>
      </c>
      <c r="H28">
        <f>'Stats G1'!C27</f>
        <v>0</v>
      </c>
      <c r="I28">
        <f>'Stats G1'!E27</f>
        <v>0</v>
      </c>
      <c r="J28">
        <f>'Stats G1'!H27</f>
        <v>0</v>
      </c>
      <c r="K28">
        <f>'Stats G1'!K27</f>
        <v>0</v>
      </c>
    </row>
    <row r="29" spans="6:11" x14ac:dyDescent="0.2">
      <c r="F29" t="str">
        <f>'Stats G1'!A28</f>
        <v>Dayon</v>
      </c>
      <c r="G29" t="str">
        <f>'Stats G1'!B28</f>
        <v>Goodman</v>
      </c>
      <c r="H29">
        <f>'Stats G1'!C28</f>
        <v>35</v>
      </c>
      <c r="I29">
        <f>'Stats G1'!E28</f>
        <v>0</v>
      </c>
      <c r="J29">
        <f>'Stats G1'!H28</f>
        <v>0</v>
      </c>
      <c r="K29">
        <f>'Stats G1'!K28</f>
        <v>0</v>
      </c>
    </row>
    <row r="30" spans="6:11" x14ac:dyDescent="0.2">
      <c r="F30" t="str">
        <f>'Stats G1'!A29</f>
        <v>Lewis</v>
      </c>
      <c r="G30" t="str">
        <f>'Stats G1'!B29</f>
        <v>Johnson</v>
      </c>
      <c r="H30">
        <f>'Stats G1'!C29</f>
        <v>10</v>
      </c>
      <c r="I30">
        <f>'Stats G1'!E29</f>
        <v>0</v>
      </c>
      <c r="J30">
        <f>'Stats G1'!H29</f>
        <v>0</v>
      </c>
      <c r="K30">
        <f>'Stats G1'!K29</f>
        <v>0</v>
      </c>
    </row>
    <row r="31" spans="6:11" x14ac:dyDescent="0.2">
      <c r="F31" t="str">
        <f>'Stats G1'!A30</f>
        <v>Trey</v>
      </c>
      <c r="G31" t="str">
        <f>'Stats G1'!B30</f>
        <v>Stewart</v>
      </c>
      <c r="H31">
        <f>'Stats G1'!C30</f>
        <v>1</v>
      </c>
      <c r="I31">
        <f>'Stats G1'!E30</f>
        <v>0</v>
      </c>
      <c r="J31">
        <f>'Stats G1'!H30</f>
        <v>0</v>
      </c>
      <c r="K31">
        <f>'Stats G1'!K30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1" x14ac:dyDescent="0.2">
      <c r="H37" s="2" t="s">
        <v>5</v>
      </c>
      <c r="I37">
        <f>SUM(I22:I36)</f>
        <v>1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topLeftCell="A2" workbookViewId="0">
      <selection activeCell="E27" sqref="E2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8</v>
      </c>
      <c r="B1" s="1" t="s">
        <v>142</v>
      </c>
    </row>
    <row r="2" spans="1:21" x14ac:dyDescent="0.2">
      <c r="A2" t="s">
        <v>1</v>
      </c>
      <c r="B2" t="s">
        <v>2</v>
      </c>
      <c r="C2" t="s">
        <v>0</v>
      </c>
      <c r="E2" t="s">
        <v>57</v>
      </c>
      <c r="H2" t="s">
        <v>189</v>
      </c>
      <c r="K2" t="s">
        <v>190</v>
      </c>
    </row>
    <row r="3" spans="1:21" s="6" customFormat="1" x14ac:dyDescent="0.2">
      <c r="A3" s="5" t="str">
        <f>_xlfn.IFNA(VLOOKUP($B$1&amp;ROWS($A$3:A3),Rosters!$B$2:$C$162,2,0),"?")</f>
        <v>Sean</v>
      </c>
      <c r="B3" s="5" t="str">
        <f>_xlfn.IFNA(VLOOKUP($B$1&amp;ROWS($B$3:B3),Rosters!$B$2:$D$162,3,0),"?")</f>
        <v>Harris</v>
      </c>
      <c r="C3" s="5">
        <f>_xlfn.IFNA(VLOOKUP($B$1&amp;ROWS($C$3:C3),Rosters!$B$2:$E$162,4,0),"")</f>
        <v>60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Parker</v>
      </c>
      <c r="B4" s="6" t="str">
        <f>_xlfn.IFNA(VLOOKUP($B$1&amp;ROWS($B$3:B4),Rosters!$B$2:$D$162,3,0),"?")</f>
        <v>Van Dyke</v>
      </c>
      <c r="C4" s="6">
        <f>_xlfn.IFNA(VLOOKUP($B$1&amp;ROWS($C$3:C4),Rosters!$B$2:$E$162,4,0),"")</f>
        <v>7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tr">
        <f>_xlfn.IFNA(VLOOKUP($B$1&amp;ROWS($A$3:A5),Rosters!$B$2:$C$162,2,0),"?")</f>
        <v>Danny</v>
      </c>
      <c r="B5" s="5" t="str">
        <f>_xlfn.IFNA(VLOOKUP($B$1&amp;ROWS($B$3:B5),Rosters!$B$2:$D$162,3,0),"?")</f>
        <v>Berger</v>
      </c>
      <c r="C5" s="5">
        <f>_xlfn.IFNA(VLOOKUP($B$1&amp;ROWS($C$3:C5),Rosters!$B$2:$E$162,4,0),"")</f>
        <v>12</v>
      </c>
      <c r="D5" s="5"/>
      <c r="E5" s="5">
        <v>0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Zac</v>
      </c>
      <c r="B6" s="6" t="str">
        <f>_xlfn.IFNA(VLOOKUP($B$1&amp;ROWS($B$3:B6),Rosters!$B$2:$D$162,3,0),"?")</f>
        <v>Seljaas</v>
      </c>
      <c r="C6" s="6">
        <f>_xlfn.IFNA(VLOOKUP($B$1&amp;ROWS($C$3:C6),Rosters!$B$2:$E$162,4,0),"")</f>
        <v>99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Peter</v>
      </c>
      <c r="B7" s="5" t="str">
        <f>_xlfn.IFNA(VLOOKUP($B$1&amp;ROWS($B$3:B7),Rosters!$B$2:$D$162,3,0),"?")</f>
        <v>Brown</v>
      </c>
      <c r="C7" s="5">
        <f>_xlfn.IFNA(VLOOKUP($B$1&amp;ROWS($C$3:C7),Rosters!$B$2:$E$162,4,0),"")</f>
        <v>33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Zavon</v>
      </c>
      <c r="B8" s="6" t="str">
        <f>_xlfn.IFNA(VLOOKUP($B$1&amp;ROWS($B$3:B8),Rosters!$B$2:$D$162,3,0),"?")</f>
        <v>Jackson</v>
      </c>
      <c r="C8" s="6">
        <f>_xlfn.IFNA(VLOOKUP($B$1&amp;ROWS($C$3:C8),Rosters!$B$2:$E$162,4,0),"")</f>
        <v>24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Spencer</v>
      </c>
      <c r="B9" s="5" t="str">
        <f>_xlfn.IFNA(VLOOKUP($B$1&amp;ROWS($B$3:B9),Rosters!$B$2:$D$162,3,0),"?")</f>
        <v>Butterfield</v>
      </c>
      <c r="C9" s="5">
        <f>_xlfn.IFNA(VLOOKUP($B$1&amp;ROWS($C$3:C9),Rosters!$B$2:$E$162,4,0),"")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Rylan</v>
      </c>
      <c r="B10" s="6" t="str">
        <f>_xlfn.IFNA(VLOOKUP($B$1&amp;ROWS($B$3:B10),Rosters!$B$2:$D$162,3,0),"?")</f>
        <v>Jones</v>
      </c>
      <c r="C10" s="6">
        <f>_xlfn.IFNA(VLOOKUP($B$1&amp;ROWS($C$3:C10),Rosters!$B$2:$E$162,4,0),"")</f>
        <v>15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Brandon</v>
      </c>
      <c r="B11" s="5" t="str">
        <f>_xlfn.IFNA(VLOOKUP($B$1&amp;ROWS($B$3:B11),Rosters!$B$2:$D$162,3,0),"?")</f>
        <v>Sly</v>
      </c>
      <c r="C11" s="5">
        <f>_xlfn.IFNA(VLOOKUP($B$1&amp;ROWS($C$3:C11),Rosters!$B$2:$E$162,4,0),"")</f>
        <v>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Viko</v>
      </c>
      <c r="B12" s="6" t="s">
        <v>191</v>
      </c>
      <c r="C12" s="6">
        <v>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Steven</v>
      </c>
      <c r="B13" s="5" t="str">
        <f>_xlfn.IFNA(VLOOKUP($B$1&amp;ROWS($B$3:B13),Rosters!$B$2:$D$162,3,0),"?")</f>
        <v>Ashworth</v>
      </c>
      <c r="C13" s="5">
        <f>_xlfn.IFNA(VLOOKUP($B$1&amp;ROWS($C$3:C13),Rosters!$B$2:$E$162,4,0),"")</f>
        <v>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0</v>
      </c>
      <c r="H18">
        <f>SUM(H3:H17)</f>
        <v>1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1" x14ac:dyDescent="0.2">
      <c r="A19" s="2" t="s">
        <v>9</v>
      </c>
      <c r="B19" s="1" t="s">
        <v>103</v>
      </c>
    </row>
    <row r="20" spans="1:21" x14ac:dyDescent="0.2">
      <c r="A20" t="s">
        <v>1</v>
      </c>
      <c r="B20" t="s">
        <v>2</v>
      </c>
      <c r="C20" t="s">
        <v>0</v>
      </c>
      <c r="E20" s="8" t="s">
        <v>57</v>
      </c>
      <c r="F20" s="8"/>
      <c r="G20" s="8"/>
      <c r="H20" s="8" t="s">
        <v>189</v>
      </c>
      <c r="I20" s="8"/>
      <c r="J20" s="8"/>
      <c r="K20" s="8" t="s">
        <v>190</v>
      </c>
    </row>
    <row r="21" spans="1:21" s="6" customFormat="1" x14ac:dyDescent="0.2">
      <c r="A21" s="5" t="str">
        <f>_xlfn.IFNA(VLOOKUP($B$19&amp;ROWS($A$21:A21),Rosters!$B$2:$C$162,2,0),"?")</f>
        <v>Taylor</v>
      </c>
      <c r="B21" s="5" t="str">
        <f>_xlfn.IFNA(VLOOKUP($B$19&amp;ROWS($B$21:B21),Rosters!$B$2:$D$162,3,0),"?")</f>
        <v>Miller</v>
      </c>
      <c r="C21" s="5">
        <f>_xlfn.IFNA(VLOOKUP($B$19&amp;ROWS($C$21:C21),Rosters!$B$2:$E$162,4,0),"")</f>
        <v>20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Alrek</v>
      </c>
      <c r="B22" s="6" t="str">
        <f>_xlfn.IFNA(VLOOKUP($B$19&amp;ROWS($B$21:B22),Rosters!$B$2:$D$162,3,0),"?")</f>
        <v>Greenhalgh</v>
      </c>
      <c r="C22" s="6">
        <f>_xlfn.IFNA(VLOOKUP($B$19&amp;ROWS($C$21:C22),Rosters!$B$2:$E$162,4,0),"")</f>
        <v>3</v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Gideon</v>
      </c>
      <c r="B23" s="5" t="str">
        <f>_xlfn.IFNA(VLOOKUP($B$19&amp;ROWS($B$21:B23),Rosters!$B$2:$D$162,3,0),"?")</f>
        <v>George</v>
      </c>
      <c r="C23" s="5">
        <f>_xlfn.IFNA(VLOOKUP($B$19&amp;ROWS($C$21:C23),Rosters!$B$2:$E$162,4,0),"")</f>
        <v>5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Brock</v>
      </c>
      <c r="B24" s="6" t="str">
        <f>_xlfn.IFNA(VLOOKUP($B$19&amp;ROWS($B$21:B24),Rosters!$B$2:$D$162,3,0),"?")</f>
        <v>Anderson</v>
      </c>
      <c r="C24" s="6">
        <f>_xlfn.IFNA(VLOOKUP($B$19&amp;ROWS($C$21:C24),Rosters!$B$2:$E$162,4,0),"")</f>
        <v>30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Dalton</v>
      </c>
      <c r="B25" s="5" t="str">
        <f>_xlfn.IFNA(VLOOKUP($B$19&amp;ROWS($B$21:B25),Rosters!$B$2:$D$162,3,0),"?")</f>
        <v>Nixon</v>
      </c>
      <c r="C25" s="5">
        <f>_xlfn.IFNA(VLOOKUP($B$19&amp;ROWS($C$21:C25),Rosters!$B$2:$E$162,4,0),"")</f>
        <v>4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Taylor</v>
      </c>
      <c r="B26" s="6" t="str">
        <f>_xlfn.IFNA(VLOOKUP($B$19&amp;ROWS($B$21:B26),Rosters!$B$2:$D$162,3,0),"?")</f>
        <v>Funk</v>
      </c>
      <c r="C26" s="6">
        <f>_xlfn.IFNA(VLOOKUP($B$19&amp;ROWS($C$21:C26),Rosters!$B$2:$E$162,4,0),"")</f>
        <v>13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Hunter</v>
      </c>
      <c r="B27" s="5" t="str">
        <f>_xlfn.IFNA(VLOOKUP($B$19&amp;ROWS($B$21:B27),Rosters!$B$2:$D$162,3,0),"?")</f>
        <v>Erickson</v>
      </c>
      <c r="C27" s="5">
        <f>_xlfn.IFNA(VLOOKUP($B$19&amp;ROWS($C$21:C27),Rosters!$B$2:$E$162,4,0),"")</f>
        <v>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Dayon</v>
      </c>
      <c r="B28" s="6" t="str">
        <f>_xlfn.IFNA(VLOOKUP($B$19&amp;ROWS($B$21:B28),Rosters!$B$2:$D$162,3,0),"?")</f>
        <v>Goodman</v>
      </c>
      <c r="C28" s="6">
        <f>_xlfn.IFNA(VLOOKUP($B$19&amp;ROWS($C$21:C28),Rosters!$B$2:$E$162,4,0),"")</f>
        <v>35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192</v>
      </c>
      <c r="B29" s="5" t="s">
        <v>193</v>
      </c>
      <c r="C29" s="5">
        <v>10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132</v>
      </c>
      <c r="B30" s="6" t="s">
        <v>194</v>
      </c>
      <c r="C30" s="6">
        <v>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1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055F7E-97ED-4D46-AF67-A5DBDBB569BA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activeCell="I9" sqref="I9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14</v>
      </c>
      <c r="B1" s="9" t="s">
        <v>56</v>
      </c>
      <c r="C1" t="s">
        <v>1</v>
      </c>
      <c r="D1" t="s">
        <v>2</v>
      </c>
      <c r="E1" t="s">
        <v>15</v>
      </c>
      <c r="G1" s="9" t="s">
        <v>62</v>
      </c>
    </row>
    <row r="2" spans="1:7" x14ac:dyDescent="0.2">
      <c r="A2" t="s">
        <v>63</v>
      </c>
      <c r="B2" s="9" t="str">
        <f>A2&amp;COUNTIF($A$2:$A2,A2)</f>
        <v>Team Egan1</v>
      </c>
      <c r="C2" t="s">
        <v>64</v>
      </c>
      <c r="D2" t="s">
        <v>65</v>
      </c>
      <c r="E2">
        <v>22</v>
      </c>
      <c r="G2" s="9" t="str" cm="1">
        <f t="array" ref="G2:G10">_xlfn.UNIQUE(A2:A100)</f>
        <v>Team Egan</v>
      </c>
    </row>
    <row r="3" spans="1:7" x14ac:dyDescent="0.2">
      <c r="A3" t="s">
        <v>63</v>
      </c>
      <c r="B3" s="9" t="str">
        <f>A3&amp;COUNTIF($A$2:$A3,A3)</f>
        <v>Team Egan2</v>
      </c>
      <c r="C3" t="s">
        <v>66</v>
      </c>
      <c r="D3" t="s">
        <v>67</v>
      </c>
      <c r="E3">
        <v>13</v>
      </c>
      <c r="G3" s="9" t="str">
        <v>Team Covington</v>
      </c>
    </row>
    <row r="4" spans="1:7" x14ac:dyDescent="0.2">
      <c r="A4" t="s">
        <v>63</v>
      </c>
      <c r="B4" s="9" t="str">
        <f>A4&amp;COUNTIF($A$2:$A4,A4)</f>
        <v>Team Egan3</v>
      </c>
      <c r="C4" t="s">
        <v>54</v>
      </c>
      <c r="D4" t="s">
        <v>55</v>
      </c>
      <c r="E4">
        <v>0</v>
      </c>
      <c r="G4" s="9" t="str">
        <v>Team Drisdom</v>
      </c>
    </row>
    <row r="5" spans="1:7" x14ac:dyDescent="0.2">
      <c r="A5" t="s">
        <v>63</v>
      </c>
      <c r="B5" s="9" t="str">
        <f>A5&amp;COUNTIF($A$2:$A5,A5)</f>
        <v>Team Egan4</v>
      </c>
      <c r="C5" t="s">
        <v>46</v>
      </c>
      <c r="D5" t="s">
        <v>50</v>
      </c>
      <c r="E5">
        <v>1</v>
      </c>
      <c r="G5" s="9" t="str">
        <v>Team Bullock</v>
      </c>
    </row>
    <row r="6" spans="1:7" x14ac:dyDescent="0.2">
      <c r="A6" t="s">
        <v>63</v>
      </c>
      <c r="B6" s="9" t="str">
        <f>A6&amp;COUNTIF($A$2:$A6,A6)</f>
        <v>Team Egan5</v>
      </c>
      <c r="C6" t="s">
        <v>48</v>
      </c>
      <c r="D6" t="s">
        <v>49</v>
      </c>
      <c r="E6">
        <v>15</v>
      </c>
      <c r="G6" s="9" t="str">
        <v>Team Erickson</v>
      </c>
    </row>
    <row r="7" spans="1:7" x14ac:dyDescent="0.2">
      <c r="A7" t="s">
        <v>63</v>
      </c>
      <c r="B7" s="9" t="str">
        <f>A7&amp;COUNTIF($A$2:$A7,A7)</f>
        <v>Team Egan6</v>
      </c>
      <c r="C7" t="s">
        <v>51</v>
      </c>
      <c r="D7" t="s">
        <v>52</v>
      </c>
      <c r="E7">
        <v>7</v>
      </c>
      <c r="G7" s="9" t="str">
        <v>Team Joyce</v>
      </c>
    </row>
    <row r="8" spans="1:7" x14ac:dyDescent="0.2">
      <c r="A8" t="s">
        <v>63</v>
      </c>
      <c r="B8" s="9" t="str">
        <f>A8&amp;COUNTIF($A$2:$A8,A8)</f>
        <v>Team Egan7</v>
      </c>
      <c r="C8" t="s">
        <v>68</v>
      </c>
      <c r="D8" t="s">
        <v>69</v>
      </c>
      <c r="E8">
        <v>4</v>
      </c>
      <c r="G8" s="9" t="str">
        <v>Team Berger</v>
      </c>
    </row>
    <row r="9" spans="1:7" x14ac:dyDescent="0.2">
      <c r="A9" t="s">
        <v>63</v>
      </c>
      <c r="B9" s="9" t="str">
        <f>A9&amp;COUNTIF($A$2:$A9,A9)</f>
        <v>Team Egan8</v>
      </c>
      <c r="C9" t="s">
        <v>38</v>
      </c>
      <c r="D9" t="s">
        <v>12</v>
      </c>
      <c r="E9">
        <v>13</v>
      </c>
      <c r="G9" s="9" t="str">
        <v>Team Stan</v>
      </c>
    </row>
    <row r="10" spans="1:7" x14ac:dyDescent="0.2">
      <c r="A10" t="s">
        <v>63</v>
      </c>
      <c r="B10" s="9" t="str">
        <f>A10&amp;COUNTIF($A$2:$A10,A10)</f>
        <v>Team Egan9</v>
      </c>
      <c r="C10" t="s">
        <v>53</v>
      </c>
      <c r="D10" t="s">
        <v>13</v>
      </c>
      <c r="E10">
        <v>21</v>
      </c>
      <c r="G10" s="9">
        <v>0</v>
      </c>
    </row>
    <row r="11" spans="1:7" x14ac:dyDescent="0.2">
      <c r="A11" t="s">
        <v>70</v>
      </c>
      <c r="B11" s="9" t="str">
        <f>A11&amp;COUNTIF($A$2:$A11,A11)</f>
        <v>Team Covington1</v>
      </c>
      <c r="C11" t="s">
        <v>71</v>
      </c>
      <c r="D11" t="s">
        <v>72</v>
      </c>
      <c r="E11">
        <v>34</v>
      </c>
    </row>
    <row r="12" spans="1:7" x14ac:dyDescent="0.2">
      <c r="A12" t="s">
        <v>70</v>
      </c>
      <c r="B12" s="9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70</v>
      </c>
      <c r="B13" s="9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70</v>
      </c>
      <c r="B14" s="9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70</v>
      </c>
      <c r="B15" s="9" t="str">
        <f>A15&amp;COUNTIF($A$2:$A15,A15)</f>
        <v>Team Covington5</v>
      </c>
      <c r="C15" t="s">
        <v>73</v>
      </c>
      <c r="D15" t="s">
        <v>21</v>
      </c>
      <c r="E15">
        <v>23</v>
      </c>
    </row>
    <row r="16" spans="1:7" x14ac:dyDescent="0.2">
      <c r="A16" t="s">
        <v>70</v>
      </c>
      <c r="B16" s="9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70</v>
      </c>
      <c r="B17" s="9" t="str">
        <f>A17&amp;COUNTIF($A$2:$A17,A17)</f>
        <v>Team Covington7</v>
      </c>
      <c r="C17" t="s">
        <v>74</v>
      </c>
      <c r="D17" t="s">
        <v>75</v>
      </c>
      <c r="E17">
        <v>10</v>
      </c>
    </row>
    <row r="18" spans="1:5" x14ac:dyDescent="0.2">
      <c r="A18" t="s">
        <v>70</v>
      </c>
      <c r="B18" s="9" t="str">
        <f>A18&amp;COUNTIF($A$2:$A18,A18)</f>
        <v>Team Covington8</v>
      </c>
      <c r="C18" t="s">
        <v>76</v>
      </c>
      <c r="D18" t="s">
        <v>77</v>
      </c>
      <c r="E18">
        <v>25</v>
      </c>
    </row>
    <row r="19" spans="1:5" x14ac:dyDescent="0.2">
      <c r="A19" t="s">
        <v>70</v>
      </c>
      <c r="B19" s="9" t="str">
        <f>A19&amp;COUNTIF($A$2:$A19,A19)</f>
        <v>Team Covington9</v>
      </c>
      <c r="C19" t="s">
        <v>78</v>
      </c>
      <c r="D19" t="s">
        <v>79</v>
      </c>
      <c r="E19">
        <v>3</v>
      </c>
    </row>
    <row r="20" spans="1:5" x14ac:dyDescent="0.2">
      <c r="A20" t="s">
        <v>70</v>
      </c>
      <c r="B20" s="9" t="str">
        <f>A20&amp;COUNTIF($A$2:$A20,A20)</f>
        <v>Team Covington10</v>
      </c>
      <c r="C20" t="s">
        <v>79</v>
      </c>
      <c r="D20" t="s">
        <v>80</v>
      </c>
      <c r="E20">
        <v>33</v>
      </c>
    </row>
    <row r="21" spans="1:5" x14ac:dyDescent="0.2">
      <c r="A21" t="s">
        <v>70</v>
      </c>
      <c r="B21" s="9" t="str">
        <f>A21&amp;COUNTIF($A$2:$A21,A21)</f>
        <v>Team Covington11</v>
      </c>
      <c r="C21" t="s">
        <v>61</v>
      </c>
      <c r="D21" t="s">
        <v>81</v>
      </c>
      <c r="E21">
        <v>16</v>
      </c>
    </row>
    <row r="22" spans="1:5" x14ac:dyDescent="0.2">
      <c r="A22" t="s">
        <v>70</v>
      </c>
      <c r="B22" s="9" t="str">
        <f>A22&amp;COUNTIF($A$2:$A22,A22)</f>
        <v>Team Covington12</v>
      </c>
      <c r="C22" t="s">
        <v>35</v>
      </c>
      <c r="D22" t="s">
        <v>82</v>
      </c>
      <c r="E22">
        <v>14</v>
      </c>
    </row>
    <row r="23" spans="1:5" x14ac:dyDescent="0.2">
      <c r="A23" t="s">
        <v>83</v>
      </c>
      <c r="B23" s="9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83</v>
      </c>
      <c r="B24" s="9" t="str">
        <f>A24&amp;COUNTIF($A$2:$A24,A24)</f>
        <v>Team Drisdom2</v>
      </c>
      <c r="C24" t="s">
        <v>84</v>
      </c>
      <c r="D24" t="s">
        <v>20</v>
      </c>
      <c r="E24">
        <v>5</v>
      </c>
    </row>
    <row r="25" spans="1:5" x14ac:dyDescent="0.2">
      <c r="A25" t="s">
        <v>83</v>
      </c>
      <c r="B25" s="9" t="str">
        <f>A25&amp;COUNTIF($A$2:$A25,A25)</f>
        <v>Team Drisdom3</v>
      </c>
      <c r="C25" t="s">
        <v>60</v>
      </c>
      <c r="D25" t="s">
        <v>21</v>
      </c>
      <c r="E25">
        <v>10</v>
      </c>
    </row>
    <row r="26" spans="1:5" x14ac:dyDescent="0.2">
      <c r="A26" t="s">
        <v>83</v>
      </c>
      <c r="B26" s="9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83</v>
      </c>
      <c r="B27" s="9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83</v>
      </c>
      <c r="B28" s="9" t="str">
        <f>A28&amp;COUNTIF($A$2:$A28,A28)</f>
        <v>Team Drisdom6</v>
      </c>
      <c r="C28" t="s">
        <v>76</v>
      </c>
      <c r="D28" t="s">
        <v>85</v>
      </c>
      <c r="E28">
        <v>0</v>
      </c>
    </row>
    <row r="29" spans="1:5" x14ac:dyDescent="0.2">
      <c r="A29" t="s">
        <v>83</v>
      </c>
      <c r="B29" s="9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83</v>
      </c>
      <c r="B30" s="9" t="str">
        <f>A30&amp;COUNTIF($A$2:$A30,A30)</f>
        <v>Team Drisdom8</v>
      </c>
      <c r="C30" t="s">
        <v>86</v>
      </c>
      <c r="D30" t="s">
        <v>36</v>
      </c>
      <c r="E30">
        <v>1</v>
      </c>
    </row>
    <row r="31" spans="1:5" x14ac:dyDescent="0.2">
      <c r="A31" t="s">
        <v>83</v>
      </c>
      <c r="B31" s="9" t="str">
        <f>A31&amp;COUNTIF($A$2:$A31,A31)</f>
        <v>Team Drisdom9</v>
      </c>
      <c r="C31" t="s">
        <v>87</v>
      </c>
      <c r="D31" t="s">
        <v>47</v>
      </c>
      <c r="E31">
        <v>4</v>
      </c>
    </row>
    <row r="32" spans="1:5" x14ac:dyDescent="0.2">
      <c r="A32" t="s">
        <v>83</v>
      </c>
      <c r="B32" s="9" t="str">
        <f>A32&amp;COUNTIF($A$2:$A32,A32)</f>
        <v>Team Drisdom10</v>
      </c>
      <c r="C32" t="s">
        <v>88</v>
      </c>
      <c r="D32" t="s">
        <v>22</v>
      </c>
      <c r="E32">
        <v>6</v>
      </c>
    </row>
    <row r="33" spans="1:5" x14ac:dyDescent="0.2">
      <c r="A33" t="s">
        <v>83</v>
      </c>
      <c r="B33" s="9" t="str">
        <f>A33&amp;COUNTIF($A$2:$A33,A33)</f>
        <v>Team Drisdom11</v>
      </c>
      <c r="C33" t="s">
        <v>89</v>
      </c>
      <c r="D33" t="s">
        <v>90</v>
      </c>
      <c r="E33">
        <v>20</v>
      </c>
    </row>
    <row r="34" spans="1:5" x14ac:dyDescent="0.2">
      <c r="A34" t="s">
        <v>91</v>
      </c>
      <c r="B34" s="9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91</v>
      </c>
      <c r="B35" s="9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91</v>
      </c>
      <c r="B36" s="9" t="str">
        <f>A36&amp;COUNTIF($A$2:$A36,A36)</f>
        <v>Team Bullock3</v>
      </c>
      <c r="C36" t="s">
        <v>92</v>
      </c>
      <c r="D36" t="s">
        <v>32</v>
      </c>
      <c r="E36">
        <v>15</v>
      </c>
    </row>
    <row r="37" spans="1:5" x14ac:dyDescent="0.2">
      <c r="A37" t="s">
        <v>91</v>
      </c>
      <c r="B37" s="9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91</v>
      </c>
      <c r="B38" s="9" t="str">
        <f>A38&amp;COUNTIF($A$2:$A38,A38)</f>
        <v>Team Bullock5</v>
      </c>
      <c r="C38" t="s">
        <v>24</v>
      </c>
      <c r="D38" t="s">
        <v>93</v>
      </c>
      <c r="E38">
        <v>7</v>
      </c>
    </row>
    <row r="39" spans="1:5" x14ac:dyDescent="0.2">
      <c r="A39" t="s">
        <v>91</v>
      </c>
      <c r="B39" s="9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91</v>
      </c>
      <c r="B40" s="9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91</v>
      </c>
      <c r="B41" s="9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91</v>
      </c>
      <c r="B42" s="9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91</v>
      </c>
      <c r="B43" s="9" t="str">
        <f>A43&amp;COUNTIF($A$2:$A43,A43)</f>
        <v>Team Bullock10</v>
      </c>
      <c r="C43" t="s">
        <v>100</v>
      </c>
      <c r="D43" t="s">
        <v>101</v>
      </c>
      <c r="E43">
        <v>23</v>
      </c>
    </row>
    <row r="44" spans="1:5" x14ac:dyDescent="0.2">
      <c r="A44" t="s">
        <v>91</v>
      </c>
      <c r="B44" s="9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91</v>
      </c>
      <c r="B45" s="9" t="str">
        <f>A45&amp;COUNTIF($A$2:$A45,A45)</f>
        <v>Team Bullock12</v>
      </c>
      <c r="C45" t="s">
        <v>102</v>
      </c>
      <c r="D45" t="s">
        <v>29</v>
      </c>
      <c r="E45">
        <v>23</v>
      </c>
    </row>
    <row r="46" spans="1:5" x14ac:dyDescent="0.2">
      <c r="A46" t="s">
        <v>103</v>
      </c>
      <c r="B46" s="9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9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9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9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9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9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9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9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9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9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9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9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9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9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9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9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9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9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9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9" t="str">
        <f>A65&amp;COUNTIF($A$2:$A65,A65)</f>
        <v>Team Berger1</v>
      </c>
      <c r="C65" t="s">
        <v>143</v>
      </c>
      <c r="D65" t="s">
        <v>47</v>
      </c>
      <c r="E65">
        <v>60</v>
      </c>
    </row>
    <row r="66" spans="1:5" x14ac:dyDescent="0.2">
      <c r="A66" t="s">
        <v>142</v>
      </c>
      <c r="B66" s="9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9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9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9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9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9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9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9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9" t="str">
        <f>A74&amp;COUNTIF($A$2:$A74,A74)</f>
        <v>Team Berger10</v>
      </c>
      <c r="C74" t="s">
        <v>160</v>
      </c>
      <c r="E74">
        <v>6</v>
      </c>
    </row>
    <row r="75" spans="1:5" x14ac:dyDescent="0.2">
      <c r="A75" t="s">
        <v>142</v>
      </c>
      <c r="B75" s="9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9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9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9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9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9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9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9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9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9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9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9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9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9" t="str">
        <f>A88&amp;COUNTIF($A$2:$A88,A88)</f>
        <v>Team Stan13</v>
      </c>
      <c r="C88" t="s">
        <v>187</v>
      </c>
      <c r="D88" t="s">
        <v>188</v>
      </c>
    </row>
    <row r="89" spans="1:5" x14ac:dyDescent="0.2">
      <c r="B89" s="9" t="str">
        <f>A89&amp;COUNTIF($A$2:$A89,A89)</f>
        <v>0</v>
      </c>
    </row>
    <row r="90" spans="1:5" x14ac:dyDescent="0.2">
      <c r="B90" s="9" t="str">
        <f>A90&amp;COUNTIF($A$2:$A90,A90)</f>
        <v>0</v>
      </c>
    </row>
    <row r="91" spans="1:5" x14ac:dyDescent="0.2">
      <c r="B91" s="9" t="str">
        <f>A91&amp;COUNTIF($A$2:$A91,A91)</f>
        <v>0</v>
      </c>
    </row>
    <row r="92" spans="1:5" x14ac:dyDescent="0.2">
      <c r="B92" s="9" t="str">
        <f>A92&amp;COUNTIF($A$2:$A92,A92)</f>
        <v>0</v>
      </c>
    </row>
    <row r="93" spans="1:5" x14ac:dyDescent="0.2">
      <c r="B93" s="9" t="str">
        <f>A93&amp;COUNTIF($A$2:$A93,A93)</f>
        <v>0</v>
      </c>
    </row>
    <row r="94" spans="1:5" x14ac:dyDescent="0.2">
      <c r="B94" s="9" t="str">
        <f>A94&amp;COUNTIF($A$2:$A94,A94)</f>
        <v>0</v>
      </c>
    </row>
    <row r="95" spans="1:5" x14ac:dyDescent="0.2">
      <c r="B95" s="9" t="str">
        <f>A95&amp;COUNTIF($A$2:$A95,A95)</f>
        <v>0</v>
      </c>
    </row>
    <row r="96" spans="1:5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2022-06-23T01:38:10Z</dcterms:modified>
</cp:coreProperties>
</file>