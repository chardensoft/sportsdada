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4CF9DA79-A964-2243-AE87-822CF1577902}" xr6:coauthVersionLast="47" xr6:coauthVersionMax="47" xr10:uidLastSave="{00000000-0000-0000-0000-000000000000}"/>
  <bookViews>
    <workbookView xWindow="3700" yWindow="1000" windowWidth="2464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M3" i="2"/>
  <c r="K3" i="2"/>
  <c r="I4" i="2"/>
  <c r="J4" i="2"/>
  <c r="K4" i="2"/>
  <c r="L4" i="2"/>
  <c r="M4" i="2"/>
  <c r="I5" i="2"/>
  <c r="J5" i="2"/>
  <c r="K5" i="2"/>
  <c r="L5" i="2"/>
  <c r="M5" i="2"/>
  <c r="I6" i="2"/>
  <c r="J6" i="2"/>
  <c r="K6" i="2"/>
  <c r="L6" i="2"/>
  <c r="M6" i="2"/>
  <c r="I7" i="2"/>
  <c r="J7" i="2"/>
  <c r="K7" i="2"/>
  <c r="L7" i="2"/>
  <c r="M7" i="2"/>
  <c r="I8" i="2"/>
  <c r="J8" i="2"/>
  <c r="K8" i="2"/>
  <c r="L8" i="2"/>
  <c r="M8" i="2"/>
  <c r="I9" i="2"/>
  <c r="J9" i="2"/>
  <c r="K9" i="2"/>
  <c r="L9" i="2"/>
  <c r="M9" i="2"/>
  <c r="I10" i="2"/>
  <c r="J10" i="2"/>
  <c r="K10" i="2"/>
  <c r="L10" i="2"/>
  <c r="M10" i="2"/>
  <c r="I11" i="2"/>
  <c r="J11" i="2"/>
  <c r="K11" i="2"/>
  <c r="L11" i="2"/>
  <c r="M11" i="2"/>
  <c r="I12" i="2"/>
  <c r="J12" i="2"/>
  <c r="K12" i="2"/>
  <c r="L12" i="2"/>
  <c r="M12" i="2"/>
  <c r="I13" i="2"/>
  <c r="J13" i="2"/>
  <c r="K13" i="2"/>
  <c r="L13" i="2"/>
  <c r="M13" i="2"/>
  <c r="I14" i="2"/>
  <c r="J14" i="2"/>
  <c r="K14" i="2"/>
  <c r="L14" i="2"/>
  <c r="M14" i="2"/>
  <c r="I15" i="2"/>
  <c r="J15" i="2"/>
  <c r="K15" i="2"/>
  <c r="L15" i="2"/>
  <c r="M15" i="2"/>
  <c r="I16" i="2"/>
  <c r="J16" i="2"/>
  <c r="K16" i="2"/>
  <c r="L16" i="2"/>
  <c r="M16" i="2"/>
  <c r="I17" i="2"/>
  <c r="J17" i="2"/>
  <c r="K17" i="2"/>
  <c r="L17" i="2"/>
  <c r="M17" i="2"/>
  <c r="K18" i="2"/>
  <c r="L18" i="2"/>
  <c r="I22" i="2"/>
  <c r="J22" i="2"/>
  <c r="K22" i="2"/>
  <c r="L22" i="2"/>
  <c r="M22" i="2"/>
  <c r="I23" i="2"/>
  <c r="I37" i="2" s="1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J37" i="2"/>
  <c r="K37" i="2"/>
  <c r="L37" i="2"/>
  <c r="M37" i="2"/>
  <c r="I18" i="2" l="1"/>
  <c r="M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J18" i="2" s="1"/>
  <c r="G20" i="2" l="1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<sst xmlns="http://schemas.openxmlformats.org/spreadsheetml/2006/main" count="315" uniqueCount="199">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</sst>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8ED780-CAD9-3842-B792-3DF93B5AB7C4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I2" sqref="I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27</v>
      </c>
    </row>
    <row r="3" spans="2:13" x14ac:dyDescent="0.2">
      <c r="B3">
        <f>I18</f>
        <v>0</v>
      </c>
      <c r="C3" s="3" t="s">
        <v>13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  <c r="M3">
        <f>'Stats G1'!W5</f>
        <v>0</v>
      </c>
    </row>
    <row r="4" spans="2:13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G1'!H8*2+'Stats G1'!N8*3+'Stats G1'!T8</f>
        <v>0</v>
      </c>
      <c r="J6" t="str">
        <f>SUM('Stats G1'!H8+'Stats G1'!N8)&amp;"-"&amp;SUM('Stats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  <c r="M6">
        <f>'Stats G1'!W8</f>
        <v>0</v>
      </c>
    </row>
    <row r="7" spans="2:13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  <c r="M10">
        <f>'Stats G1'!W12</f>
        <v>0</v>
      </c>
    </row>
    <row r="11" spans="2:13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  <c r="M12">
        <f>'Stats G1'!W14</f>
        <v>0</v>
      </c>
    </row>
    <row r="13" spans="2:13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  <c r="M13">
        <f>'Stats G1'!W15</f>
        <v>0</v>
      </c>
    </row>
    <row r="14" spans="2:13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  <c r="M14">
        <f>'Stats G1'!W16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  <c r="M15">
        <f>'Stats G1'!W17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0</v>
      </c>
      <c r="J18" t="str">
        <f>SUM('Stats G1'!H20+'Stats G1'!N20)&amp;"-"&amp;SUM('Stats G1'!E20+'Stats G1'!K20)</f>
        <v>0-0</v>
      </c>
      <c r="K18" t="str">
        <f>SUM('Stats G1'!N20)&amp;"-"&amp;SUM('Stats G1'!K20)</f>
        <v>0-0</v>
      </c>
      <c r="L18" t="str">
        <f>SUM('Stats G1'!T20)&amp;"-"&amp;SUM('Stats G1'!Q20)</f>
        <v>0-0</v>
      </c>
      <c r="M18">
        <f>SUM(M3:M17)</f>
        <v>0</v>
      </c>
    </row>
    <row r="20" spans="6:13" x14ac:dyDescent="0.2">
      <c r="F20" t="s">
        <v>11</v>
      </c>
      <c r="G20" t="str">
        <f>'Stats G1'!B21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27</v>
      </c>
    </row>
    <row r="22" spans="6:13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  <c r="M22">
        <f>'Stats G1'!W23</f>
        <v>0</v>
      </c>
    </row>
    <row r="23" spans="6:13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  <c r="M23">
        <f>'Stats G1'!W24</f>
        <v>0</v>
      </c>
    </row>
    <row r="24" spans="6:13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  <c r="M24">
        <f>'Stats G1'!W25</f>
        <v>0</v>
      </c>
    </row>
    <row r="25" spans="6:13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G1'!H26*2+'Stats G1'!N26*3+'Stats G1'!T26</f>
        <v>0</v>
      </c>
      <c r="J25" t="str">
        <f>SUM('Stats G1'!H26+'Stats G1'!N26)&amp;"-"&amp;SUM('Stats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  <c r="M25">
        <f>'Stats G1'!W26</f>
        <v>0</v>
      </c>
    </row>
    <row r="26" spans="6:13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  <c r="M26">
        <f>'Stats G1'!W27</f>
        <v>0</v>
      </c>
    </row>
    <row r="27" spans="6:13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  <c r="M27">
        <f>'Stats G1'!W28</f>
        <v>0</v>
      </c>
    </row>
    <row r="28" spans="6:13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  <c r="M30">
        <f>'Stats G1'!W31</f>
        <v>0</v>
      </c>
    </row>
    <row r="31" spans="6:13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  <c r="M31">
        <f>'Stats G1'!W32</f>
        <v>0</v>
      </c>
    </row>
    <row r="32" spans="6:13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  <c r="M32">
        <f>'Stats G1'!W33</f>
        <v>0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0</v>
      </c>
      <c r="J37" t="str">
        <f>SUM('Stats G1'!H38+'Stats G1'!N38)&amp;"-"&amp;SUM('Stats G1'!E38+'Stats G1'!K38)</f>
        <v>0-0</v>
      </c>
      <c r="K37" t="str">
        <f>SUM('Stats G1'!N38)&amp;"-"&amp;SUM('Stats G1'!K38)</f>
        <v>0-0</v>
      </c>
      <c r="L37" t="str">
        <f>SUM('Stats G1'!T38)&amp;"-"&amp;SUM('Stats G1'!Q38)</f>
        <v>0-0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H3" sqref="H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24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27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16</v>
      </c>
      <c r="B21" s="1" t="s">
        <v>24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27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abSelected="1" workbookViewId="0">
      <selection activeCell="E12" sqref="E12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 t="str">
        <v>Team Erickson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  <c r="G7" s="8" t="str">
        <v>Team Joyce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  <c r="G8" s="8" t="str">
        <v>Team Berger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  <c r="G9" s="8" t="str">
        <v>Team Stan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  <c r="G10" s="8">
        <v>0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A46" t="s">
        <v>114</v>
      </c>
      <c r="B46" s="8" t="str">
        <f>A46&amp;COUNTIF($A$2:$A46,A46)</f>
        <v>Team Erickson1</v>
      </c>
      <c r="C46" t="s">
        <v>115</v>
      </c>
      <c r="D46" t="s">
        <v>116</v>
      </c>
      <c r="E46">
        <v>20</v>
      </c>
    </row>
    <row r="47" spans="1:5" x14ac:dyDescent="0.2">
      <c r="A47" t="s">
        <v>114</v>
      </c>
      <c r="B47" s="8" t="str">
        <f>A47&amp;COUNTIF($A$2:$A47,A47)</f>
        <v>Team Erickson2</v>
      </c>
      <c r="C47" t="s">
        <v>117</v>
      </c>
      <c r="D47" t="s">
        <v>118</v>
      </c>
      <c r="E47">
        <v>3</v>
      </c>
    </row>
    <row r="48" spans="1:5" x14ac:dyDescent="0.2">
      <c r="A48" t="s">
        <v>114</v>
      </c>
      <c r="B48" s="8" t="str">
        <f>A48&amp;COUNTIF($A$2:$A48,A48)</f>
        <v>Team Erickson3</v>
      </c>
      <c r="C48" t="s">
        <v>119</v>
      </c>
      <c r="D48" t="s">
        <v>120</v>
      </c>
      <c r="E48">
        <v>5</v>
      </c>
    </row>
    <row r="49" spans="1:5" x14ac:dyDescent="0.2">
      <c r="A49" t="s">
        <v>114</v>
      </c>
      <c r="B49" s="8" t="str">
        <f>A49&amp;COUNTIF($A$2:$A49,A49)</f>
        <v>Team Erickson4</v>
      </c>
      <c r="C49" t="s">
        <v>121</v>
      </c>
      <c r="D49" t="s">
        <v>122</v>
      </c>
      <c r="E49">
        <v>30</v>
      </c>
    </row>
    <row r="50" spans="1:5" x14ac:dyDescent="0.2">
      <c r="A50" t="s">
        <v>114</v>
      </c>
      <c r="B50" s="8" t="str">
        <f>A50&amp;COUNTIF($A$2:$A50,A50)</f>
        <v>Team Erickson5</v>
      </c>
      <c r="C50" t="s">
        <v>123</v>
      </c>
      <c r="D50" t="s">
        <v>124</v>
      </c>
      <c r="E50">
        <v>4</v>
      </c>
    </row>
    <row r="51" spans="1:5" x14ac:dyDescent="0.2">
      <c r="A51" t="s">
        <v>114</v>
      </c>
      <c r="B51" s="8" t="str">
        <f>A51&amp;COUNTIF($A$2:$A51,A51)</f>
        <v>Team Erickson6</v>
      </c>
      <c r="C51" t="s">
        <v>115</v>
      </c>
      <c r="D51" t="s">
        <v>125</v>
      </c>
      <c r="E51">
        <v>13</v>
      </c>
    </row>
    <row r="52" spans="1:5" x14ac:dyDescent="0.2">
      <c r="A52" t="s">
        <v>114</v>
      </c>
      <c r="B52" s="8" t="str">
        <f>A52&amp;COUNTIF($A$2:$A52,A52)</f>
        <v>Team Erickson7</v>
      </c>
      <c r="C52" t="s">
        <v>126</v>
      </c>
      <c r="D52" t="s">
        <v>127</v>
      </c>
      <c r="E52">
        <v>0</v>
      </c>
    </row>
    <row r="53" spans="1:5" x14ac:dyDescent="0.2">
      <c r="A53" t="s">
        <v>114</v>
      </c>
      <c r="B53" s="8" t="str">
        <f>A53&amp;COUNTIF($A$2:$A53,A53)</f>
        <v>Team Erickson8</v>
      </c>
      <c r="C53" t="s">
        <v>128</v>
      </c>
      <c r="D53" t="s">
        <v>129</v>
      </c>
      <c r="E53">
        <v>35</v>
      </c>
    </row>
    <row r="54" spans="1:5" x14ac:dyDescent="0.2">
      <c r="A54" t="s">
        <v>130</v>
      </c>
      <c r="B54" s="8" t="str">
        <f>A54&amp;COUNTIF($A$2:$A54,A54)</f>
        <v>Team Joyce1</v>
      </c>
      <c r="C54" t="s">
        <v>131</v>
      </c>
      <c r="D54" t="s">
        <v>132</v>
      </c>
      <c r="E54">
        <v>34</v>
      </c>
    </row>
    <row r="55" spans="1:5" x14ac:dyDescent="0.2">
      <c r="A55" t="s">
        <v>130</v>
      </c>
      <c r="B55" s="8" t="str">
        <f>A55&amp;COUNTIF($A$2:$A55,A55)</f>
        <v>Team Joyce2</v>
      </c>
      <c r="C55" t="s">
        <v>133</v>
      </c>
      <c r="D55" t="s">
        <v>134</v>
      </c>
      <c r="E55">
        <v>0</v>
      </c>
    </row>
    <row r="56" spans="1:5" x14ac:dyDescent="0.2">
      <c r="A56" t="s">
        <v>130</v>
      </c>
      <c r="B56" s="8" t="str">
        <f>A56&amp;COUNTIF($A$2:$A56,A56)</f>
        <v>Team Joyce3</v>
      </c>
      <c r="C56" t="s">
        <v>135</v>
      </c>
      <c r="D56" t="s">
        <v>136</v>
      </c>
      <c r="E56">
        <v>23</v>
      </c>
    </row>
    <row r="57" spans="1:5" x14ac:dyDescent="0.2">
      <c r="A57" t="s">
        <v>130</v>
      </c>
      <c r="B57" s="8" t="str">
        <f>A57&amp;COUNTIF($A$2:$A57,A57)</f>
        <v>Team Joyce4</v>
      </c>
      <c r="C57" t="s">
        <v>137</v>
      </c>
      <c r="D57" t="s">
        <v>138</v>
      </c>
      <c r="E57">
        <v>3</v>
      </c>
    </row>
    <row r="58" spans="1:5" x14ac:dyDescent="0.2">
      <c r="A58" t="s">
        <v>130</v>
      </c>
      <c r="B58" s="8" t="str">
        <f>A58&amp;COUNTIF($A$2:$A58,A58)</f>
        <v>Team Joyce5</v>
      </c>
      <c r="C58" t="s">
        <v>139</v>
      </c>
      <c r="D58" t="s">
        <v>140</v>
      </c>
      <c r="E58">
        <v>35</v>
      </c>
    </row>
    <row r="59" spans="1:5" x14ac:dyDescent="0.2">
      <c r="A59" t="s">
        <v>130</v>
      </c>
      <c r="B59" s="8" t="str">
        <f>A59&amp;COUNTIF($A$2:$A59,A59)</f>
        <v>Team Joyce6</v>
      </c>
      <c r="C59" t="s">
        <v>141</v>
      </c>
      <c r="D59" t="s">
        <v>142</v>
      </c>
      <c r="E59">
        <v>31</v>
      </c>
    </row>
    <row r="60" spans="1:5" x14ac:dyDescent="0.2">
      <c r="A60" t="s">
        <v>130</v>
      </c>
      <c r="B60" s="8" t="str">
        <f>A60&amp;COUNTIF($A$2:$A60,A60)</f>
        <v>Team Joyce7</v>
      </c>
      <c r="C60" t="s">
        <v>143</v>
      </c>
      <c r="D60" t="s">
        <v>144</v>
      </c>
      <c r="E60">
        <v>21</v>
      </c>
    </row>
    <row r="61" spans="1:5" x14ac:dyDescent="0.2">
      <c r="A61" t="s">
        <v>130</v>
      </c>
      <c r="B61" s="8" t="str">
        <f>A61&amp;COUNTIF($A$2:$A61,A61)</f>
        <v>Team Joyce8</v>
      </c>
      <c r="C61" t="s">
        <v>145</v>
      </c>
      <c r="D61" t="s">
        <v>146</v>
      </c>
      <c r="E61">
        <v>11</v>
      </c>
    </row>
    <row r="62" spans="1:5" x14ac:dyDescent="0.2">
      <c r="A62" t="s">
        <v>130</v>
      </c>
      <c r="B62" s="8" t="str">
        <f>A62&amp;COUNTIF($A$2:$A62,A62)</f>
        <v>Team Joyce9</v>
      </c>
      <c r="C62" t="s">
        <v>147</v>
      </c>
      <c r="D62" t="s">
        <v>148</v>
      </c>
      <c r="E62">
        <v>24</v>
      </c>
    </row>
    <row r="63" spans="1:5" x14ac:dyDescent="0.2">
      <c r="A63" t="s">
        <v>130</v>
      </c>
      <c r="B63" s="8" t="str">
        <f>A63&amp;COUNTIF($A$2:$A63,A63)</f>
        <v>Team Joyce10</v>
      </c>
      <c r="C63" t="s">
        <v>149</v>
      </c>
      <c r="D63" t="s">
        <v>150</v>
      </c>
      <c r="E63">
        <v>1</v>
      </c>
    </row>
    <row r="64" spans="1:5" x14ac:dyDescent="0.2">
      <c r="A64" t="s">
        <v>130</v>
      </c>
      <c r="B64" s="8" t="str">
        <f>A64&amp;COUNTIF($A$2:$A64,A64)</f>
        <v>Team Joyce11</v>
      </c>
      <c r="C64" t="s">
        <v>151</v>
      </c>
      <c r="D64" t="s">
        <v>152</v>
      </c>
      <c r="E64">
        <v>10</v>
      </c>
    </row>
    <row r="65" spans="1:5" x14ac:dyDescent="0.2">
      <c r="A65" t="s">
        <v>153</v>
      </c>
      <c r="B65" s="8" t="str">
        <f>A65&amp;COUNTIF($A$2:$A65,A65)</f>
        <v>Team Berger1</v>
      </c>
      <c r="C65" t="s">
        <v>154</v>
      </c>
      <c r="D65" t="s">
        <v>84</v>
      </c>
      <c r="E65">
        <v>60</v>
      </c>
    </row>
    <row r="66" spans="1:5" x14ac:dyDescent="0.2">
      <c r="A66" t="s">
        <v>153</v>
      </c>
      <c r="B66" s="8" t="str">
        <f>A66&amp;COUNTIF($A$2:$A66,A66)</f>
        <v>Team Berger2</v>
      </c>
      <c r="C66" t="s">
        <v>155</v>
      </c>
      <c r="D66" t="s">
        <v>156</v>
      </c>
      <c r="E66" s="7">
        <v>7</v>
      </c>
    </row>
    <row r="67" spans="1:5" x14ac:dyDescent="0.2">
      <c r="A67" t="s">
        <v>153</v>
      </c>
      <c r="B67" s="8" t="str">
        <f>A67&amp;COUNTIF($A$2:$A67,A67)</f>
        <v>Team Berger3</v>
      </c>
      <c r="C67" t="s">
        <v>157</v>
      </c>
      <c r="D67" t="s">
        <v>18</v>
      </c>
      <c r="E67">
        <v>12</v>
      </c>
    </row>
    <row r="68" spans="1:5" x14ac:dyDescent="0.2">
      <c r="A68" t="s">
        <v>153</v>
      </c>
      <c r="B68" s="8" t="str">
        <f>A68&amp;COUNTIF($A$2:$A68,A68)</f>
        <v>Team Berger4</v>
      </c>
      <c r="C68" t="s">
        <v>158</v>
      </c>
      <c r="D68" t="s">
        <v>159</v>
      </c>
      <c r="E68">
        <v>99</v>
      </c>
    </row>
    <row r="69" spans="1:5" x14ac:dyDescent="0.2">
      <c r="A69" t="s">
        <v>153</v>
      </c>
      <c r="B69" s="8" t="str">
        <f>A69&amp;COUNTIF($A$2:$A69,A69)</f>
        <v>Team Berger5</v>
      </c>
      <c r="C69" t="s">
        <v>160</v>
      </c>
      <c r="D69" t="s">
        <v>161</v>
      </c>
      <c r="E69">
        <v>33</v>
      </c>
    </row>
    <row r="70" spans="1:5" x14ac:dyDescent="0.2">
      <c r="A70" t="s">
        <v>153</v>
      </c>
      <c r="B70" s="8" t="str">
        <f>A70&amp;COUNTIF($A$2:$A70,A70)</f>
        <v>Team Berger6</v>
      </c>
      <c r="C70" t="s">
        <v>162</v>
      </c>
      <c r="D70" t="s">
        <v>163</v>
      </c>
      <c r="E70">
        <v>24</v>
      </c>
    </row>
    <row r="71" spans="1:5" x14ac:dyDescent="0.2">
      <c r="A71" t="s">
        <v>153</v>
      </c>
      <c r="B71" s="8" t="str">
        <f>A71&amp;COUNTIF($A$2:$A71,A71)</f>
        <v>Team Berger7</v>
      </c>
      <c r="C71" t="s">
        <v>164</v>
      </c>
      <c r="D71" t="s">
        <v>165</v>
      </c>
      <c r="E71">
        <v>21</v>
      </c>
    </row>
    <row r="72" spans="1:5" x14ac:dyDescent="0.2">
      <c r="A72" t="s">
        <v>153</v>
      </c>
      <c r="B72" s="8" t="str">
        <f>A72&amp;COUNTIF($A$2:$A72,A72)</f>
        <v>Team Berger8</v>
      </c>
      <c r="C72" t="s">
        <v>166</v>
      </c>
      <c r="D72" t="s">
        <v>167</v>
      </c>
      <c r="E72">
        <v>15</v>
      </c>
    </row>
    <row r="73" spans="1:5" x14ac:dyDescent="0.2">
      <c r="A73" t="s">
        <v>153</v>
      </c>
      <c r="B73" s="8" t="str">
        <f>A73&amp;COUNTIF($A$2:$A73,A73)</f>
        <v>Team Berger9</v>
      </c>
      <c r="C73" t="s">
        <v>168</v>
      </c>
      <c r="D73" t="s">
        <v>169</v>
      </c>
      <c r="E73">
        <v>2</v>
      </c>
    </row>
    <row r="74" spans="1:5" x14ac:dyDescent="0.2">
      <c r="A74" t="s">
        <v>153</v>
      </c>
      <c r="B74" s="8" t="str">
        <f>A74&amp;COUNTIF($A$2:$A74,A74)</f>
        <v>Team Berger10</v>
      </c>
      <c r="C74" t="s">
        <v>170</v>
      </c>
      <c r="E74">
        <v>6</v>
      </c>
    </row>
    <row r="75" spans="1:5" x14ac:dyDescent="0.2">
      <c r="A75" t="s">
        <v>153</v>
      </c>
      <c r="B75" s="8" t="str">
        <f>A75&amp;COUNTIF($A$2:$A75,A75)</f>
        <v>Team Berger11</v>
      </c>
      <c r="C75" t="s">
        <v>171</v>
      </c>
      <c r="D75" t="s">
        <v>172</v>
      </c>
    </row>
    <row r="76" spans="1:5" x14ac:dyDescent="0.2">
      <c r="A76" t="s">
        <v>173</v>
      </c>
      <c r="B76" s="8" t="str">
        <f>A76&amp;COUNTIF($A$2:$A76,A76)</f>
        <v>Team Stan1</v>
      </c>
      <c r="C76" t="s">
        <v>174</v>
      </c>
      <c r="D76" t="s">
        <v>122</v>
      </c>
      <c r="E76">
        <v>0</v>
      </c>
    </row>
    <row r="77" spans="1:5" x14ac:dyDescent="0.2">
      <c r="A77" t="s">
        <v>173</v>
      </c>
      <c r="B77" s="8" t="str">
        <f>A77&amp;COUNTIF($A$2:$A77,A77)</f>
        <v>Team Stan2</v>
      </c>
      <c r="C77" t="s">
        <v>175</v>
      </c>
      <c r="D77" t="s">
        <v>176</v>
      </c>
      <c r="E77">
        <v>32</v>
      </c>
    </row>
    <row r="78" spans="1:5" x14ac:dyDescent="0.2">
      <c r="A78" t="s">
        <v>173</v>
      </c>
      <c r="B78" s="8" t="str">
        <f>A78&amp;COUNTIF($A$2:$A78,A78)</f>
        <v>Team Stan3</v>
      </c>
      <c r="C78" t="s">
        <v>177</v>
      </c>
      <c r="D78" t="s">
        <v>178</v>
      </c>
      <c r="E78">
        <v>1</v>
      </c>
    </row>
    <row r="79" spans="1:5" x14ac:dyDescent="0.2">
      <c r="A79" t="s">
        <v>173</v>
      </c>
      <c r="B79" s="8" t="str">
        <f>A79&amp;COUNTIF($A$2:$A79,A79)</f>
        <v>Team Stan4</v>
      </c>
      <c r="C79" t="s">
        <v>179</v>
      </c>
      <c r="D79" t="s">
        <v>180</v>
      </c>
      <c r="E79">
        <v>5</v>
      </c>
    </row>
    <row r="80" spans="1:5" x14ac:dyDescent="0.2">
      <c r="A80" t="s">
        <v>173</v>
      </c>
      <c r="B80" s="8" t="str">
        <f>A80&amp;COUNTIF($A$2:$A80,A80)</f>
        <v>Team Stan5</v>
      </c>
      <c r="C80" t="s">
        <v>181</v>
      </c>
      <c r="D80" t="s">
        <v>182</v>
      </c>
      <c r="E80">
        <v>2</v>
      </c>
    </row>
    <row r="81" spans="1:5" x14ac:dyDescent="0.2">
      <c r="A81" t="s">
        <v>173</v>
      </c>
      <c r="B81" s="8" t="str">
        <f>A81&amp;COUNTIF($A$2:$A81,A81)</f>
        <v>Team Stan6</v>
      </c>
      <c r="C81" t="s">
        <v>183</v>
      </c>
      <c r="D81" t="s">
        <v>184</v>
      </c>
      <c r="E81">
        <v>11</v>
      </c>
    </row>
    <row r="82" spans="1:5" x14ac:dyDescent="0.2">
      <c r="A82" t="s">
        <v>173</v>
      </c>
      <c r="B82" s="8" t="str">
        <f>A82&amp;COUNTIF($A$2:$A82,A82)</f>
        <v>Team Stan7</v>
      </c>
      <c r="C82" t="s">
        <v>185</v>
      </c>
      <c r="D82" t="s">
        <v>186</v>
      </c>
      <c r="E82">
        <v>20</v>
      </c>
    </row>
    <row r="83" spans="1:5" x14ac:dyDescent="0.2">
      <c r="A83" t="s">
        <v>173</v>
      </c>
      <c r="B83" s="8" t="str">
        <f>A83&amp;COUNTIF($A$2:$A83,A83)</f>
        <v>Team Stan8</v>
      </c>
      <c r="C83" t="s">
        <v>187</v>
      </c>
      <c r="D83" t="s">
        <v>188</v>
      </c>
      <c r="E83">
        <v>59</v>
      </c>
    </row>
    <row r="84" spans="1:5" x14ac:dyDescent="0.2">
      <c r="A84" t="s">
        <v>173</v>
      </c>
      <c r="B84" s="8" t="str">
        <f>A84&amp;COUNTIF($A$2:$A84,A84)</f>
        <v>Team Stan9</v>
      </c>
      <c r="C84" t="s">
        <v>189</v>
      </c>
      <c r="D84" t="s">
        <v>190</v>
      </c>
      <c r="E84">
        <v>35</v>
      </c>
    </row>
    <row r="85" spans="1:5" x14ac:dyDescent="0.2">
      <c r="A85" t="s">
        <v>173</v>
      </c>
      <c r="B85" s="8" t="str">
        <f>A85&amp;COUNTIF($A$2:$A85,A85)</f>
        <v>Team Stan10</v>
      </c>
      <c r="C85" t="s">
        <v>191</v>
      </c>
      <c r="D85" t="s">
        <v>192</v>
      </c>
      <c r="E85">
        <v>3</v>
      </c>
    </row>
    <row r="86" spans="1:5" x14ac:dyDescent="0.2">
      <c r="A86" t="s">
        <v>173</v>
      </c>
      <c r="B86" s="8" t="str">
        <f>A86&amp;COUNTIF($A$2:$A86,A86)</f>
        <v>Team Stan11</v>
      </c>
      <c r="C86" t="s">
        <v>193</v>
      </c>
      <c r="D86" t="s">
        <v>194</v>
      </c>
      <c r="E86">
        <v>20</v>
      </c>
    </row>
    <row r="87" spans="1:5" x14ac:dyDescent="0.2">
      <c r="A87" t="s">
        <v>173</v>
      </c>
      <c r="B87" s="8" t="str">
        <f>A87&amp;COUNTIF($A$2:$A87,A87)</f>
        <v>Team Stan12</v>
      </c>
      <c r="C87" t="s">
        <v>195</v>
      </c>
      <c r="D87" t="s">
        <v>196</v>
      </c>
      <c r="E87">
        <v>24</v>
      </c>
    </row>
    <row r="88" spans="1:5" x14ac:dyDescent="0.2">
      <c r="A88" t="s">
        <v>173</v>
      </c>
      <c r="B88" s="8" t="str">
        <f>A88&amp;COUNTIF($A$2:$A88,A88)</f>
        <v>Team Stan13</v>
      </c>
      <c r="C88" t="s">
        <v>197</v>
      </c>
      <c r="D88" t="s">
        <v>198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2022-06-18T00:28:20Z</dcterms:modified>
</cp:coreProperties>
</file>