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3 People/"/>
    </mc:Choice>
  </mc:AlternateContent>
  <xr:revisionPtr revIDLastSave="0" documentId="13_ncr:1_{BD7B5CA6-0F20-9C46-96FF-CC9F08A9CC28}" xr6:coauthVersionLast="47" xr6:coauthVersionMax="47" xr10:uidLastSave="{00000000-0000-0000-0000-000000000000}"/>
  <bookViews>
    <workbookView xWindow="1660" yWindow="980" windowWidth="2590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3" i="2" l="1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7" i="2" s="1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3" i="2"/>
  <c r="L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K3" i="2"/>
  <c r="K4" i="2"/>
  <c r="K12" i="2"/>
  <c r="K16" i="2"/>
  <c r="K23" i="2"/>
  <c r="K24" i="2"/>
  <c r="K30" i="2"/>
  <c r="K31" i="2"/>
  <c r="K34" i="2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K25" i="2" s="1"/>
  <c r="I26" i="2"/>
  <c r="J26" i="2"/>
  <c r="I27" i="2"/>
  <c r="J27" i="2"/>
  <c r="K27" i="2" s="1"/>
  <c r="I28" i="2"/>
  <c r="J28" i="2"/>
  <c r="K28" i="2" s="1"/>
  <c r="I29" i="2"/>
  <c r="J29" i="2"/>
  <c r="K29" i="2" s="1"/>
  <c r="I30" i="2"/>
  <c r="J30" i="2"/>
  <c r="I31" i="2"/>
  <c r="J31" i="2"/>
  <c r="I32" i="2"/>
  <c r="J32" i="2"/>
  <c r="K32" i="2" s="1"/>
  <c r="I33" i="2"/>
  <c r="K33" i="2" s="1"/>
  <c r="J33" i="2"/>
  <c r="I34" i="2"/>
  <c r="J34" i="2"/>
  <c r="I35" i="2"/>
  <c r="J35" i="2"/>
  <c r="K35" i="2" s="1"/>
  <c r="I36" i="2"/>
  <c r="J36" i="2"/>
  <c r="K36" i="2" s="1"/>
  <c r="I22" i="2"/>
  <c r="K22" i="2" s="1"/>
  <c r="J22" i="2"/>
  <c r="I4" i="2"/>
  <c r="J4" i="2"/>
  <c r="I5" i="2"/>
  <c r="J5" i="2"/>
  <c r="K5" i="2" s="1"/>
  <c r="I6" i="2"/>
  <c r="J6" i="2"/>
  <c r="I7" i="2"/>
  <c r="J7" i="2"/>
  <c r="K7" i="2" s="1"/>
  <c r="I8" i="2"/>
  <c r="J8" i="2"/>
  <c r="K8" i="2" s="1"/>
  <c r="I9" i="2"/>
  <c r="J9" i="2"/>
  <c r="K9" i="2" s="1"/>
  <c r="I10" i="2"/>
  <c r="J10" i="2"/>
  <c r="K10" i="2" s="1"/>
  <c r="I11" i="2"/>
  <c r="K11" i="2" s="1"/>
  <c r="J11" i="2"/>
  <c r="I12" i="2"/>
  <c r="J12" i="2"/>
  <c r="I13" i="2"/>
  <c r="J13" i="2"/>
  <c r="K13" i="2" s="1"/>
  <c r="I14" i="2"/>
  <c r="J14" i="2"/>
  <c r="K14" i="2" s="1"/>
  <c r="I15" i="2"/>
  <c r="J15" i="2"/>
  <c r="K15" i="2" s="1"/>
  <c r="I16" i="2"/>
  <c r="J16" i="2"/>
  <c r="I17" i="2"/>
  <c r="J17" i="2"/>
  <c r="K17" i="2" s="1"/>
  <c r="J3" i="2"/>
  <c r="I3" i="2"/>
  <c r="K26" i="2" l="1"/>
  <c r="K6" i="2"/>
  <c r="K37" i="2"/>
  <c r="K18" i="2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<sst xmlns="http://schemas.openxmlformats.org/spreadsheetml/2006/main" count="345" uniqueCount="215">
  <si>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</si>
  <si>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</si>
  <si>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</si>
  <si>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</si>
  <si>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</si>
  <si>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</si>
  <si>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</si>
  <si>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</si>
  <si>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</si>
  <si>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</si>
  <si>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</si>
  <si>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</si>
  <si>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</si>
  <si>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</si>
  <si>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</si>
  <si>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</si>
  <si>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TREB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</si>
  <si>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</si>
  <si>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</si>
  <si>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</si>
  <si>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</si>
  <si>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</si>
  <si>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</si>
  <si>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</si>
  <si>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</si>
  <si>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</si>
  <si>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</si>
  <si>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</si>
  <si>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</si>
  <si>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</si>
  <si>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</si>
  <si>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</si>
  <si>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</si>
  <si>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</si>
  <si>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</si>
  <si>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</si>
  <si>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</si>
  <si>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</si>
  <si>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</si>
  <si>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</si>
  <si>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</si>
  <si>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</si>
  <si>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</si>
  <si>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</si>
  <si>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</si>
  <si>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</si>
  <si>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</si>
  <si>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</si>
  <si>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</si>
  <si>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</si>
  <si>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</si>
  <si>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</si>
  <si>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</si>
  <si>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</si>
  <si>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</si>
  <si>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</si>
  <si>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</si>
  <si>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</si>
  <si>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</si>
  <si>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</si>
  <si>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</si>
  <si>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</si>
  <si>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</si>
  <si>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</si>
  <si>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</si>
  <si>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</si>
  <si>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</si>
  <si>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</si>
  <si>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</si>
  <si>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</si>
  <si>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</si>
  <si>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</si>
  <si>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</si>
  <si>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</si>
  <si>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</si>
  <si>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</si>
  <si>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</si>
  <si>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</si>
  <si>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</si>
  <si>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</si>
  <si>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</si>
  <si>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</si>
  <si>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</si>
  <si>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</si>
  <si>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</si>
  <si>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</si>
  <si>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</si>
  <si>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</si>
  <si>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</si>
  <si>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</si>
  <si>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</si>
  <si>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</si>
  <si>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</si>
  <si>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</si>
  <si>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</si>
  <si>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</si>
  <si>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</si>
  <si>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</si>
  <si>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</si>
  <si>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</si>
  <si>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</si>
  <si>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</si>
  <si>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</si>
  <si>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</si>
  <si>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</si>
  <si>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</si>
  <si>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</si>
  <si>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</si>
  <si>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</si>
  <si>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</si>
  <si>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</si>
  <si>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</si>
  <si>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</si>
  <si>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</si>
  <si>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</si>
  <si>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</si>
  <si>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</si>
  <si>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</si>
  <si>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</si>
  <si>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</si>
  <si>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</si>
  <si>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</si>
  <si>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</si>
  <si>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</si>
  <si>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</si>
  <si>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</si>
  <si>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</si>
  <si>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</si>
  <si>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</si>
  <si>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</si>
  <si>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</si>
  <si>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</si>
  <si>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</si>
  <si>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</si>
  <si>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</si>
  <si>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</si>
  <si>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</si>
  <si>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</si>
  <si>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</si>
  <si>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</si>
  <si>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</si>
  <si>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</si>
  <si>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</si>
  <si>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</si>
  <si>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</si>
  <si>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</si>
  <si>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</si>
  <si>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</si>
  <si>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</si>
  <si>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</si>
  <si>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</si>
  <si>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</si>
  <si>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</si>
  <si>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</si>
  <si>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</si>
  <si>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</si>
  <si>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</si>
  <si>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</si>
  <si>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</si>
  <si>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</si>
  <si>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</si>
  <si>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</si>
  <si>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</si>
  <si>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</si>
  <si>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</si>
  <si>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</si>
  <si>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</si>
  <si>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</si>
  <si>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</si>
  <si>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</si>
  <si>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</si>
  <si>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</si>
  <si>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</si>
  <si>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</si>
  <si>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</si>
  <si>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</si>
  <si>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</si>
  <si>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</si>
  <si>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</si>
  <si>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</si>
  <si>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</si>
  <si>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</si>
  <si>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</si>
  <si>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</si>
  <si>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</si>
  <si>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</si>
  <si>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</si>
  <si>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</si>
  <si>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</si>
  <si>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</si>
  <si>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</si>
  <si>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</si>
  <si>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</si>
  <si>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</si>
  <si>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</si>
  <si>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</si>
  <si>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</si>
  <si>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</si>
  <si>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</si>
  <si>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</si>
  <si>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</si>
  <si>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</si>
  <si>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</si>
  <si>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</si>
  <si>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</si>
  <si>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</si>
  <si>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</si>
  <si>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</si>
  <si>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</si>
  <si>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</si>
  <si>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</si>
  <si>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</si>
  <si>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</si>
  <si>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</si>
  <si>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STL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</si>
</sst>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B10" sqref="B10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7</v>
      </c>
      <c r="F1" t="s">
        <v>3</v>
      </c>
      <c r="G1" t="str">
        <f>'Stats G1'!B1</f>
        <v>Select Team</v>
      </c>
    </row>
    <row r="2" spans="2:12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16</v>
      </c>
      <c r="L2" t="s">
        <v>214</v>
      </c>
    </row>
    <row r="3" spans="2:12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J3+I3</f>
        <v>0</v>
      </c>
      <c r="L3">
        <f>'Stats G1'!K3</f>
        <v>0</v>
      </c>
    </row>
    <row r="4" spans="2:12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 t="shared" ref="K4:K17" si="0">J4+I4</f>
        <v>0</v>
      </c>
      <c r="L4">
        <f>'Stats G1'!K4</f>
        <v>0</v>
      </c>
    </row>
    <row r="5" spans="2:12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 t="shared" si="0"/>
        <v>0</v>
      </c>
      <c r="L5">
        <f>'Stats G1'!K5</f>
        <v>0</v>
      </c>
    </row>
    <row r="6" spans="2:12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 t="shared" si="0"/>
        <v>0</v>
      </c>
      <c r="L6">
        <f>'Stats G1'!K6</f>
        <v>0</v>
      </c>
    </row>
    <row r="7" spans="2:12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 t="shared" si="0"/>
        <v>0</v>
      </c>
      <c r="L7">
        <f>'Stats G1'!K7</f>
        <v>0</v>
      </c>
    </row>
    <row r="8" spans="2:12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 t="shared" si="0"/>
        <v>0</v>
      </c>
      <c r="L8">
        <f>'Stats G1'!K8</f>
        <v>0</v>
      </c>
    </row>
    <row r="9" spans="2:12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 t="shared" si="0"/>
        <v>0</v>
      </c>
      <c r="L9">
        <f>'Stats G1'!K9</f>
        <v>0</v>
      </c>
    </row>
    <row r="10" spans="2:12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 t="shared" si="0"/>
        <v>0</v>
      </c>
      <c r="L10">
        <f>'Stats G1'!K10</f>
        <v>0</v>
      </c>
    </row>
    <row r="11" spans="2:12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 t="shared" si="0"/>
        <v>0</v>
      </c>
      <c r="L11">
        <f>'Stats G1'!K11</f>
        <v>0</v>
      </c>
    </row>
    <row r="12" spans="2:12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 t="shared" si="0"/>
        <v>0</v>
      </c>
      <c r="L12">
        <f>'Stats G1'!K12</f>
        <v>0</v>
      </c>
    </row>
    <row r="13" spans="2:12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 t="shared" si="0"/>
        <v>0</v>
      </c>
      <c r="L13">
        <f>'Stats G1'!K13</f>
        <v>0</v>
      </c>
    </row>
    <row r="14" spans="2:12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  <c r="L14">
        <f>'Stats G1'!K14</f>
        <v>0</v>
      </c>
    </row>
    <row r="15" spans="2:12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  <c r="L15">
        <f>'Stats G1'!K15</f>
        <v>0</v>
      </c>
    </row>
    <row r="16" spans="2:12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  <c r="L16">
        <f>'Stats G1'!K16</f>
        <v>0</v>
      </c>
    </row>
    <row r="17" spans="6:12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  <c r="L17">
        <f>'Stats G1'!K17</f>
        <v>0</v>
      </c>
    </row>
    <row r="18" spans="6:12" x14ac:dyDescent="0.2">
      <c r="H18" s="2" t="s">
        <v>5</v>
      </c>
      <c r="I18">
        <f t="shared" ref="I18:L18" si="1">SUM(I3:I17)</f>
        <v>0</v>
      </c>
      <c r="J18">
        <f t="shared" si="1"/>
        <v>0</v>
      </c>
      <c r="K18">
        <f t="shared" si="1"/>
        <v>0</v>
      </c>
      <c r="L18">
        <f t="shared" si="1"/>
        <v>0</v>
      </c>
    </row>
    <row r="20" spans="6:12" x14ac:dyDescent="0.2">
      <c r="F20" t="s">
        <v>4</v>
      </c>
      <c r="G20" t="str">
        <f>'Stats G1'!B19</f>
        <v>Select Team</v>
      </c>
    </row>
    <row r="21" spans="6:12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16</v>
      </c>
      <c r="L21" t="s">
        <v>214</v>
      </c>
    </row>
    <row r="22" spans="6:12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J22+I22</f>
        <v>0</v>
      </c>
      <c r="L22">
        <f>'Stats G1'!K21</f>
        <v>0</v>
      </c>
    </row>
    <row r="23" spans="6:12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 t="shared" ref="K23:K36" si="2">J23+I23</f>
        <v>0</v>
      </c>
      <c r="L23">
        <f>'Stats G1'!K22</f>
        <v>0</v>
      </c>
    </row>
    <row r="24" spans="6:12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 t="shared" si="2"/>
        <v>0</v>
      </c>
      <c r="L24">
        <f>'Stats G1'!K23</f>
        <v>0</v>
      </c>
    </row>
    <row r="25" spans="6:12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 t="shared" si="2"/>
        <v>0</v>
      </c>
      <c r="L25">
        <f>'Stats G1'!K24</f>
        <v>0</v>
      </c>
    </row>
    <row r="26" spans="6:12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 t="shared" si="2"/>
        <v>0</v>
      </c>
      <c r="L26">
        <f>'Stats G1'!K25</f>
        <v>0</v>
      </c>
    </row>
    <row r="27" spans="6:12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 t="shared" si="2"/>
        <v>0</v>
      </c>
      <c r="L27">
        <f>'Stats G1'!K26</f>
        <v>0</v>
      </c>
    </row>
    <row r="28" spans="6:12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 t="shared" si="2"/>
        <v>0</v>
      </c>
      <c r="L28">
        <f>'Stats G1'!K27</f>
        <v>0</v>
      </c>
    </row>
    <row r="29" spans="6:12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 t="shared" si="2"/>
        <v>0</v>
      </c>
      <c r="L29">
        <f>'Stats G1'!K28</f>
        <v>0</v>
      </c>
    </row>
    <row r="30" spans="6:12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 t="shared" si="2"/>
        <v>0</v>
      </c>
      <c r="L30">
        <f>'Stats G1'!K29</f>
        <v>0</v>
      </c>
    </row>
    <row r="31" spans="6:12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 t="shared" si="2"/>
        <v>0</v>
      </c>
      <c r="L31">
        <f>'Stats G1'!K30</f>
        <v>0</v>
      </c>
    </row>
    <row r="32" spans="6:12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 t="shared" si="2"/>
        <v>0</v>
      </c>
      <c r="L32">
        <f>'Stats G1'!K31</f>
        <v>0</v>
      </c>
    </row>
    <row r="33" spans="6:12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 t="shared" si="2"/>
        <v>0</v>
      </c>
      <c r="L33">
        <f>'Stats G1'!K32</f>
        <v>0</v>
      </c>
    </row>
    <row r="34" spans="6:12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 t="shared" si="2"/>
        <v>0</v>
      </c>
      <c r="L34">
        <f>'Stats G1'!K33</f>
        <v>0</v>
      </c>
    </row>
    <row r="35" spans="6:12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 t="shared" si="2"/>
        <v>0</v>
      </c>
      <c r="L35">
        <f>'Stats G1'!K34</f>
        <v>0</v>
      </c>
    </row>
    <row r="36" spans="6:12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  <c r="L36">
        <f>'Stats G1'!K35</f>
        <v>0</v>
      </c>
    </row>
    <row r="37" spans="6:12" x14ac:dyDescent="0.2">
      <c r="H37" s="2" t="s">
        <v>5</v>
      </c>
      <c r="I37">
        <f t="shared" ref="I37:L37" si="3">SUM(I22:I36)</f>
        <v>0</v>
      </c>
      <c r="J37">
        <f t="shared" si="3"/>
        <v>0</v>
      </c>
      <c r="K37">
        <f t="shared" si="3"/>
        <v>0</v>
      </c>
      <c r="L37">
        <f t="shared" si="3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zoomScale="90" zoomScaleNormal="90" workbookViewId="0">
      <selection activeCell="N20" sqref="N2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13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214</v>
      </c>
    </row>
    <row r="3" spans="1:24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13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214</v>
      </c>
    </row>
    <row r="21" spans="1:24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17</v>
      </c>
      <c r="B2" s="8" t="str">
        <f>A2&amp;COUNTIF($A$2:$A2,A2)</f>
        <v>Team Egan1</v>
      </c>
      <c r="C2" t="s">
        <v>21</v>
      </c>
      <c r="D2" t="s">
        <v>22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17</v>
      </c>
      <c r="B3" s="8" t="str">
        <f>A3&amp;COUNTIF($A$2:$A3,A3)</f>
        <v>Team Egan2</v>
      </c>
      <c r="C3" t="s">
        <v>23</v>
      </c>
      <c r="D3" t="s">
        <v>24</v>
      </c>
      <c r="E3">
        <v>13</v>
      </c>
      <c r="G3" s="8" t="str">
        <v>Team Covington</v>
      </c>
    </row>
    <row r="4" spans="1:7" x14ac:dyDescent="0.2">
      <c r="A4" t="s">
        <v>17</v>
      </c>
      <c r="B4" s="8" t="str">
        <f>A4&amp;COUNTIF($A$2:$A4,A4)</f>
        <v>Team Egan3</v>
      </c>
      <c r="C4" t="s">
        <v>25</v>
      </c>
      <c r="D4" t="s">
        <v>26</v>
      </c>
      <c r="E4">
        <v>0</v>
      </c>
      <c r="G4" s="8" t="str">
        <v>Team Drisdom</v>
      </c>
    </row>
    <row r="5" spans="1:7" x14ac:dyDescent="0.2">
      <c r="A5" t="s">
        <v>17</v>
      </c>
      <c r="B5" s="8" t="str">
        <f>A5&amp;COUNTIF($A$2:$A5,A5)</f>
        <v>Team Egan4</v>
      </c>
      <c r="C5" t="s">
        <v>27</v>
      </c>
      <c r="D5" t="s">
        <v>28</v>
      </c>
      <c r="E5">
        <v>1</v>
      </c>
      <c r="G5" s="8" t="str">
        <v>Team Bullock</v>
      </c>
    </row>
    <row r="6" spans="1:7" x14ac:dyDescent="0.2">
      <c r="A6" t="s">
        <v>17</v>
      </c>
      <c r="B6" s="8" t="str">
        <f>A6&amp;COUNTIF($A$2:$A6,A6)</f>
        <v>Team Egan5</v>
      </c>
      <c r="C6" t="s">
        <v>29</v>
      </c>
      <c r="D6" t="s">
        <v>30</v>
      </c>
      <c r="E6">
        <v>15</v>
      </c>
      <c r="G6" s="8" t="str">
        <v>Team Erickson</v>
      </c>
    </row>
    <row r="7" spans="1:7" x14ac:dyDescent="0.2">
      <c r="A7" t="s">
        <v>17</v>
      </c>
      <c r="B7" s="8" t="str">
        <f>A7&amp;COUNTIF($A$2:$A7,A7)</f>
        <v>Team Egan6</v>
      </c>
      <c r="C7" t="s">
        <v>31</v>
      </c>
      <c r="D7" t="s">
        <v>32</v>
      </c>
      <c r="E7">
        <v>7</v>
      </c>
      <c r="G7" s="8" t="str">
        <v>Team Joyce</v>
      </c>
    </row>
    <row r="8" spans="1:7" x14ac:dyDescent="0.2">
      <c r="A8" t="s">
        <v>17</v>
      </c>
      <c r="B8" s="8" t="str">
        <f>A8&amp;COUNTIF($A$2:$A8,A8)</f>
        <v>Team Egan7</v>
      </c>
      <c r="C8" t="s">
        <v>33</v>
      </c>
      <c r="D8" t="s">
        <v>34</v>
      </c>
      <c r="E8">
        <v>4</v>
      </c>
      <c r="G8" s="8" t="str">
        <v>Team Berger</v>
      </c>
    </row>
    <row r="9" spans="1:7" x14ac:dyDescent="0.2">
      <c r="A9" t="s">
        <v>17</v>
      </c>
      <c r="B9" s="8" t="str">
        <f>A9&amp;COUNTIF($A$2:$A9,A9)</f>
        <v>Team Egan8</v>
      </c>
      <c r="C9" t="s">
        <v>35</v>
      </c>
      <c r="D9" t="s">
        <v>36</v>
      </c>
      <c r="E9">
        <v>13</v>
      </c>
      <c r="G9" s="8" t="str">
        <v>Team Stan</v>
      </c>
    </row>
    <row r="10" spans="1:7" x14ac:dyDescent="0.2">
      <c r="A10" t="s">
        <v>17</v>
      </c>
      <c r="B10" s="8" t="str">
        <f>A10&amp;COUNTIF($A$2:$A10,A10)</f>
        <v>Team Egan9</v>
      </c>
      <c r="C10" t="s">
        <v>37</v>
      </c>
      <c r="D10" t="s">
        <v>38</v>
      </c>
      <c r="E10">
        <v>21</v>
      </c>
      <c r="G10" s="8" t="str">
        <v>Team Humpherys</v>
      </c>
    </row>
    <row r="11" spans="1:7" x14ac:dyDescent="0.2">
      <c r="A11" t="s">
        <v>18</v>
      </c>
      <c r="B11" s="8" t="str">
        <f>A11&amp;COUNTIF($A$2:$A11,A11)</f>
        <v>Team Covington1</v>
      </c>
      <c r="C11" t="s">
        <v>39</v>
      </c>
      <c r="D11" t="s">
        <v>40</v>
      </c>
      <c r="E11">
        <v>34</v>
      </c>
    </row>
    <row r="12" spans="1:7" x14ac:dyDescent="0.2">
      <c r="A12" t="s">
        <v>18</v>
      </c>
      <c r="B12" s="8" t="str">
        <f>A12&amp;COUNTIF($A$2:$A12,A12)</f>
        <v>Team Covington2</v>
      </c>
      <c r="C12" t="s">
        <v>41</v>
      </c>
      <c r="D12" t="s">
        <v>42</v>
      </c>
      <c r="E12">
        <v>4</v>
      </c>
    </row>
    <row r="13" spans="1:7" x14ac:dyDescent="0.2">
      <c r="A13" t="s">
        <v>18</v>
      </c>
      <c r="B13" s="8" t="str">
        <f>A13&amp;COUNTIF($A$2:$A13,A13)</f>
        <v>Team Covington3</v>
      </c>
      <c r="C13" t="s">
        <v>43</v>
      </c>
      <c r="D13" t="s">
        <v>44</v>
      </c>
      <c r="E13">
        <v>21</v>
      </c>
    </row>
    <row r="14" spans="1:7" x14ac:dyDescent="0.2">
      <c r="A14" t="s">
        <v>18</v>
      </c>
      <c r="B14" s="8" t="str">
        <f>A14&amp;COUNTIF($A$2:$A14,A14)</f>
        <v>Team Covington4</v>
      </c>
      <c r="C14" t="s">
        <v>45</v>
      </c>
      <c r="D14" t="s">
        <v>46</v>
      </c>
      <c r="E14">
        <v>87</v>
      </c>
    </row>
    <row r="15" spans="1:7" x14ac:dyDescent="0.2">
      <c r="A15" t="s">
        <v>18</v>
      </c>
      <c r="B15" s="8" t="str">
        <f>A15&amp;COUNTIF($A$2:$A15,A15)</f>
        <v>Team Covington5</v>
      </c>
      <c r="C15" t="s">
        <v>47</v>
      </c>
      <c r="D15" t="s">
        <v>48</v>
      </c>
      <c r="E15">
        <v>23</v>
      </c>
    </row>
    <row r="16" spans="1:7" x14ac:dyDescent="0.2">
      <c r="A16" t="s">
        <v>18</v>
      </c>
      <c r="B16" s="8" t="str">
        <f>A16&amp;COUNTIF($A$2:$A16,A16)</f>
        <v>Team Covington6</v>
      </c>
      <c r="C16" t="s">
        <v>49</v>
      </c>
      <c r="D16" t="s">
        <v>50</v>
      </c>
      <c r="E16">
        <v>2</v>
      </c>
    </row>
    <row r="17" spans="1:5" x14ac:dyDescent="0.2">
      <c r="A17" t="s">
        <v>18</v>
      </c>
      <c r="B17" s="8" t="str">
        <f>A17&amp;COUNTIF($A$2:$A17,A17)</f>
        <v>Team Covington7</v>
      </c>
      <c r="C17" t="s">
        <v>51</v>
      </c>
      <c r="D17" t="s">
        <v>52</v>
      </c>
      <c r="E17">
        <v>10</v>
      </c>
    </row>
    <row r="18" spans="1:5" x14ac:dyDescent="0.2">
      <c r="A18" t="s">
        <v>18</v>
      </c>
      <c r="B18" s="8" t="str">
        <f>A18&amp;COUNTIF($A$2:$A18,A18)</f>
        <v>Team Covington8</v>
      </c>
      <c r="C18" t="s">
        <v>53</v>
      </c>
      <c r="D18" t="s">
        <v>54</v>
      </c>
      <c r="E18">
        <v>25</v>
      </c>
    </row>
    <row r="19" spans="1:5" x14ac:dyDescent="0.2">
      <c r="A19" t="s">
        <v>18</v>
      </c>
      <c r="B19" s="8" t="str">
        <f>A19&amp;COUNTIF($A$2:$A19,A19)</f>
        <v>Team Covington9</v>
      </c>
      <c r="C19" t="s">
        <v>55</v>
      </c>
      <c r="D19" t="s">
        <v>56</v>
      </c>
      <c r="E19">
        <v>3</v>
      </c>
    </row>
    <row r="20" spans="1:5" x14ac:dyDescent="0.2">
      <c r="A20" t="s">
        <v>18</v>
      </c>
      <c r="B20" s="8" t="str">
        <f>A20&amp;COUNTIF($A$2:$A20,A20)</f>
        <v>Team Covington10</v>
      </c>
      <c r="C20" t="s">
        <v>56</v>
      </c>
      <c r="D20" t="s">
        <v>57</v>
      </c>
      <c r="E20">
        <v>33</v>
      </c>
    </row>
    <row r="21" spans="1:5" x14ac:dyDescent="0.2">
      <c r="A21" t="s">
        <v>18</v>
      </c>
      <c r="B21" s="8" t="str">
        <f>A21&amp;COUNTIF($A$2:$A21,A21)</f>
        <v>Team Covington11</v>
      </c>
      <c r="C21" t="s">
        <v>58</v>
      </c>
      <c r="D21" t="s">
        <v>59</v>
      </c>
      <c r="E21">
        <v>16</v>
      </c>
    </row>
    <row r="22" spans="1:5" x14ac:dyDescent="0.2">
      <c r="A22" t="s">
        <v>18</v>
      </c>
      <c r="B22" s="8" t="str">
        <f>A22&amp;COUNTIF($A$2:$A22,A22)</f>
        <v>Team Covington12</v>
      </c>
      <c r="C22" t="s">
        <v>41</v>
      </c>
      <c r="D22" t="s">
        <v>60</v>
      </c>
      <c r="E22">
        <v>14</v>
      </c>
    </row>
    <row r="23" spans="1:5" x14ac:dyDescent="0.2">
      <c r="A23" t="s">
        <v>19</v>
      </c>
      <c r="B23" s="8" t="str">
        <f>A23&amp;COUNTIF($A$2:$A23,A23)</f>
        <v>Team Drisdom1</v>
      </c>
      <c r="C23" t="s">
        <v>61</v>
      </c>
      <c r="D23" t="s">
        <v>62</v>
      </c>
      <c r="E23">
        <v>7</v>
      </c>
    </row>
    <row r="24" spans="1:5" x14ac:dyDescent="0.2">
      <c r="A24" t="s">
        <v>19</v>
      </c>
      <c r="B24" s="8" t="str">
        <f>A24&amp;COUNTIF($A$2:$A24,A24)</f>
        <v>Team Drisdom2</v>
      </c>
      <c r="C24" t="s">
        <v>63</v>
      </c>
      <c r="D24" t="s">
        <v>64</v>
      </c>
      <c r="E24">
        <v>5</v>
      </c>
    </row>
    <row r="25" spans="1:5" x14ac:dyDescent="0.2">
      <c r="A25" t="s">
        <v>19</v>
      </c>
      <c r="B25" s="8" t="str">
        <f>A25&amp;COUNTIF($A$2:$A25,A25)</f>
        <v>Team Drisdom3</v>
      </c>
      <c r="C25" t="s">
        <v>78</v>
      </c>
      <c r="D25" t="s">
        <v>48</v>
      </c>
      <c r="E25">
        <v>10</v>
      </c>
    </row>
    <row r="26" spans="1:5" x14ac:dyDescent="0.2">
      <c r="A26" t="s">
        <v>19</v>
      </c>
      <c r="B26" s="8" t="str">
        <f>A26&amp;COUNTIF($A$2:$A26,A26)</f>
        <v>Team Drisdom4</v>
      </c>
      <c r="C26" t="s">
        <v>65</v>
      </c>
      <c r="D26" t="s">
        <v>66</v>
      </c>
      <c r="E26">
        <v>11</v>
      </c>
    </row>
    <row r="27" spans="1:5" x14ac:dyDescent="0.2">
      <c r="A27" t="s">
        <v>19</v>
      </c>
      <c r="B27" s="8" t="str">
        <f>A27&amp;COUNTIF($A$2:$A27,A27)</f>
        <v>Team Drisdom5</v>
      </c>
      <c r="C27" t="s">
        <v>67</v>
      </c>
      <c r="D27" t="s">
        <v>66</v>
      </c>
      <c r="E27">
        <v>2</v>
      </c>
    </row>
    <row r="28" spans="1:5" x14ac:dyDescent="0.2">
      <c r="A28" t="s">
        <v>19</v>
      </c>
      <c r="B28" s="8" t="str">
        <f>A28&amp;COUNTIF($A$2:$A28,A28)</f>
        <v>Team Drisdom6</v>
      </c>
      <c r="C28" t="s">
        <v>53</v>
      </c>
      <c r="D28" t="s">
        <v>68</v>
      </c>
      <c r="E28">
        <v>0</v>
      </c>
    </row>
    <row r="29" spans="1:5" x14ac:dyDescent="0.2">
      <c r="A29" t="s">
        <v>19</v>
      </c>
      <c r="B29" s="8" t="str">
        <f>A29&amp;COUNTIF($A$2:$A29,A29)</f>
        <v>Team Drisdom7</v>
      </c>
      <c r="C29" t="s">
        <v>69</v>
      </c>
      <c r="D29" t="s">
        <v>62</v>
      </c>
      <c r="E29">
        <v>13</v>
      </c>
    </row>
    <row r="30" spans="1:5" x14ac:dyDescent="0.2">
      <c r="A30" t="s">
        <v>19</v>
      </c>
      <c r="B30" s="8" t="str">
        <f>A30&amp;COUNTIF($A$2:$A30,A30)</f>
        <v>Team Drisdom8</v>
      </c>
      <c r="C30" t="s">
        <v>70</v>
      </c>
      <c r="D30" t="s">
        <v>71</v>
      </c>
      <c r="E30">
        <v>1</v>
      </c>
    </row>
    <row r="31" spans="1:5" x14ac:dyDescent="0.2">
      <c r="A31" t="s">
        <v>19</v>
      </c>
      <c r="B31" s="8" t="str">
        <f>A31&amp;COUNTIF($A$2:$A31,A31)</f>
        <v>Team Drisdom9</v>
      </c>
      <c r="C31" t="s">
        <v>72</v>
      </c>
      <c r="D31" t="s">
        <v>73</v>
      </c>
      <c r="E31">
        <v>4</v>
      </c>
    </row>
    <row r="32" spans="1:5" x14ac:dyDescent="0.2">
      <c r="A32" t="s">
        <v>19</v>
      </c>
      <c r="B32" s="8" t="str">
        <f>A32&amp;COUNTIF($A$2:$A32,A32)</f>
        <v>Team Drisdom10</v>
      </c>
      <c r="C32" t="s">
        <v>74</v>
      </c>
      <c r="D32" t="s">
        <v>75</v>
      </c>
      <c r="E32">
        <v>6</v>
      </c>
    </row>
    <row r="33" spans="1:5" x14ac:dyDescent="0.2">
      <c r="A33" t="s">
        <v>19</v>
      </c>
      <c r="B33" s="8" t="str">
        <f>A33&amp;COUNTIF($A$2:$A33,A33)</f>
        <v>Team Drisdom11</v>
      </c>
      <c r="C33" t="s">
        <v>76</v>
      </c>
      <c r="D33" t="s">
        <v>77</v>
      </c>
      <c r="E33">
        <v>20</v>
      </c>
    </row>
    <row r="34" spans="1:5" x14ac:dyDescent="0.2">
      <c r="A34" t="s">
        <v>20</v>
      </c>
      <c r="B34" s="8" t="str">
        <f>A34&amp;COUNTIF($A$2:$A34,A34)</f>
        <v>Team Bullock1</v>
      </c>
      <c r="C34" t="s">
        <v>79</v>
      </c>
      <c r="D34" t="s">
        <v>80</v>
      </c>
      <c r="E34">
        <v>3</v>
      </c>
    </row>
    <row r="35" spans="1:5" x14ac:dyDescent="0.2">
      <c r="A35" t="s">
        <v>20</v>
      </c>
      <c r="B35" s="8" t="str">
        <f>A35&amp;COUNTIF($A$2:$A35,A35)</f>
        <v>Team Bullock2</v>
      </c>
      <c r="C35" t="s">
        <v>81</v>
      </c>
      <c r="D35" t="s">
        <v>82</v>
      </c>
      <c r="E35">
        <v>21</v>
      </c>
    </row>
    <row r="36" spans="1:5" x14ac:dyDescent="0.2">
      <c r="A36" t="s">
        <v>20</v>
      </c>
      <c r="B36" s="8" t="str">
        <f>A36&amp;COUNTIF($A$2:$A36,A36)</f>
        <v>Team Bullock3</v>
      </c>
      <c r="C36" t="s">
        <v>83</v>
      </c>
      <c r="D36" t="s">
        <v>84</v>
      </c>
      <c r="E36">
        <v>15</v>
      </c>
    </row>
    <row r="37" spans="1:5" x14ac:dyDescent="0.2">
      <c r="A37" t="s">
        <v>20</v>
      </c>
      <c r="B37" s="8" t="str">
        <f>A37&amp;COUNTIF($A$2:$A37,A37)</f>
        <v>Team Bullock4</v>
      </c>
      <c r="C37" t="s">
        <v>85</v>
      </c>
      <c r="D37" t="s">
        <v>86</v>
      </c>
      <c r="E37">
        <v>5</v>
      </c>
    </row>
    <row r="38" spans="1:5" x14ac:dyDescent="0.2">
      <c r="A38" t="s">
        <v>20</v>
      </c>
      <c r="B38" s="8" t="str">
        <f>A38&amp;COUNTIF($A$2:$A38,A38)</f>
        <v>Team Bullock5</v>
      </c>
      <c r="C38" t="s">
        <v>87</v>
      </c>
      <c r="D38" t="s">
        <v>88</v>
      </c>
      <c r="E38">
        <v>7</v>
      </c>
    </row>
    <row r="39" spans="1:5" x14ac:dyDescent="0.2">
      <c r="A39" t="s">
        <v>20</v>
      </c>
      <c r="B39" s="8" t="str">
        <f>A39&amp;COUNTIF($A$2:$A39,A39)</f>
        <v>Team Bullock6</v>
      </c>
      <c r="C39" t="s">
        <v>89</v>
      </c>
      <c r="D39" t="s">
        <v>90</v>
      </c>
      <c r="E39">
        <v>24</v>
      </c>
    </row>
    <row r="40" spans="1:5" x14ac:dyDescent="0.2">
      <c r="A40" t="s">
        <v>20</v>
      </c>
      <c r="B40" s="8" t="str">
        <f>A40&amp;COUNTIF($A$2:$A40,A40)</f>
        <v>Team Bullock7</v>
      </c>
      <c r="C40" t="s">
        <v>91</v>
      </c>
      <c r="D40" t="s">
        <v>92</v>
      </c>
      <c r="E40">
        <v>8</v>
      </c>
    </row>
    <row r="41" spans="1:5" x14ac:dyDescent="0.2">
      <c r="A41" t="s">
        <v>20</v>
      </c>
      <c r="B41" s="8" t="str">
        <f>A41&amp;COUNTIF($A$2:$A41,A41)</f>
        <v>Team Bullock8</v>
      </c>
      <c r="C41" t="s">
        <v>93</v>
      </c>
      <c r="D41" t="s">
        <v>94</v>
      </c>
      <c r="E41">
        <v>20</v>
      </c>
    </row>
    <row r="42" spans="1:5" x14ac:dyDescent="0.2">
      <c r="A42" t="s">
        <v>20</v>
      </c>
      <c r="B42" s="8" t="str">
        <f>A42&amp;COUNTIF($A$2:$A42,A42)</f>
        <v>Team Bullock9</v>
      </c>
      <c r="C42" t="s">
        <v>95</v>
      </c>
      <c r="D42" t="s">
        <v>96</v>
      </c>
      <c r="E42">
        <v>22</v>
      </c>
    </row>
    <row r="43" spans="1:5" x14ac:dyDescent="0.2">
      <c r="A43" t="s">
        <v>20</v>
      </c>
      <c r="B43" s="8" t="str">
        <f>A43&amp;COUNTIF($A$2:$A43,A43)</f>
        <v>Team Bullock10</v>
      </c>
      <c r="C43" t="s">
        <v>97</v>
      </c>
      <c r="D43" t="s">
        <v>98</v>
      </c>
      <c r="E43">
        <v>23</v>
      </c>
    </row>
    <row r="44" spans="1:5" x14ac:dyDescent="0.2">
      <c r="A44" t="s">
        <v>20</v>
      </c>
      <c r="B44" s="8" t="str">
        <f>A44&amp;COUNTIF($A$2:$A44,A44)</f>
        <v>Team Bullock11</v>
      </c>
      <c r="C44" t="s">
        <v>99</v>
      </c>
      <c r="D44" t="s">
        <v>100</v>
      </c>
      <c r="E44">
        <v>12</v>
      </c>
    </row>
    <row r="45" spans="1:5" x14ac:dyDescent="0.2">
      <c r="A45" t="s">
        <v>20</v>
      </c>
      <c r="B45" s="8" t="str">
        <f>A45&amp;COUNTIF($A$2:$A45,A45)</f>
        <v>Team Bullock12</v>
      </c>
      <c r="C45" t="s">
        <v>101</v>
      </c>
      <c r="D45" t="s">
        <v>102</v>
      </c>
      <c r="E45">
        <v>23</v>
      </c>
    </row>
    <row r="46" spans="1:5" x14ac:dyDescent="0.2">
      <c r="A46" t="s">
        <v>103</v>
      </c>
      <c r="B46" s="8" t="str">
        <f>A46&amp;COUNTIF($A$2:$A46,A46)</f>
        <v>Team Erickson1</v>
      </c>
      <c r="C46" t="s">
        <v>104</v>
      </c>
      <c r="D46" t="s">
        <v>105</v>
      </c>
      <c r="E46">
        <v>20</v>
      </c>
    </row>
    <row r="47" spans="1:5" x14ac:dyDescent="0.2">
      <c r="A47" t="s">
        <v>103</v>
      </c>
      <c r="B47" s="8" t="str">
        <f>A47&amp;COUNTIF($A$2:$A47,A47)</f>
        <v>Team Erickson2</v>
      </c>
      <c r="C47" t="s">
        <v>106</v>
      </c>
      <c r="D47" t="s">
        <v>107</v>
      </c>
      <c r="E47">
        <v>3</v>
      </c>
    </row>
    <row r="48" spans="1:5" x14ac:dyDescent="0.2">
      <c r="A48" t="s">
        <v>103</v>
      </c>
      <c r="B48" s="8" t="str">
        <f>A48&amp;COUNTIF($A$2:$A48,A48)</f>
        <v>Team Erickson3</v>
      </c>
      <c r="C48" t="s">
        <v>108</v>
      </c>
      <c r="D48" t="s">
        <v>109</v>
      </c>
      <c r="E48">
        <v>5</v>
      </c>
    </row>
    <row r="49" spans="1:5" x14ac:dyDescent="0.2">
      <c r="A49" t="s">
        <v>103</v>
      </c>
      <c r="B49" s="8" t="str">
        <f>A49&amp;COUNTIF($A$2:$A49,A49)</f>
        <v>Team Erickson4</v>
      </c>
      <c r="C49" t="s">
        <v>110</v>
      </c>
      <c r="D49" t="s">
        <v>111</v>
      </c>
      <c r="E49">
        <v>30</v>
      </c>
    </row>
    <row r="50" spans="1:5" x14ac:dyDescent="0.2">
      <c r="A50" t="s">
        <v>103</v>
      </c>
      <c r="B50" s="8" t="str">
        <f>A50&amp;COUNTIF($A$2:$A50,A50)</f>
        <v>Team Erickson5</v>
      </c>
      <c r="C50" t="s">
        <v>112</v>
      </c>
      <c r="D50" t="s">
        <v>113</v>
      </c>
      <c r="E50">
        <v>4</v>
      </c>
    </row>
    <row r="51" spans="1:5" x14ac:dyDescent="0.2">
      <c r="A51" t="s">
        <v>103</v>
      </c>
      <c r="B51" s="8" t="str">
        <f>A51&amp;COUNTIF($A$2:$A51,A51)</f>
        <v>Team Erickson6</v>
      </c>
      <c r="C51" t="s">
        <v>104</v>
      </c>
      <c r="D51" t="s">
        <v>114</v>
      </c>
      <c r="E51">
        <v>13</v>
      </c>
    </row>
    <row r="52" spans="1:5" x14ac:dyDescent="0.2">
      <c r="A52" t="s">
        <v>103</v>
      </c>
      <c r="B52" s="8" t="str">
        <f>A52&amp;COUNTIF($A$2:$A52,A52)</f>
        <v>Team Erickson7</v>
      </c>
      <c r="C52" t="s">
        <v>115</v>
      </c>
      <c r="D52" t="s">
        <v>116</v>
      </c>
      <c r="E52">
        <v>0</v>
      </c>
    </row>
    <row r="53" spans="1:5" x14ac:dyDescent="0.2">
      <c r="A53" t="s">
        <v>103</v>
      </c>
      <c r="B53" s="8" t="str">
        <f>A53&amp;COUNTIF($A$2:$A53,A53)</f>
        <v>Team Erickson8</v>
      </c>
      <c r="C53" t="s">
        <v>117</v>
      </c>
      <c r="D53" t="s">
        <v>118</v>
      </c>
      <c r="E53">
        <v>35</v>
      </c>
    </row>
    <row r="54" spans="1:5" x14ac:dyDescent="0.2">
      <c r="A54" t="s">
        <v>119</v>
      </c>
      <c r="B54" s="8" t="str">
        <f>A54&amp;COUNTIF($A$2:$A54,A54)</f>
        <v>Team Joyce1</v>
      </c>
      <c r="C54" t="s">
        <v>120</v>
      </c>
      <c r="D54" t="s">
        <v>121</v>
      </c>
      <c r="E54">
        <v>34</v>
      </c>
    </row>
    <row r="55" spans="1:5" x14ac:dyDescent="0.2">
      <c r="A55" t="s">
        <v>119</v>
      </c>
      <c r="B55" s="8" t="str">
        <f>A55&amp;COUNTIF($A$2:$A55,A55)</f>
        <v>Team Joyce2</v>
      </c>
      <c r="C55" t="s">
        <v>122</v>
      </c>
      <c r="D55" t="s">
        <v>123</v>
      </c>
      <c r="E55">
        <v>0</v>
      </c>
    </row>
    <row r="56" spans="1:5" x14ac:dyDescent="0.2">
      <c r="A56" t="s">
        <v>119</v>
      </c>
      <c r="B56" s="8" t="str">
        <f>A56&amp;COUNTIF($A$2:$A56,A56)</f>
        <v>Team Joyce3</v>
      </c>
      <c r="C56" t="s">
        <v>124</v>
      </c>
      <c r="D56" t="s">
        <v>125</v>
      </c>
      <c r="E56">
        <v>23</v>
      </c>
    </row>
    <row r="57" spans="1:5" x14ac:dyDescent="0.2">
      <c r="A57" t="s">
        <v>119</v>
      </c>
      <c r="B57" s="8" t="str">
        <f>A57&amp;COUNTIF($A$2:$A57,A57)</f>
        <v>Team Joyce4</v>
      </c>
      <c r="C57" t="s">
        <v>126</v>
      </c>
      <c r="D57" t="s">
        <v>127</v>
      </c>
      <c r="E57">
        <v>3</v>
      </c>
    </row>
    <row r="58" spans="1:5" x14ac:dyDescent="0.2">
      <c r="A58" t="s">
        <v>119</v>
      </c>
      <c r="B58" s="8" t="str">
        <f>A58&amp;COUNTIF($A$2:$A58,A58)</f>
        <v>Team Joyce5</v>
      </c>
      <c r="C58" t="s">
        <v>128</v>
      </c>
      <c r="D58" t="s">
        <v>129</v>
      </c>
      <c r="E58">
        <v>35</v>
      </c>
    </row>
    <row r="59" spans="1:5" x14ac:dyDescent="0.2">
      <c r="A59" t="s">
        <v>119</v>
      </c>
      <c r="B59" s="8" t="str">
        <f>A59&amp;COUNTIF($A$2:$A59,A59)</f>
        <v>Team Joyce6</v>
      </c>
      <c r="C59" t="s">
        <v>130</v>
      </c>
      <c r="D59" t="s">
        <v>131</v>
      </c>
      <c r="E59">
        <v>31</v>
      </c>
    </row>
    <row r="60" spans="1:5" x14ac:dyDescent="0.2">
      <c r="A60" t="s">
        <v>119</v>
      </c>
      <c r="B60" s="8" t="str">
        <f>A60&amp;COUNTIF($A$2:$A60,A60)</f>
        <v>Team Joyce7</v>
      </c>
      <c r="C60" t="s">
        <v>132</v>
      </c>
      <c r="D60" t="s">
        <v>133</v>
      </c>
      <c r="E60">
        <v>21</v>
      </c>
    </row>
    <row r="61" spans="1:5" x14ac:dyDescent="0.2">
      <c r="A61" t="s">
        <v>119</v>
      </c>
      <c r="B61" s="8" t="str">
        <f>A61&amp;COUNTIF($A$2:$A61,A61)</f>
        <v>Team Joyce8</v>
      </c>
      <c r="C61" t="s">
        <v>134</v>
      </c>
      <c r="D61" t="s">
        <v>135</v>
      </c>
      <c r="E61">
        <v>11</v>
      </c>
    </row>
    <row r="62" spans="1:5" x14ac:dyDescent="0.2">
      <c r="A62" t="s">
        <v>119</v>
      </c>
      <c r="B62" s="8" t="str">
        <f>A62&amp;COUNTIF($A$2:$A62,A62)</f>
        <v>Team Joyce9</v>
      </c>
      <c r="C62" t="s">
        <v>136</v>
      </c>
      <c r="D62" t="s">
        <v>137</v>
      </c>
      <c r="E62">
        <v>24</v>
      </c>
    </row>
    <row r="63" spans="1:5" x14ac:dyDescent="0.2">
      <c r="A63" t="s">
        <v>119</v>
      </c>
      <c r="B63" s="8" t="str">
        <f>A63&amp;COUNTIF($A$2:$A63,A63)</f>
        <v>Team Joyce10</v>
      </c>
      <c r="C63" t="s">
        <v>138</v>
      </c>
      <c r="D63" t="s">
        <v>139</v>
      </c>
      <c r="E63">
        <v>1</v>
      </c>
    </row>
    <row r="64" spans="1:5" x14ac:dyDescent="0.2">
      <c r="A64" t="s">
        <v>119</v>
      </c>
      <c r="B64" s="8" t="str">
        <f>A64&amp;COUNTIF($A$2:$A64,A64)</f>
        <v>Team Joyce11</v>
      </c>
      <c r="C64" t="s">
        <v>140</v>
      </c>
      <c r="D64" t="s">
        <v>141</v>
      </c>
      <c r="E64">
        <v>10</v>
      </c>
    </row>
    <row r="65" spans="1:5" x14ac:dyDescent="0.2">
      <c r="A65" t="s">
        <v>142</v>
      </c>
      <c r="B65" s="8" t="str">
        <f>A65&amp;COUNTIF($A$2:$A65,A65)</f>
        <v>Team Berger1</v>
      </c>
      <c r="C65" t="s">
        <v>143</v>
      </c>
      <c r="D65" t="s">
        <v>73</v>
      </c>
      <c r="E65">
        <v>60</v>
      </c>
    </row>
    <row r="66" spans="1:5" x14ac:dyDescent="0.2">
      <c r="A66" t="s">
        <v>142</v>
      </c>
      <c r="B66" s="8" t="str">
        <f>A66&amp;COUNTIF($A$2:$A66,A66)</f>
        <v>Team Berger2</v>
      </c>
      <c r="C66" t="s">
        <v>144</v>
      </c>
      <c r="D66" t="s">
        <v>145</v>
      </c>
      <c r="E66" s="7">
        <v>7</v>
      </c>
    </row>
    <row r="67" spans="1:5" x14ac:dyDescent="0.2">
      <c r="A67" t="s">
        <v>142</v>
      </c>
      <c r="B67" s="8" t="str">
        <f>A67&amp;COUNTIF($A$2:$A67,A67)</f>
        <v>Team Berger3</v>
      </c>
      <c r="C67" t="s">
        <v>146</v>
      </c>
      <c r="D67" t="s">
        <v>147</v>
      </c>
      <c r="E67">
        <v>12</v>
      </c>
    </row>
    <row r="68" spans="1:5" x14ac:dyDescent="0.2">
      <c r="A68" t="s">
        <v>142</v>
      </c>
      <c r="B68" s="8" t="str">
        <f>A68&amp;COUNTIF($A$2:$A68,A68)</f>
        <v>Team Berger4</v>
      </c>
      <c r="C68" t="s">
        <v>148</v>
      </c>
      <c r="D68" t="s">
        <v>149</v>
      </c>
      <c r="E68">
        <v>99</v>
      </c>
    </row>
    <row r="69" spans="1:5" x14ac:dyDescent="0.2">
      <c r="A69" t="s">
        <v>142</v>
      </c>
      <c r="B69" s="8" t="str">
        <f>A69&amp;COUNTIF($A$2:$A69,A69)</f>
        <v>Team Berger5</v>
      </c>
      <c r="C69" t="s">
        <v>150</v>
      </c>
      <c r="D69" t="s">
        <v>151</v>
      </c>
      <c r="E69">
        <v>33</v>
      </c>
    </row>
    <row r="70" spans="1:5" x14ac:dyDescent="0.2">
      <c r="A70" t="s">
        <v>142</v>
      </c>
      <c r="B70" s="8" t="str">
        <f>A70&amp;COUNTIF($A$2:$A70,A70)</f>
        <v>Team Berger6</v>
      </c>
      <c r="C70" t="s">
        <v>152</v>
      </c>
      <c r="D70" t="s">
        <v>153</v>
      </c>
      <c r="E70">
        <v>24</v>
      </c>
    </row>
    <row r="71" spans="1:5" x14ac:dyDescent="0.2">
      <c r="A71" t="s">
        <v>142</v>
      </c>
      <c r="B71" s="8" t="str">
        <f>A71&amp;COUNTIF($A$2:$A71,A71)</f>
        <v>Team Berger7</v>
      </c>
      <c r="C71" t="s">
        <v>154</v>
      </c>
      <c r="D71" t="s">
        <v>155</v>
      </c>
      <c r="E71">
        <v>21</v>
      </c>
    </row>
    <row r="72" spans="1:5" x14ac:dyDescent="0.2">
      <c r="A72" t="s">
        <v>142</v>
      </c>
      <c r="B72" s="8" t="str">
        <f>A72&amp;COUNTIF($A$2:$A72,A72)</f>
        <v>Team Berger8</v>
      </c>
      <c r="C72" t="s">
        <v>156</v>
      </c>
      <c r="D72" t="s">
        <v>157</v>
      </c>
      <c r="E72">
        <v>15</v>
      </c>
    </row>
    <row r="73" spans="1:5" x14ac:dyDescent="0.2">
      <c r="A73" t="s">
        <v>142</v>
      </c>
      <c r="B73" s="8" t="str">
        <f>A73&amp;COUNTIF($A$2:$A73,A73)</f>
        <v>Team Berger9</v>
      </c>
      <c r="C73" t="s">
        <v>158</v>
      </c>
      <c r="D73" t="s">
        <v>159</v>
      </c>
      <c r="E73">
        <v>2</v>
      </c>
    </row>
    <row r="74" spans="1:5" x14ac:dyDescent="0.2">
      <c r="A74" t="s">
        <v>142</v>
      </c>
      <c r="B74" s="8" t="str">
        <f>A74&amp;COUNTIF($A$2:$A74,A74)</f>
        <v>Team Berger10</v>
      </c>
      <c r="C74" t="s">
        <v>160</v>
      </c>
      <c r="D74" t="s">
        <v>213</v>
      </c>
      <c r="E74">
        <v>6</v>
      </c>
    </row>
    <row r="75" spans="1:5" x14ac:dyDescent="0.2">
      <c r="A75" t="s">
        <v>142</v>
      </c>
      <c r="B75" s="8" t="str">
        <f>A75&amp;COUNTIF($A$2:$A75,A75)</f>
        <v>Team Berger11</v>
      </c>
      <c r="C75" t="s">
        <v>161</v>
      </c>
      <c r="D75" t="s">
        <v>162</v>
      </c>
    </row>
    <row r="76" spans="1:5" x14ac:dyDescent="0.2">
      <c r="A76" t="s">
        <v>163</v>
      </c>
      <c r="B76" s="8" t="str">
        <f>A76&amp;COUNTIF($A$2:$A76,A76)</f>
        <v>Team Stan1</v>
      </c>
      <c r="C76" t="s">
        <v>164</v>
      </c>
      <c r="D76" t="s">
        <v>111</v>
      </c>
      <c r="E76">
        <v>0</v>
      </c>
    </row>
    <row r="77" spans="1:5" x14ac:dyDescent="0.2">
      <c r="A77" t="s">
        <v>163</v>
      </c>
      <c r="B77" s="8" t="str">
        <f>A77&amp;COUNTIF($A$2:$A77,A77)</f>
        <v>Team Stan2</v>
      </c>
      <c r="C77" t="s">
        <v>165</v>
      </c>
      <c r="D77" t="s">
        <v>166</v>
      </c>
      <c r="E77">
        <v>32</v>
      </c>
    </row>
    <row r="78" spans="1:5" x14ac:dyDescent="0.2">
      <c r="A78" t="s">
        <v>163</v>
      </c>
      <c r="B78" s="8" t="str">
        <f>A78&amp;COUNTIF($A$2:$A78,A78)</f>
        <v>Team Stan3</v>
      </c>
      <c r="C78" t="s">
        <v>167</v>
      </c>
      <c r="D78" t="s">
        <v>168</v>
      </c>
      <c r="E78">
        <v>1</v>
      </c>
    </row>
    <row r="79" spans="1:5" x14ac:dyDescent="0.2">
      <c r="A79" t="s">
        <v>163</v>
      </c>
      <c r="B79" s="8" t="str">
        <f>A79&amp;COUNTIF($A$2:$A79,A79)</f>
        <v>Team Stan4</v>
      </c>
      <c r="C79" t="s">
        <v>169</v>
      </c>
      <c r="D79" t="s">
        <v>170</v>
      </c>
      <c r="E79">
        <v>5</v>
      </c>
    </row>
    <row r="80" spans="1:5" x14ac:dyDescent="0.2">
      <c r="A80" t="s">
        <v>163</v>
      </c>
      <c r="B80" s="8" t="str">
        <f>A80&amp;COUNTIF($A$2:$A80,A80)</f>
        <v>Team Stan5</v>
      </c>
      <c r="C80" t="s">
        <v>171</v>
      </c>
      <c r="D80" t="s">
        <v>172</v>
      </c>
      <c r="E80">
        <v>2</v>
      </c>
    </row>
    <row r="81" spans="1:5" x14ac:dyDescent="0.2">
      <c r="A81" t="s">
        <v>163</v>
      </c>
      <c r="B81" s="8" t="str">
        <f>A81&amp;COUNTIF($A$2:$A81,A81)</f>
        <v>Team Stan6</v>
      </c>
      <c r="C81" t="s">
        <v>173</v>
      </c>
      <c r="D81" t="s">
        <v>174</v>
      </c>
      <c r="E81">
        <v>11</v>
      </c>
    </row>
    <row r="82" spans="1:5" x14ac:dyDescent="0.2">
      <c r="A82" t="s">
        <v>163</v>
      </c>
      <c r="B82" s="8" t="str">
        <f>A82&amp;COUNTIF($A$2:$A82,A82)</f>
        <v>Team Stan7</v>
      </c>
      <c r="C82" t="s">
        <v>175</v>
      </c>
      <c r="D82" t="s">
        <v>176</v>
      </c>
      <c r="E82">
        <v>20</v>
      </c>
    </row>
    <row r="83" spans="1:5" x14ac:dyDescent="0.2">
      <c r="A83" t="s">
        <v>163</v>
      </c>
      <c r="B83" s="8" t="str">
        <f>A83&amp;COUNTIF($A$2:$A83,A83)</f>
        <v>Team Stan8</v>
      </c>
      <c r="C83" t="s">
        <v>177</v>
      </c>
      <c r="D83" t="s">
        <v>178</v>
      </c>
      <c r="E83">
        <v>59</v>
      </c>
    </row>
    <row r="84" spans="1:5" x14ac:dyDescent="0.2">
      <c r="A84" t="s">
        <v>163</v>
      </c>
      <c r="B84" s="8" t="str">
        <f>A84&amp;COUNTIF($A$2:$A84,A84)</f>
        <v>Team Stan9</v>
      </c>
      <c r="C84" t="s">
        <v>179</v>
      </c>
      <c r="D84" t="s">
        <v>180</v>
      </c>
      <c r="E84">
        <v>35</v>
      </c>
    </row>
    <row r="85" spans="1:5" x14ac:dyDescent="0.2">
      <c r="A85" t="s">
        <v>163</v>
      </c>
      <c r="B85" s="8" t="str">
        <f>A85&amp;COUNTIF($A$2:$A85,A85)</f>
        <v>Team Stan10</v>
      </c>
      <c r="C85" t="s">
        <v>181</v>
      </c>
      <c r="D85" t="s">
        <v>182</v>
      </c>
      <c r="E85">
        <v>3</v>
      </c>
    </row>
    <row r="86" spans="1:5" x14ac:dyDescent="0.2">
      <c r="A86" t="s">
        <v>163</v>
      </c>
      <c r="B86" s="8" t="str">
        <f>A86&amp;COUNTIF($A$2:$A86,A86)</f>
        <v>Team Stan11</v>
      </c>
      <c r="C86" t="s">
        <v>183</v>
      </c>
      <c r="D86" t="s">
        <v>184</v>
      </c>
      <c r="E86">
        <v>20</v>
      </c>
    </row>
    <row r="87" spans="1:5" x14ac:dyDescent="0.2">
      <c r="A87" t="s">
        <v>163</v>
      </c>
      <c r="B87" s="8" t="str">
        <f>A87&amp;COUNTIF($A$2:$A87,A87)</f>
        <v>Team Stan12</v>
      </c>
      <c r="C87" t="s">
        <v>185</v>
      </c>
      <c r="D87" t="s">
        <v>186</v>
      </c>
      <c r="E87">
        <v>24</v>
      </c>
    </row>
    <row r="88" spans="1:5" x14ac:dyDescent="0.2">
      <c r="A88" t="s">
        <v>163</v>
      </c>
      <c r="B88" s="8" t="str">
        <f>A88&amp;COUNTIF($A$2:$A88,A88)</f>
        <v>Team Stan13</v>
      </c>
      <c r="C88" t="s">
        <v>187</v>
      </c>
      <c r="D88" t="s">
        <v>188</v>
      </c>
    </row>
    <row r="89" spans="1:5" x14ac:dyDescent="0.2">
      <c r="A89" t="s">
        <v>189</v>
      </c>
      <c r="B89" s="8" t="str">
        <f>A89&amp;COUNTIF($A$2:$A89,A89)</f>
        <v>Team Humpherys1</v>
      </c>
      <c r="C89" t="s">
        <v>190</v>
      </c>
      <c r="D89" t="s">
        <v>191</v>
      </c>
      <c r="E89">
        <v>23</v>
      </c>
    </row>
    <row r="90" spans="1:5" x14ac:dyDescent="0.2">
      <c r="A90" t="s">
        <v>189</v>
      </c>
      <c r="B90" s="8" t="str">
        <f>A90&amp;COUNTIF($A$2:$A90,A90)</f>
        <v>Team Humpherys2</v>
      </c>
      <c r="C90" t="s">
        <v>192</v>
      </c>
      <c r="D90" t="s">
        <v>193</v>
      </c>
      <c r="E90">
        <v>20</v>
      </c>
    </row>
    <row r="91" spans="1:5" x14ac:dyDescent="0.2">
      <c r="A91" t="s">
        <v>189</v>
      </c>
      <c r="B91" s="8" t="str">
        <f>A91&amp;COUNTIF($A$2:$A91,A91)</f>
        <v>Team Humpherys3</v>
      </c>
      <c r="C91" t="s">
        <v>194</v>
      </c>
      <c r="D91" t="s">
        <v>123</v>
      </c>
      <c r="E91">
        <v>13</v>
      </c>
    </row>
    <row r="92" spans="1:5" x14ac:dyDescent="0.2">
      <c r="A92" t="s">
        <v>189</v>
      </c>
      <c r="B92" s="8" t="str">
        <f>A92&amp;COUNTIF($A$2:$A92,A92)</f>
        <v>Team Humpherys4</v>
      </c>
      <c r="C92" t="s">
        <v>115</v>
      </c>
      <c r="D92" t="s">
        <v>195</v>
      </c>
      <c r="E92">
        <v>11</v>
      </c>
    </row>
    <row r="93" spans="1:5" x14ac:dyDescent="0.2">
      <c r="A93" t="s">
        <v>189</v>
      </c>
      <c r="B93" s="8" t="str">
        <f>A93&amp;COUNTIF($A$2:$A93,A93)</f>
        <v>Team Humpherys5</v>
      </c>
      <c r="C93" t="s">
        <v>196</v>
      </c>
      <c r="D93" t="s">
        <v>197</v>
      </c>
      <c r="E93">
        <v>3</v>
      </c>
    </row>
    <row r="94" spans="1:5" x14ac:dyDescent="0.2">
      <c r="A94" t="s">
        <v>189</v>
      </c>
      <c r="B94" s="8" t="str">
        <f>A94&amp;COUNTIF($A$2:$A94,A94)</f>
        <v>Team Humpherys6</v>
      </c>
      <c r="C94" t="s">
        <v>198</v>
      </c>
      <c r="D94" t="s">
        <v>199</v>
      </c>
      <c r="E94">
        <v>55</v>
      </c>
    </row>
    <row r="95" spans="1:5" x14ac:dyDescent="0.2">
      <c r="A95" t="s">
        <v>189</v>
      </c>
      <c r="B95" s="8" t="str">
        <f>A95&amp;COUNTIF($A$2:$A95,A95)</f>
        <v>Team Humpherys7</v>
      </c>
      <c r="C95" t="s">
        <v>200</v>
      </c>
      <c r="D95" t="s">
        <v>173</v>
      </c>
      <c r="E95">
        <v>99</v>
      </c>
    </row>
    <row r="96" spans="1:5" x14ac:dyDescent="0.2">
      <c r="A96" t="s">
        <v>189</v>
      </c>
      <c r="B96" s="8" t="str">
        <f>A96&amp;COUNTIF($A$2:$A96,A96)</f>
        <v>Team Humpherys8</v>
      </c>
      <c r="C96" t="s">
        <v>201</v>
      </c>
      <c r="D96" t="s">
        <v>202</v>
      </c>
      <c r="E96">
        <v>22</v>
      </c>
    </row>
    <row r="97" spans="1:5" x14ac:dyDescent="0.2">
      <c r="A97" t="s">
        <v>189</v>
      </c>
      <c r="B97" s="8" t="str">
        <f>A97&amp;COUNTIF($A$2:$A97,A97)</f>
        <v>Team Humpherys9</v>
      </c>
      <c r="C97" t="s">
        <v>203</v>
      </c>
      <c r="D97" t="s">
        <v>204</v>
      </c>
      <c r="E97">
        <v>32</v>
      </c>
    </row>
    <row r="98" spans="1:5" x14ac:dyDescent="0.2">
      <c r="A98" t="s">
        <v>189</v>
      </c>
      <c r="B98" s="8" t="str">
        <f>A98&amp;COUNTIF($A$2:$A98,A98)</f>
        <v>Team Humpherys10</v>
      </c>
      <c r="C98" t="s">
        <v>205</v>
      </c>
      <c r="D98" t="s">
        <v>206</v>
      </c>
      <c r="E98">
        <v>31</v>
      </c>
    </row>
    <row r="99" spans="1:5" x14ac:dyDescent="0.2">
      <c r="A99" t="s">
        <v>189</v>
      </c>
      <c r="B99" s="8" t="str">
        <f>A99&amp;COUNTIF($A$2:$A99,A99)</f>
        <v>Team Humpherys11</v>
      </c>
      <c r="C99" t="s">
        <v>132</v>
      </c>
      <c r="D99" t="s">
        <v>111</v>
      </c>
      <c r="E99">
        <v>5</v>
      </c>
    </row>
    <row r="100" spans="1:5" x14ac:dyDescent="0.2">
      <c r="A100" t="s">
        <v>189</v>
      </c>
      <c r="B100" s="8" t="str">
        <f>A100&amp;COUNTIF($A$2:$A100,A100)</f>
        <v>Team Humpherys12</v>
      </c>
      <c r="C100" t="s">
        <v>207</v>
      </c>
      <c r="D100" t="s">
        <v>208</v>
      </c>
      <c r="E100">
        <v>9</v>
      </c>
    </row>
    <row r="101" spans="1:5" x14ac:dyDescent="0.2">
      <c r="A101" t="s">
        <v>189</v>
      </c>
      <c r="B101" s="8" t="str">
        <f>A101&amp;COUNTIF($A$2:$A101,A101)</f>
        <v>Team Humpherys13</v>
      </c>
      <c r="C101" t="s">
        <v>209</v>
      </c>
      <c r="D101" t="s">
        <v>210</v>
      </c>
      <c r="E101">
        <v>4</v>
      </c>
    </row>
    <row r="102" spans="1:5" x14ac:dyDescent="0.2">
      <c r="A102" t="s">
        <v>189</v>
      </c>
      <c r="B102" s="8" t="str">
        <f>A102&amp;COUNTIF($A$2:$A102,A102)</f>
        <v>Team Humpherys14</v>
      </c>
      <c r="C102" t="s">
        <v>211</v>
      </c>
      <c r="D102" t="s">
        <v>212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2022-06-29T21:46:37Z</dcterms:modified>
</cp:coreProperties>
</file>